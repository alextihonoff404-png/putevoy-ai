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пливные отчеты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<sst xmlns="http://schemas.openxmlformats.org/spreadsheetml/2006/main" count="4863" uniqueCount="107">
  <si>
    <t xml:space="preserve">Дата</t>
  </si>
  <si>
    <t xml:space="preserve">Кол-во, л </t>
  </si>
  <si>
    <t xml:space="preserve">Стоимость, руб.</t>
  </si>
  <si>
    <t xml:space="preserve">Сумма</t>
  </si>
  <si>
    <t xml:space="preserve">Отправление</t>
  </si>
  <si>
    <t xml:space="preserve">Назначение</t>
  </si>
  <si>
    <t xml:space="preserve">Одометр до, км</t>
  </si>
  <si>
    <t xml:space="preserve">Одометр после, км</t>
  </si>
  <si>
    <t xml:space="preserve">Пройдено, км </t>
  </si>
  <si>
    <t xml:space="preserve">Остаток бензина</t>
  </si>
  <si>
    <t xml:space="preserve">Расход топлива, л</t>
  </si>
  <si>
    <t xml:space="preserve">Октябрь 2021</t>
  </si>
  <si>
    <t xml:space="preserve">Санкт-Петербург, репищева 10</t>
  </si>
  <si>
    <t xml:space="preserve">Санкт-Петербург, Приморский 70</t>
  </si>
  <si>
    <t xml:space="preserve">Санкт-Петербург, комсомола 19</t>
  </si>
  <si>
    <t xml:space="preserve">Санкт-Петербург, Лиговский 236</t>
  </si>
  <si>
    <t xml:space="preserve">Санкт-Петербург, Пулковское шоссе </t>
  </si>
  <si>
    <t xml:space="preserve">Итого:</t>
  </si>
  <si>
    <t xml:space="preserve">Ноябрь 2021</t>
  </si>
  <si>
    <t xml:space="preserve">Санкт-Петербург, Сызранская 15</t>
  </si>
  <si>
    <t xml:space="preserve">Санкт-Петербург, Дегтярный 5</t>
  </si>
  <si>
    <t xml:space="preserve">Санкт-Петербург, Дрезденская 10</t>
  </si>
  <si>
    <t xml:space="preserve">Санкт-Петербург, Дальневосточный 15</t>
  </si>
  <si>
    <t xml:space="preserve">Санкт-Петербург, Вязовая 10</t>
  </si>
  <si>
    <t xml:space="preserve">Санкт-Петербург, площадь Ломоносова, 2</t>
  </si>
  <si>
    <t xml:space="preserve">Декабрь 2021</t>
  </si>
  <si>
    <t xml:space="preserve">Санкт-Петербург, Глухарская 87</t>
  </si>
  <si>
    <t xml:space="preserve">Январь 2022</t>
  </si>
  <si>
    <t xml:space="preserve">Санкт-Петербург, Ивана Черных ул., 31/33</t>
  </si>
  <si>
    <t xml:space="preserve">Санкт-Петербург, ул. Сетевая, д.22, корпус 2</t>
  </si>
  <si>
    <t xml:space="preserve">Санкт-Петербург, Московский пр. 129</t>
  </si>
  <si>
    <t xml:space="preserve">Санкт-Петербург, Лиговский 124</t>
  </si>
  <si>
    <t xml:space="preserve">Санкт-Петербург, ул. Седова 9</t>
  </si>
  <si>
    <t xml:space="preserve">Февраль 2022</t>
  </si>
  <si>
    <t xml:space="preserve">Санкт-Петербург, Репищева 10</t>
  </si>
  <si>
    <t xml:space="preserve">Санкт-Петербург, Комсомола 19</t>
  </si>
  <si>
    <t xml:space="preserve">Санкт-Петербург, Фурштадская 24</t>
  </si>
  <si>
    <t xml:space="preserve">Санкт-Петербург, Пулковское шоссе 88</t>
  </si>
  <si>
    <t xml:space="preserve">Март 2022</t>
  </si>
  <si>
    <t xml:space="preserve">Санкт-Петербург, Автомобильная 1</t>
  </si>
  <si>
    <t xml:space="preserve">Санкт-Петербург, ул. Разъезжая, д. 22</t>
  </si>
  <si>
    <t xml:space="preserve">Апрель 2022</t>
  </si>
  <si>
    <t xml:space="preserve">Май 2022</t>
  </si>
  <si>
    <t xml:space="preserve">Санкт-Петербург, Марсово Поле 1</t>
  </si>
  <si>
    <t xml:space="preserve">Санкт-Петербург, Штурманская 19В</t>
  </si>
  <si>
    <t xml:space="preserve">Санкт-Петербург, Московский пр. 189-А</t>
  </si>
  <si>
    <t xml:space="preserve">Июнь 2022</t>
  </si>
  <si>
    <t xml:space="preserve">Июль 2022</t>
  </si>
  <si>
    <t xml:space="preserve">Август 2022</t>
  </si>
  <si>
    <t xml:space="preserve">Санкт-Петербург, Лиговский 240</t>
  </si>
  <si>
    <t xml:space="preserve">отпуск</t>
  </si>
  <si>
    <t xml:space="preserve">Сентябрь 2022</t>
  </si>
  <si>
    <t xml:space="preserve">Октябрь 2022</t>
  </si>
  <si>
    <t xml:space="preserve">Ноябрь 2022</t>
  </si>
  <si>
    <t xml:space="preserve">Санкт-Петербург, Смоленская 27</t>
  </si>
  <si>
    <t xml:space="preserve">Декабрь 2022</t>
  </si>
  <si>
    <t xml:space="preserve">Январь 2023</t>
  </si>
  <si>
    <t xml:space="preserve">Февраль 2023</t>
  </si>
  <si>
    <t xml:space="preserve">Санкт-Петербург, ул. Тосина д.3</t>
  </si>
  <si>
    <t xml:space="preserve">Санкт-Петербург, Лиговский 114А</t>
  </si>
  <si>
    <t xml:space="preserve">Март 2023</t>
  </si>
  <si>
    <t xml:space="preserve">Санкт-Петербург, ул. Глухарская д.16 корп.2</t>
  </si>
  <si>
    <t xml:space="preserve">Апрель 2023</t>
  </si>
  <si>
    <t xml:space="preserve">Май 2023</t>
  </si>
  <si>
    <t xml:space="preserve">Июнь 2023</t>
  </si>
  <si>
    <t xml:space="preserve">п. Войсковицы, Авиационная 10</t>
  </si>
  <si>
    <t xml:space="preserve">Июль 2023</t>
  </si>
  <si>
    <t xml:space="preserve">август 2023</t>
  </si>
  <si>
    <t xml:space="preserve">Смена машины на Чанган</t>
  </si>
  <si>
    <t xml:space="preserve">сентябрь 2023</t>
  </si>
  <si>
    <t xml:space="preserve">октябрь 2023</t>
  </si>
  <si>
    <t xml:space="preserve">ноябрь 2023</t>
  </si>
  <si>
    <t xml:space="preserve">декабрь 2023</t>
  </si>
  <si>
    <t xml:space="preserve">Январь 2024</t>
  </si>
  <si>
    <t xml:space="preserve">За свой счет</t>
  </si>
  <si>
    <t xml:space="preserve">Февраль 2024</t>
  </si>
  <si>
    <t xml:space="preserve">Март 2024</t>
  </si>
  <si>
    <t xml:space="preserve">Апрель 2024</t>
  </si>
  <si>
    <t xml:space="preserve">Май 2024</t>
  </si>
  <si>
    <t xml:space="preserve">Июнь 2024</t>
  </si>
  <si>
    <t xml:space="preserve">Июль 2024</t>
  </si>
  <si>
    <t xml:space="preserve">Санкт-Петербург, Масляный канал</t>
  </si>
  <si>
    <t xml:space="preserve">Август 2024</t>
  </si>
  <si>
    <t xml:space="preserve">Сентябрь 2024</t>
  </si>
  <si>
    <t xml:space="preserve">Октябрь 2024</t>
  </si>
  <si>
    <t xml:space="preserve">Санкт-Петербург, Московское шоссе, 304</t>
  </si>
  <si>
    <t xml:space="preserve">Санкт-Петербург, Савушкина 141</t>
  </si>
  <si>
    <t xml:space="preserve">Ноябрь 2024</t>
  </si>
  <si>
    <t xml:space="preserve">Декабрь 2024</t>
  </si>
  <si>
    <t xml:space="preserve">Январь 2025</t>
  </si>
  <si>
    <t xml:space="preserve">Февраль 2025</t>
  </si>
  <si>
    <t xml:space="preserve">Март 2025</t>
  </si>
  <si>
    <t xml:space="preserve">Апрель 2025</t>
  </si>
  <si>
    <t xml:space="preserve">Май 2025</t>
  </si>
  <si>
    <t xml:space="preserve">Июнь 2025</t>
  </si>
  <si>
    <t xml:space="preserve">Июль 2025</t>
  </si>
  <si>
    <t xml:space="preserve">Август 2025</t>
  </si>
  <si>
    <t xml:space="preserve">Сентябрь 2025</t>
  </si>
  <si>
    <t xml:space="preserve">Октябрь 2025</t>
  </si>
  <si>
    <t xml:space="preserve">Санкт-Петербург, Новое шоссе, 17</t>
  </si>
  <si>
    <t xml:space="preserve">Санкт-Петербург, пр. Юрия Гагарина 26</t>
  </si>
  <si>
    <t xml:space="preserve">Ноябрь 2025</t>
  </si>
  <si>
    <t xml:space="preserve">Санкт-Петербург, Новое шоссе, 15</t>
  </si>
  <si>
    <t xml:space="preserve">Декабрь 2025</t>
  </si>
  <si>
    <t xml:space="preserve">Февраль 2026</t>
  </si>
  <si>
    <t xml:space="preserve">Март 2026</t>
  </si>
  <si>
    <t xml:space="preserve">Апрель 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</si>
</sst>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@"/>
    <numFmt numFmtId="167" formatCode="m/d/yyyy"/>
    <numFmt numFmtId="168" formatCode="yyyy\-mm\-dd\ 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O259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512" activePane="bottomLeft" state="frozen"/>
      <selection pane="topLeft" activeCell="A1" activeCellId="0" sqref="A1"/>
      <selection pane="bottomLeft" activeCell="D2501" activeCellId="0" sqref="D2501"/>
    </sheetView>
  </sheetViews>
  <sheetFormatPr defaultColWidth="8.71484375" defaultRowHeight="15" zeroHeight="false" outlineLevelRow="0" outlineLevelCol="0"/>
  <cols>
    <col collapsed="false" customWidth="true" hidden="false" outlineLevel="0" max="4" min="4" style="0" width="17.29"/>
    <col collapsed="false" customWidth="true" hidden="false" outlineLevel="0" max="5" min="5" style="0" width="9.86"/>
    <col collapsed="false" customWidth="true" hidden="false" outlineLevel="0" max="6" min="6" style="1" width="15.71"/>
    <col collapsed="false" customWidth="true" hidden="false" outlineLevel="0" max="7" min="7" style="0" width="12.15"/>
    <col collapsed="false" customWidth="true" hidden="false" outlineLevel="0" max="8" min="8" style="0" width="40.29"/>
    <col collapsed="false" customWidth="true" hidden="false" outlineLevel="0" max="9" min="9" style="0" width="42.42"/>
    <col collapsed="false" customWidth="true" hidden="false" outlineLevel="0" max="10" min="10" style="1" width="14.86"/>
    <col collapsed="false" customWidth="true" hidden="false" outlineLevel="0" max="11" min="11" style="1" width="17.42"/>
    <col collapsed="false" customWidth="true" hidden="false" outlineLevel="0" max="12" min="12" style="1" width="14.57"/>
    <col collapsed="false" customWidth="true" hidden="false" outlineLevel="0" max="13" min="13" style="0" width="16.29"/>
    <col collapsed="false" customWidth="true" hidden="false" outlineLevel="0" max="14" min="14" style="1" width="17.71"/>
  </cols>
  <sheetData>
    <row r="1" customFormat="false" ht="15" hidden="false" customHeight="true" outlineLevel="0" collapsed="false">
      <c r="D1" s="2" t="s">
        <v>0</v>
      </c>
      <c r="E1" s="2" t="s">
        <v>1</v>
      </c>
      <c r="F1" s="2" t="s">
        <v>2</v>
      </c>
      <c r="G1" s="3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customFormat="false" ht="15" hidden="false" customHeight="true" outlineLevel="0" collapsed="false">
      <c r="D2" s="4" t="s">
        <v>11</v>
      </c>
      <c r="E2" s="4"/>
      <c r="F2" s="4"/>
      <c r="G2" s="4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D3" s="5" t="n">
        <v>44494</v>
      </c>
      <c r="E3" s="1" t="n">
        <v>19.97</v>
      </c>
      <c r="F3" s="1" t="n">
        <v>50.4</v>
      </c>
      <c r="G3" s="6" t="n">
        <f aca="false">E3*F3</f>
        <v>1006.488</v>
      </c>
      <c r="H3" s="1" t="s">
        <v>12</v>
      </c>
      <c r="I3" s="1" t="s">
        <v>13</v>
      </c>
      <c r="L3" s="1" t="n">
        <v>11</v>
      </c>
      <c r="M3" s="1" t="n">
        <f aca="false">E3-N3</f>
        <v>18.72</v>
      </c>
      <c r="N3" s="1" t="n">
        <v>1.25</v>
      </c>
    </row>
    <row r="4" customFormat="false" ht="15" hidden="false" customHeight="true" outlineLevel="0" collapsed="false">
      <c r="D4" s="1"/>
      <c r="E4" s="1"/>
      <c r="G4" s="6"/>
      <c r="H4" s="1" t="s">
        <v>13</v>
      </c>
      <c r="I4" s="1" t="s">
        <v>12</v>
      </c>
      <c r="L4" s="1" t="n">
        <v>11</v>
      </c>
      <c r="M4" s="1" t="n">
        <f aca="false">M3-N4</f>
        <v>17.47</v>
      </c>
      <c r="N4" s="1" t="n">
        <v>1.25</v>
      </c>
    </row>
    <row r="5" customFormat="false" ht="15" hidden="false" customHeight="true" outlineLevel="0" collapsed="false">
      <c r="D5" s="5" t="n">
        <v>44495</v>
      </c>
      <c r="E5" s="1"/>
      <c r="G5" s="6"/>
      <c r="H5" s="1" t="s">
        <v>12</v>
      </c>
      <c r="I5" s="1" t="s">
        <v>14</v>
      </c>
      <c r="L5" s="1" t="n">
        <v>12</v>
      </c>
      <c r="M5" s="1" t="n">
        <f aca="false">M4-N5</f>
        <v>16.22</v>
      </c>
      <c r="N5" s="1" t="n">
        <v>1.25</v>
      </c>
    </row>
    <row r="6" customFormat="false" ht="15" hidden="false" customHeight="true" outlineLevel="0" collapsed="false">
      <c r="D6" s="5"/>
      <c r="E6" s="1"/>
      <c r="G6" s="6"/>
      <c r="H6" s="1" t="s">
        <v>14</v>
      </c>
      <c r="I6" s="1" t="s">
        <v>12</v>
      </c>
      <c r="L6" s="1" t="n">
        <v>12</v>
      </c>
      <c r="M6" s="1" t="n">
        <f aca="false">M5-N6</f>
        <v>14.97</v>
      </c>
      <c r="N6" s="1" t="n">
        <v>1.25</v>
      </c>
    </row>
    <row r="7" customFormat="false" ht="15" hidden="false" customHeight="true" outlineLevel="0" collapsed="false">
      <c r="D7" s="5" t="n">
        <v>44496</v>
      </c>
      <c r="E7" s="1"/>
      <c r="G7" s="6"/>
      <c r="H7" s="1" t="s">
        <v>12</v>
      </c>
      <c r="I7" s="1" t="s">
        <v>13</v>
      </c>
      <c r="L7" s="1" t="n">
        <v>11</v>
      </c>
      <c r="M7" s="1" t="n">
        <f aca="false">M6-N7</f>
        <v>13.47</v>
      </c>
      <c r="N7" s="1" t="n">
        <v>1.5</v>
      </c>
    </row>
    <row r="8" customFormat="false" ht="15" hidden="false" customHeight="true" outlineLevel="0" collapsed="false">
      <c r="D8" s="5"/>
      <c r="E8" s="1"/>
      <c r="G8" s="6"/>
      <c r="H8" s="1" t="s">
        <v>13</v>
      </c>
      <c r="I8" s="1" t="s">
        <v>12</v>
      </c>
      <c r="L8" s="1" t="n">
        <v>11</v>
      </c>
      <c r="M8" s="1" t="n">
        <f aca="false">M7-N8</f>
        <v>11.97</v>
      </c>
      <c r="N8" s="1" t="n">
        <v>1.5</v>
      </c>
    </row>
    <row r="9" customFormat="false" ht="15" hidden="false" customHeight="true" outlineLevel="0" collapsed="false">
      <c r="D9" s="5"/>
      <c r="E9" s="1"/>
      <c r="G9" s="6"/>
      <c r="H9" s="1" t="s">
        <v>12</v>
      </c>
      <c r="I9" s="1" t="s">
        <v>14</v>
      </c>
      <c r="L9" s="1" t="n">
        <v>12</v>
      </c>
      <c r="M9" s="1" t="n">
        <f aca="false">M8-N9</f>
        <v>10.47</v>
      </c>
      <c r="N9" s="1" t="n">
        <v>1.5</v>
      </c>
    </row>
    <row r="10" customFormat="false" ht="15" hidden="false" customHeight="true" outlineLevel="0" collapsed="false">
      <c r="D10" s="5"/>
      <c r="E10" s="1"/>
      <c r="G10" s="6"/>
      <c r="H10" s="1" t="s">
        <v>14</v>
      </c>
      <c r="I10" s="1" t="s">
        <v>12</v>
      </c>
      <c r="L10" s="1" t="n">
        <v>12</v>
      </c>
      <c r="M10" s="1" t="n">
        <f aca="false">M9-N10</f>
        <v>8.97</v>
      </c>
      <c r="N10" s="1" t="n">
        <v>1.5</v>
      </c>
    </row>
    <row r="11" customFormat="false" ht="15" hidden="false" customHeight="true" outlineLevel="0" collapsed="false">
      <c r="D11" s="5" t="n">
        <v>44497</v>
      </c>
      <c r="E11" s="1" t="n">
        <v>19.96</v>
      </c>
      <c r="F11" s="1" t="n">
        <v>50.4</v>
      </c>
      <c r="G11" s="6" t="n">
        <f aca="false">E11*F11</f>
        <v>1005.984</v>
      </c>
      <c r="H11" s="1" t="s">
        <v>12</v>
      </c>
      <c r="I11" s="1" t="s">
        <v>14</v>
      </c>
      <c r="L11" s="1" t="n">
        <v>12</v>
      </c>
      <c r="M11" s="1" t="n">
        <f aca="false">(E11+M10)-N11</f>
        <v>26.43</v>
      </c>
      <c r="N11" s="1" t="n">
        <v>2.5</v>
      </c>
    </row>
    <row r="12" customFormat="false" ht="15" hidden="false" customHeight="true" outlineLevel="0" collapsed="false">
      <c r="D12" s="5"/>
      <c r="E12" s="1"/>
      <c r="G12" s="6"/>
      <c r="H12" s="1" t="s">
        <v>14</v>
      </c>
      <c r="I12" s="1" t="s">
        <v>12</v>
      </c>
      <c r="L12" s="1" t="n">
        <v>12</v>
      </c>
      <c r="M12" s="1" t="n">
        <f aca="false">M11-N12</f>
        <v>23.93</v>
      </c>
      <c r="N12" s="1" t="n">
        <v>2.5</v>
      </c>
    </row>
    <row r="13" customFormat="false" ht="15" hidden="false" customHeight="true" outlineLevel="0" collapsed="false">
      <c r="D13" s="5"/>
      <c r="E13" s="1"/>
      <c r="G13" s="6"/>
      <c r="H13" s="1" t="s">
        <v>12</v>
      </c>
      <c r="I13" s="1" t="s">
        <v>15</v>
      </c>
      <c r="L13" s="1" t="n">
        <v>31</v>
      </c>
      <c r="M13" s="1" t="n">
        <f aca="false">M12-N13</f>
        <v>21.43</v>
      </c>
      <c r="N13" s="1" t="n">
        <v>2.5</v>
      </c>
    </row>
    <row r="14" customFormat="false" ht="15" hidden="false" customHeight="true" outlineLevel="0" collapsed="false">
      <c r="D14" s="5"/>
      <c r="E14" s="1"/>
      <c r="G14" s="6"/>
      <c r="H14" s="1" t="s">
        <v>15</v>
      </c>
      <c r="I14" s="1" t="s">
        <v>12</v>
      </c>
      <c r="L14" s="1" t="n">
        <v>31</v>
      </c>
      <c r="M14" s="1" t="n">
        <f aca="false">M13-N14</f>
        <v>18.93</v>
      </c>
      <c r="N14" s="1" t="n">
        <v>2.5</v>
      </c>
    </row>
    <row r="15" customFormat="false" ht="15" hidden="false" customHeight="true" outlineLevel="0" collapsed="false">
      <c r="D15" s="5" t="n">
        <v>44498</v>
      </c>
      <c r="E15" s="1"/>
      <c r="G15" s="6"/>
      <c r="H15" s="1" t="s">
        <v>12</v>
      </c>
      <c r="I15" s="1" t="s">
        <v>16</v>
      </c>
      <c r="L15" s="1" t="n">
        <v>40</v>
      </c>
      <c r="M15" s="1" t="n">
        <f aca="false">M14-N15</f>
        <v>13.93</v>
      </c>
      <c r="N15" s="1" t="n">
        <v>5</v>
      </c>
    </row>
    <row r="16" customFormat="false" ht="15" hidden="false" customHeight="true" outlineLevel="0" collapsed="false">
      <c r="D16" s="5"/>
      <c r="E16" s="1"/>
      <c r="G16" s="6"/>
      <c r="H16" s="1" t="s">
        <v>16</v>
      </c>
      <c r="I16" s="1" t="s">
        <v>12</v>
      </c>
      <c r="L16" s="1" t="n">
        <v>40</v>
      </c>
      <c r="M16" s="1" t="n">
        <f aca="false">M15-N16</f>
        <v>8.93</v>
      </c>
      <c r="N16" s="1" t="n">
        <v>5</v>
      </c>
    </row>
    <row r="17" customFormat="false" ht="15" hidden="false" customHeight="true" outlineLevel="0" collapsed="false">
      <c r="D17" s="7" t="s">
        <v>17</v>
      </c>
      <c r="E17" s="1"/>
      <c r="G17" s="6"/>
      <c r="H17" s="1"/>
      <c r="I17" s="1"/>
      <c r="L17" s="2" t="n">
        <f aca="false">SUM(L3:L16)</f>
        <v>258</v>
      </c>
      <c r="M17" s="1"/>
    </row>
    <row r="18" customFormat="false" ht="15" hidden="false" customHeight="true" outlineLevel="0" collapsed="false">
      <c r="D18" s="4" t="s">
        <v>18</v>
      </c>
      <c r="E18" s="4"/>
      <c r="F18" s="4"/>
      <c r="G18" s="4"/>
      <c r="H18" s="1"/>
      <c r="I18" s="1"/>
      <c r="M18" s="1"/>
    </row>
    <row r="19" customFormat="false" ht="15" hidden="false" customHeight="true" outlineLevel="0" collapsed="false">
      <c r="D19" s="5"/>
      <c r="E19" s="1"/>
      <c r="G19" s="6"/>
      <c r="H19" s="1"/>
      <c r="I19" s="1"/>
      <c r="M19" s="1"/>
    </row>
    <row r="20" customFormat="false" ht="15" hidden="false" customHeight="true" outlineLevel="0" collapsed="false">
      <c r="D20" s="5" t="n">
        <v>44501</v>
      </c>
      <c r="E20" s="1"/>
      <c r="G20" s="6"/>
      <c r="H20" s="1" t="s">
        <v>12</v>
      </c>
      <c r="I20" s="1" t="s">
        <v>19</v>
      </c>
      <c r="L20" s="1" t="n">
        <v>30</v>
      </c>
      <c r="M20" s="1" t="n">
        <f aca="false">M16-N20</f>
        <v>5.43</v>
      </c>
      <c r="N20" s="1" t="n">
        <v>3.5</v>
      </c>
    </row>
    <row r="21" customFormat="false" ht="15" hidden="false" customHeight="true" outlineLevel="0" collapsed="false">
      <c r="D21" s="5"/>
      <c r="E21" s="1"/>
      <c r="G21" s="6"/>
      <c r="H21" s="1" t="s">
        <v>19</v>
      </c>
      <c r="I21" s="1" t="s">
        <v>12</v>
      </c>
      <c r="L21" s="1" t="n">
        <v>30</v>
      </c>
      <c r="M21" s="1" t="n">
        <f aca="false">M20-N21</f>
        <v>1.93</v>
      </c>
      <c r="N21" s="1" t="n">
        <v>3.5</v>
      </c>
    </row>
    <row r="22" customFormat="false" ht="15" hidden="false" customHeight="true" outlineLevel="0" collapsed="false">
      <c r="D22" s="5" t="n">
        <v>44502</v>
      </c>
      <c r="E22" s="1" t="n">
        <v>20.13</v>
      </c>
      <c r="F22" s="1" t="n">
        <v>50.2</v>
      </c>
      <c r="G22" s="6" t="n">
        <f aca="false">E22*F22</f>
        <v>1010.526</v>
      </c>
      <c r="H22" s="1" t="s">
        <v>12</v>
      </c>
      <c r="I22" s="1" t="s">
        <v>14</v>
      </c>
      <c r="L22" s="1" t="n">
        <v>12</v>
      </c>
      <c r="M22" s="1" t="n">
        <f aca="false">(E22+M21)-N22</f>
        <v>19.56</v>
      </c>
      <c r="N22" s="1" t="n">
        <v>2.5</v>
      </c>
    </row>
    <row r="23" customFormat="false" ht="15" hidden="false" customHeight="true" outlineLevel="0" collapsed="false">
      <c r="D23" s="5"/>
      <c r="E23" s="1"/>
      <c r="G23" s="6"/>
      <c r="H23" s="1" t="s">
        <v>14</v>
      </c>
      <c r="I23" s="1" t="s">
        <v>12</v>
      </c>
      <c r="L23" s="1" t="n">
        <v>12</v>
      </c>
      <c r="M23" s="1" t="n">
        <f aca="false">M22-N23</f>
        <v>17.06</v>
      </c>
      <c r="N23" s="1" t="n">
        <v>2.5</v>
      </c>
    </row>
    <row r="24" customFormat="false" ht="15" hidden="false" customHeight="true" outlineLevel="0" collapsed="false">
      <c r="D24" s="5"/>
      <c r="E24" s="1"/>
      <c r="G24" s="6"/>
      <c r="H24" s="1" t="s">
        <v>12</v>
      </c>
      <c r="I24" s="1" t="s">
        <v>13</v>
      </c>
      <c r="L24" s="1" t="n">
        <v>11</v>
      </c>
      <c r="M24" s="1" t="n">
        <f aca="false">M23-N24</f>
        <v>15.81</v>
      </c>
      <c r="N24" s="1" t="n">
        <v>1.25</v>
      </c>
    </row>
    <row r="25" customFormat="false" ht="15" hidden="false" customHeight="true" outlineLevel="0" collapsed="false">
      <c r="D25" s="5"/>
      <c r="E25" s="1"/>
      <c r="G25" s="6"/>
      <c r="H25" s="1" t="s">
        <v>13</v>
      </c>
      <c r="I25" s="1" t="s">
        <v>12</v>
      </c>
      <c r="L25" s="1" t="n">
        <v>11</v>
      </c>
      <c r="M25" s="1" t="n">
        <f aca="false">M24-N25</f>
        <v>14.56</v>
      </c>
      <c r="N25" s="1" t="n">
        <v>1.25</v>
      </c>
    </row>
    <row r="26" customFormat="false" ht="15" hidden="false" customHeight="true" outlineLevel="0" collapsed="false">
      <c r="D26" s="5" t="n">
        <v>44503</v>
      </c>
      <c r="E26" s="1"/>
      <c r="G26" s="6"/>
      <c r="H26" s="1" t="s">
        <v>12</v>
      </c>
      <c r="I26" s="1" t="s">
        <v>15</v>
      </c>
      <c r="L26" s="1" t="n">
        <v>31</v>
      </c>
      <c r="M26" s="1" t="n">
        <f aca="false">M25-N26</f>
        <v>12.06</v>
      </c>
      <c r="N26" s="1" t="n">
        <v>2.5</v>
      </c>
    </row>
    <row r="27" customFormat="false" ht="15" hidden="false" customHeight="true" outlineLevel="0" collapsed="false">
      <c r="D27" s="5"/>
      <c r="E27" s="1"/>
      <c r="G27" s="6"/>
      <c r="H27" s="1" t="s">
        <v>15</v>
      </c>
      <c r="I27" s="1" t="s">
        <v>12</v>
      </c>
      <c r="L27" s="1" t="n">
        <v>31</v>
      </c>
      <c r="M27" s="1" t="n">
        <f aca="false">M26-N27</f>
        <v>9.56</v>
      </c>
      <c r="N27" s="1" t="n">
        <v>2.5</v>
      </c>
    </row>
    <row r="28" customFormat="false" ht="15" hidden="false" customHeight="true" outlineLevel="0" collapsed="false">
      <c r="D28" s="5" t="n">
        <v>44504</v>
      </c>
      <c r="E28" s="1"/>
      <c r="G28" s="6"/>
      <c r="H28" s="1" t="s">
        <v>12</v>
      </c>
      <c r="I28" s="1" t="s">
        <v>14</v>
      </c>
      <c r="L28" s="1" t="n">
        <v>12</v>
      </c>
      <c r="M28" s="1" t="n">
        <f aca="false">M27-N28</f>
        <v>8.31</v>
      </c>
      <c r="N28" s="1" t="n">
        <v>1.25</v>
      </c>
    </row>
    <row r="29" customFormat="false" ht="15" hidden="false" customHeight="true" outlineLevel="0" collapsed="false">
      <c r="D29" s="5"/>
      <c r="E29" s="1"/>
      <c r="G29" s="6"/>
      <c r="H29" s="1" t="s">
        <v>14</v>
      </c>
      <c r="I29" s="1" t="s">
        <v>12</v>
      </c>
      <c r="L29" s="1" t="n">
        <v>12</v>
      </c>
      <c r="M29" s="1" t="n">
        <f aca="false">M28-N29</f>
        <v>7.06</v>
      </c>
      <c r="N29" s="1" t="n">
        <v>1.25</v>
      </c>
    </row>
    <row r="30" customFormat="false" ht="15" hidden="false" customHeight="true" outlineLevel="0" collapsed="false">
      <c r="D30" s="5" t="n">
        <v>44505</v>
      </c>
      <c r="E30" s="1"/>
      <c r="G30" s="6"/>
      <c r="H30" s="1" t="s">
        <v>12</v>
      </c>
      <c r="I30" s="1" t="s">
        <v>20</v>
      </c>
      <c r="L30" s="1" t="n">
        <v>15</v>
      </c>
      <c r="M30" s="1" t="n">
        <f aca="false">M29-N30</f>
        <v>5.06</v>
      </c>
      <c r="N30" s="1" t="n">
        <v>2</v>
      </c>
    </row>
    <row r="31" customFormat="false" ht="15" hidden="false" customHeight="true" outlineLevel="0" collapsed="false">
      <c r="D31" s="5"/>
      <c r="E31" s="1"/>
      <c r="G31" s="6"/>
      <c r="H31" s="1" t="s">
        <v>20</v>
      </c>
      <c r="I31" s="1" t="s">
        <v>12</v>
      </c>
      <c r="L31" s="1" t="n">
        <v>15</v>
      </c>
      <c r="M31" s="1" t="n">
        <f aca="false">M30-N31</f>
        <v>3.06</v>
      </c>
      <c r="N31" s="1" t="n">
        <v>2</v>
      </c>
    </row>
    <row r="32" customFormat="false" ht="15" hidden="false" customHeight="true" outlineLevel="0" collapsed="false">
      <c r="D32" s="5" t="n">
        <v>44508</v>
      </c>
      <c r="E32" s="1" t="n">
        <v>25.85</v>
      </c>
      <c r="F32" s="1" t="n">
        <v>49.95</v>
      </c>
      <c r="G32" s="6" t="n">
        <f aca="false">E32*F32</f>
        <v>1291.2075</v>
      </c>
      <c r="H32" s="1" t="s">
        <v>12</v>
      </c>
      <c r="I32" s="1" t="s">
        <v>21</v>
      </c>
      <c r="L32" s="1" t="n">
        <v>6</v>
      </c>
      <c r="M32" s="1" t="n">
        <f aca="false">(E32+M31)-N32</f>
        <v>28.16</v>
      </c>
      <c r="N32" s="1" t="n">
        <v>0.75</v>
      </c>
    </row>
    <row r="33" customFormat="false" ht="15" hidden="false" customHeight="true" outlineLevel="0" collapsed="false">
      <c r="D33" s="5"/>
      <c r="E33" s="1"/>
      <c r="G33" s="6"/>
      <c r="H33" s="1" t="s">
        <v>21</v>
      </c>
      <c r="I33" s="1" t="s">
        <v>12</v>
      </c>
      <c r="L33" s="1" t="n">
        <v>6</v>
      </c>
      <c r="M33" s="1" t="n">
        <f aca="false">M32-N33</f>
        <v>27.41</v>
      </c>
      <c r="N33" s="1" t="n">
        <v>0.75</v>
      </c>
    </row>
    <row r="34" customFormat="false" ht="15" hidden="false" customHeight="true" outlineLevel="0" collapsed="false">
      <c r="D34" s="5"/>
      <c r="E34" s="1"/>
      <c r="G34" s="6"/>
      <c r="H34" s="1" t="s">
        <v>12</v>
      </c>
      <c r="I34" s="1" t="s">
        <v>15</v>
      </c>
      <c r="L34" s="1" t="n">
        <v>31</v>
      </c>
      <c r="M34" s="1" t="n">
        <f aca="false">M33-N34</f>
        <v>24.91</v>
      </c>
      <c r="N34" s="1" t="n">
        <v>2.5</v>
      </c>
    </row>
    <row r="35" customFormat="false" ht="15" hidden="false" customHeight="true" outlineLevel="0" collapsed="false">
      <c r="D35" s="5"/>
      <c r="E35" s="1"/>
      <c r="G35" s="6"/>
      <c r="H35" s="1" t="s">
        <v>15</v>
      </c>
      <c r="I35" s="1" t="s">
        <v>12</v>
      </c>
      <c r="L35" s="1" t="n">
        <v>31</v>
      </c>
      <c r="M35" s="1" t="n">
        <f aca="false">M34-N35</f>
        <v>22.41</v>
      </c>
      <c r="N35" s="1" t="n">
        <v>2.5</v>
      </c>
    </row>
    <row r="36" customFormat="false" ht="15" hidden="false" customHeight="true" outlineLevel="0" collapsed="false">
      <c r="D36" s="5" t="n">
        <v>44509</v>
      </c>
      <c r="E36" s="1"/>
      <c r="G36" s="6"/>
      <c r="H36" s="1" t="s">
        <v>12</v>
      </c>
      <c r="I36" s="1" t="s">
        <v>13</v>
      </c>
      <c r="L36" s="1" t="n">
        <v>11</v>
      </c>
      <c r="M36" s="1" t="n">
        <f aca="false">M35-N36</f>
        <v>21.16</v>
      </c>
      <c r="N36" s="1" t="n">
        <v>1.25</v>
      </c>
    </row>
    <row r="37" customFormat="false" ht="15" hidden="false" customHeight="true" outlineLevel="0" collapsed="false">
      <c r="D37" s="5"/>
      <c r="E37" s="1"/>
      <c r="G37" s="6"/>
      <c r="H37" s="1" t="s">
        <v>13</v>
      </c>
      <c r="I37" s="1" t="s">
        <v>12</v>
      </c>
      <c r="L37" s="1" t="n">
        <v>11</v>
      </c>
      <c r="M37" s="1" t="n">
        <f aca="false">M36-N37</f>
        <v>19.91</v>
      </c>
      <c r="N37" s="1" t="n">
        <v>1.25</v>
      </c>
    </row>
    <row r="38" customFormat="false" ht="15" hidden="false" customHeight="true" outlineLevel="0" collapsed="false">
      <c r="D38" s="5" t="n">
        <v>44510</v>
      </c>
      <c r="E38" s="1"/>
      <c r="G38" s="6"/>
      <c r="H38" s="1" t="s">
        <v>12</v>
      </c>
      <c r="I38" s="1" t="s">
        <v>21</v>
      </c>
      <c r="L38" s="1" t="n">
        <v>6</v>
      </c>
      <c r="M38" s="1" t="n">
        <f aca="false">M37-N38</f>
        <v>19.16</v>
      </c>
      <c r="N38" s="1" t="n">
        <v>0.75</v>
      </c>
    </row>
    <row r="39" customFormat="false" ht="15" hidden="false" customHeight="true" outlineLevel="0" collapsed="false">
      <c r="D39" s="5"/>
      <c r="E39" s="1"/>
      <c r="G39" s="6"/>
      <c r="H39" s="1" t="s">
        <v>21</v>
      </c>
      <c r="I39" s="1" t="s">
        <v>12</v>
      </c>
      <c r="L39" s="1" t="n">
        <v>6</v>
      </c>
      <c r="M39" s="1" t="n">
        <f aca="false">M38-N39</f>
        <v>18.41</v>
      </c>
      <c r="N39" s="1" t="n">
        <v>0.75</v>
      </c>
    </row>
    <row r="40" customFormat="false" ht="15" hidden="false" customHeight="true" outlineLevel="0" collapsed="false">
      <c r="D40" s="5"/>
      <c r="E40" s="1"/>
      <c r="G40" s="6"/>
      <c r="H40" s="1" t="s">
        <v>12</v>
      </c>
      <c r="I40" s="1" t="s">
        <v>15</v>
      </c>
      <c r="L40" s="1" t="n">
        <v>31</v>
      </c>
      <c r="M40" s="1" t="n">
        <f aca="false">M39-N40</f>
        <v>15.91</v>
      </c>
      <c r="N40" s="1" t="n">
        <v>2.5</v>
      </c>
    </row>
    <row r="41" customFormat="false" ht="15" hidden="false" customHeight="true" outlineLevel="0" collapsed="false">
      <c r="D41" s="5"/>
      <c r="E41" s="1"/>
      <c r="G41" s="6"/>
      <c r="H41" s="1" t="s">
        <v>15</v>
      </c>
      <c r="I41" s="1" t="s">
        <v>12</v>
      </c>
      <c r="L41" s="1" t="n">
        <v>31</v>
      </c>
      <c r="M41" s="1" t="n">
        <f aca="false">M40-N41</f>
        <v>13.41</v>
      </c>
      <c r="N41" s="1" t="n">
        <v>2.5</v>
      </c>
    </row>
    <row r="42" customFormat="false" ht="15" hidden="false" customHeight="true" outlineLevel="0" collapsed="false">
      <c r="D42" s="5" t="n">
        <v>44511</v>
      </c>
      <c r="E42" s="1"/>
      <c r="G42" s="6"/>
      <c r="H42" s="1" t="s">
        <v>12</v>
      </c>
      <c r="I42" s="1" t="s">
        <v>22</v>
      </c>
      <c r="L42" s="1" t="n">
        <v>25</v>
      </c>
      <c r="M42" s="1" t="n">
        <f aca="false">M41-N42</f>
        <v>10.41</v>
      </c>
      <c r="N42" s="1" t="n">
        <v>3</v>
      </c>
    </row>
    <row r="43" customFormat="false" ht="15" hidden="false" customHeight="true" outlineLevel="0" collapsed="false">
      <c r="D43" s="5"/>
      <c r="E43" s="1"/>
      <c r="G43" s="6"/>
      <c r="H43" s="1" t="s">
        <v>22</v>
      </c>
      <c r="I43" s="1" t="s">
        <v>12</v>
      </c>
      <c r="L43" s="1" t="n">
        <v>25</v>
      </c>
      <c r="M43" s="1" t="n">
        <f aca="false">M42-N43</f>
        <v>7.41</v>
      </c>
      <c r="N43" s="1" t="n">
        <v>3</v>
      </c>
    </row>
    <row r="44" customFormat="false" ht="15" hidden="false" customHeight="true" outlineLevel="0" collapsed="false">
      <c r="D44" s="5" t="n">
        <v>44512</v>
      </c>
      <c r="E44" s="1" t="n">
        <v>21.91</v>
      </c>
      <c r="F44" s="1" t="n">
        <v>50.5</v>
      </c>
      <c r="G44" s="6" t="n">
        <f aca="false">E44*F44</f>
        <v>1106.455</v>
      </c>
      <c r="H44" s="1" t="s">
        <v>12</v>
      </c>
      <c r="I44" s="1" t="s">
        <v>15</v>
      </c>
      <c r="L44" s="1" t="n">
        <v>31</v>
      </c>
      <c r="M44" s="1" t="n">
        <f aca="false">(E44+M43)-N44</f>
        <v>26.82</v>
      </c>
      <c r="N44" s="1" t="n">
        <v>2.5</v>
      </c>
    </row>
    <row r="45" customFormat="false" ht="15" hidden="false" customHeight="true" outlineLevel="0" collapsed="false">
      <c r="D45" s="5"/>
      <c r="E45" s="1"/>
      <c r="G45" s="6"/>
      <c r="H45" s="1" t="s">
        <v>15</v>
      </c>
      <c r="I45" s="1" t="s">
        <v>12</v>
      </c>
      <c r="L45" s="1" t="n">
        <v>31</v>
      </c>
      <c r="M45" s="1" t="n">
        <f aca="false">M44-N45</f>
        <v>24.32</v>
      </c>
      <c r="N45" s="1" t="n">
        <v>2.5</v>
      </c>
    </row>
    <row r="46" customFormat="false" ht="15" hidden="false" customHeight="true" outlineLevel="0" collapsed="false">
      <c r="D46" s="5"/>
      <c r="E46" s="1"/>
      <c r="G46" s="6"/>
      <c r="H46" s="1" t="s">
        <v>12</v>
      </c>
      <c r="I46" s="1" t="s">
        <v>13</v>
      </c>
      <c r="L46" s="1" t="n">
        <v>11</v>
      </c>
      <c r="M46" s="1" t="n">
        <f aca="false">M45-N46</f>
        <v>23.07</v>
      </c>
      <c r="N46" s="1" t="n">
        <v>1.25</v>
      </c>
    </row>
    <row r="47" customFormat="false" ht="15" hidden="false" customHeight="true" outlineLevel="0" collapsed="false">
      <c r="D47" s="5"/>
      <c r="E47" s="1"/>
      <c r="G47" s="6"/>
      <c r="H47" s="1" t="s">
        <v>13</v>
      </c>
      <c r="I47" s="1" t="s">
        <v>12</v>
      </c>
      <c r="L47" s="1" t="n">
        <v>11</v>
      </c>
      <c r="M47" s="1" t="n">
        <f aca="false">M46-N47</f>
        <v>21.82</v>
      </c>
      <c r="N47" s="1" t="n">
        <v>1.25</v>
      </c>
    </row>
    <row r="48" customFormat="false" ht="15" hidden="false" customHeight="true" outlineLevel="0" collapsed="false">
      <c r="D48" s="5" t="n">
        <v>44515</v>
      </c>
      <c r="E48" s="1"/>
      <c r="G48" s="6"/>
      <c r="H48" s="1" t="s">
        <v>12</v>
      </c>
      <c r="I48" s="1" t="s">
        <v>13</v>
      </c>
      <c r="L48" s="1" t="n">
        <v>11</v>
      </c>
      <c r="M48" s="1" t="n">
        <f aca="false">M47-N48</f>
        <v>20.57</v>
      </c>
      <c r="N48" s="1" t="n">
        <v>1.25</v>
      </c>
    </row>
    <row r="49" customFormat="false" ht="15" hidden="false" customHeight="true" outlineLevel="0" collapsed="false">
      <c r="D49" s="5"/>
      <c r="E49" s="1"/>
      <c r="G49" s="6"/>
      <c r="H49" s="1" t="s">
        <v>13</v>
      </c>
      <c r="I49" s="1" t="s">
        <v>12</v>
      </c>
      <c r="L49" s="1" t="n">
        <v>11</v>
      </c>
      <c r="M49" s="1" t="n">
        <f aca="false">M48-N49</f>
        <v>19.32</v>
      </c>
      <c r="N49" s="1" t="n">
        <v>1.25</v>
      </c>
    </row>
    <row r="50" customFormat="false" ht="15" hidden="false" customHeight="true" outlineLevel="0" collapsed="false">
      <c r="D50" s="5" t="n">
        <v>44516</v>
      </c>
      <c r="E50" s="1"/>
      <c r="G50" s="6"/>
      <c r="H50" s="1" t="s">
        <v>12</v>
      </c>
      <c r="I50" s="1" t="s">
        <v>13</v>
      </c>
      <c r="L50" s="1" t="n">
        <v>11</v>
      </c>
      <c r="M50" s="1" t="n">
        <f aca="false">M49-N50</f>
        <v>18.07</v>
      </c>
      <c r="N50" s="1" t="n">
        <v>1.25</v>
      </c>
    </row>
    <row r="51" customFormat="false" ht="15" hidden="false" customHeight="true" outlineLevel="0" collapsed="false">
      <c r="D51" s="5"/>
      <c r="E51" s="1"/>
      <c r="G51" s="6"/>
      <c r="H51" s="1" t="s">
        <v>13</v>
      </c>
      <c r="I51" s="1" t="s">
        <v>12</v>
      </c>
      <c r="L51" s="1" t="n">
        <v>11</v>
      </c>
      <c r="M51" s="1" t="n">
        <f aca="false">M50-N51</f>
        <v>16.82</v>
      </c>
      <c r="N51" s="1" t="n">
        <v>1.25</v>
      </c>
    </row>
    <row r="52" customFormat="false" ht="15" hidden="false" customHeight="true" outlineLevel="0" collapsed="false">
      <c r="D52" s="5" t="n">
        <v>44517</v>
      </c>
      <c r="E52" s="1"/>
      <c r="G52" s="6"/>
      <c r="H52" s="1" t="s">
        <v>12</v>
      </c>
      <c r="I52" s="1" t="s">
        <v>13</v>
      </c>
      <c r="L52" s="1" t="n">
        <v>11</v>
      </c>
      <c r="M52" s="1" t="n">
        <f aca="false">M51-N52</f>
        <v>15.57</v>
      </c>
      <c r="N52" s="1" t="n">
        <v>1.25</v>
      </c>
    </row>
    <row r="53" customFormat="false" ht="15" hidden="false" customHeight="true" outlineLevel="0" collapsed="false">
      <c r="D53" s="5"/>
      <c r="E53" s="1"/>
      <c r="G53" s="6"/>
      <c r="H53" s="1" t="s">
        <v>13</v>
      </c>
      <c r="I53" s="1" t="s">
        <v>12</v>
      </c>
      <c r="L53" s="1" t="n">
        <v>11</v>
      </c>
      <c r="M53" s="1" t="n">
        <f aca="false">M52-N53</f>
        <v>14.32</v>
      </c>
      <c r="N53" s="1" t="n">
        <v>1.25</v>
      </c>
    </row>
    <row r="54" customFormat="false" ht="15" hidden="false" customHeight="true" outlineLevel="0" collapsed="false">
      <c r="D54" s="5" t="n">
        <v>44518</v>
      </c>
      <c r="E54" s="1"/>
      <c r="G54" s="6"/>
      <c r="H54" s="1" t="s">
        <v>12</v>
      </c>
      <c r="I54" s="1" t="s">
        <v>15</v>
      </c>
      <c r="L54" s="1" t="n">
        <v>31</v>
      </c>
      <c r="M54" s="1" t="n">
        <f aca="false">M53-N54</f>
        <v>11.82</v>
      </c>
      <c r="N54" s="1" t="n">
        <v>2.5</v>
      </c>
    </row>
    <row r="55" customFormat="false" ht="15" hidden="false" customHeight="true" outlineLevel="0" collapsed="false">
      <c r="D55" s="5"/>
      <c r="E55" s="1"/>
      <c r="G55" s="6"/>
      <c r="H55" s="1" t="s">
        <v>15</v>
      </c>
      <c r="I55" s="1" t="s">
        <v>12</v>
      </c>
      <c r="L55" s="1" t="n">
        <v>31</v>
      </c>
      <c r="M55" s="1" t="n">
        <f aca="false">M54-N55</f>
        <v>9.32</v>
      </c>
      <c r="N55" s="1" t="n">
        <v>2.5</v>
      </c>
    </row>
    <row r="56" customFormat="false" ht="15" hidden="false" customHeight="true" outlineLevel="0" collapsed="false">
      <c r="D56" s="5" t="n">
        <v>44519</v>
      </c>
      <c r="E56" s="1" t="n">
        <v>21.94</v>
      </c>
      <c r="F56" s="1" t="n">
        <v>50.7</v>
      </c>
      <c r="G56" s="6" t="n">
        <f aca="false">E56*F56</f>
        <v>1112.358</v>
      </c>
      <c r="H56" s="1" t="s">
        <v>12</v>
      </c>
      <c r="I56" s="1" t="s">
        <v>14</v>
      </c>
      <c r="L56" s="1" t="n">
        <v>12</v>
      </c>
      <c r="M56" s="1" t="n">
        <f aca="false">(E56+M55)-N56</f>
        <v>30.01</v>
      </c>
      <c r="N56" s="1" t="n">
        <v>1.25</v>
      </c>
    </row>
    <row r="57" customFormat="false" ht="15" hidden="false" customHeight="true" outlineLevel="0" collapsed="false">
      <c r="D57" s="5"/>
      <c r="E57" s="1"/>
      <c r="G57" s="6"/>
      <c r="H57" s="1" t="s">
        <v>14</v>
      </c>
      <c r="I57" s="1" t="s">
        <v>12</v>
      </c>
      <c r="L57" s="1" t="n">
        <v>12</v>
      </c>
      <c r="M57" s="1" t="n">
        <f aca="false">M56-N57</f>
        <v>28.76</v>
      </c>
      <c r="N57" s="1" t="n">
        <v>1.25</v>
      </c>
    </row>
    <row r="58" customFormat="false" ht="15" hidden="false" customHeight="true" outlineLevel="0" collapsed="false">
      <c r="D58" s="5"/>
      <c r="E58" s="1"/>
      <c r="G58" s="6"/>
      <c r="H58" s="1" t="s">
        <v>12</v>
      </c>
      <c r="I58" s="1" t="s">
        <v>21</v>
      </c>
      <c r="L58" s="1" t="n">
        <v>6</v>
      </c>
      <c r="M58" s="1" t="n">
        <f aca="false">M57-N58</f>
        <v>28.01</v>
      </c>
      <c r="N58" s="1" t="n">
        <v>0.75</v>
      </c>
    </row>
    <row r="59" customFormat="false" ht="15" hidden="false" customHeight="true" outlineLevel="0" collapsed="false">
      <c r="D59" s="5"/>
      <c r="E59" s="1"/>
      <c r="G59" s="6"/>
      <c r="H59" s="1" t="s">
        <v>21</v>
      </c>
      <c r="I59" s="1" t="s">
        <v>12</v>
      </c>
      <c r="L59" s="1" t="n">
        <v>6</v>
      </c>
      <c r="M59" s="1" t="n">
        <f aca="false">M58-N59</f>
        <v>27.26</v>
      </c>
      <c r="N59" s="1" t="n">
        <v>0.75</v>
      </c>
    </row>
    <row r="60" customFormat="false" ht="15" hidden="false" customHeight="true" outlineLevel="0" collapsed="false">
      <c r="D60" s="5" t="n">
        <v>44522</v>
      </c>
      <c r="E60" s="1"/>
      <c r="G60" s="6"/>
      <c r="H60" s="1" t="s">
        <v>12</v>
      </c>
      <c r="I60" s="1" t="s">
        <v>15</v>
      </c>
      <c r="L60" s="1" t="n">
        <v>31</v>
      </c>
      <c r="M60" s="1" t="n">
        <f aca="false">M59-N60</f>
        <v>24.76</v>
      </c>
      <c r="N60" s="1" t="n">
        <v>2.5</v>
      </c>
    </row>
    <row r="61" customFormat="false" ht="15" hidden="false" customHeight="true" outlineLevel="0" collapsed="false">
      <c r="D61" s="5"/>
      <c r="E61" s="1"/>
      <c r="G61" s="6"/>
      <c r="H61" s="1" t="s">
        <v>15</v>
      </c>
      <c r="I61" s="1" t="s">
        <v>12</v>
      </c>
      <c r="L61" s="1" t="n">
        <v>31</v>
      </c>
      <c r="M61" s="1" t="n">
        <f aca="false">M60-N61</f>
        <v>22.26</v>
      </c>
      <c r="N61" s="1" t="n">
        <v>2.5</v>
      </c>
    </row>
    <row r="62" customFormat="false" ht="15" hidden="false" customHeight="true" outlineLevel="0" collapsed="false">
      <c r="D62" s="5" t="n">
        <v>44523</v>
      </c>
      <c r="E62" s="1"/>
      <c r="G62" s="6"/>
      <c r="H62" s="1" t="s">
        <v>12</v>
      </c>
      <c r="I62" s="1" t="s">
        <v>14</v>
      </c>
      <c r="L62" s="1" t="n">
        <v>12</v>
      </c>
      <c r="M62" s="1" t="n">
        <f aca="false">M61-N62</f>
        <v>21.01</v>
      </c>
      <c r="N62" s="1" t="n">
        <v>1.25</v>
      </c>
    </row>
    <row r="63" customFormat="false" ht="15" hidden="false" customHeight="true" outlineLevel="0" collapsed="false">
      <c r="D63" s="5"/>
      <c r="E63" s="1"/>
      <c r="G63" s="6"/>
      <c r="H63" s="1" t="s">
        <v>14</v>
      </c>
      <c r="I63" s="1" t="s">
        <v>12</v>
      </c>
      <c r="L63" s="1" t="n">
        <v>12</v>
      </c>
      <c r="M63" s="1" t="n">
        <f aca="false">M62-N63</f>
        <v>19.76</v>
      </c>
      <c r="N63" s="1" t="n">
        <v>1.25</v>
      </c>
    </row>
    <row r="64" customFormat="false" ht="15" hidden="false" customHeight="true" outlineLevel="0" collapsed="false">
      <c r="D64" s="5"/>
      <c r="E64" s="1"/>
      <c r="G64" s="6"/>
      <c r="H64" s="1" t="s">
        <v>12</v>
      </c>
      <c r="I64" s="1" t="s">
        <v>23</v>
      </c>
      <c r="L64" s="1" t="n">
        <v>8</v>
      </c>
      <c r="M64" s="1" t="n">
        <f aca="false">M63-N64</f>
        <v>18.86</v>
      </c>
      <c r="N64" s="1" t="n">
        <v>0.9</v>
      </c>
    </row>
    <row r="65" customFormat="false" ht="15" hidden="false" customHeight="true" outlineLevel="0" collapsed="false">
      <c r="D65" s="5"/>
      <c r="E65" s="1"/>
      <c r="G65" s="6"/>
      <c r="H65" s="1" t="s">
        <v>23</v>
      </c>
      <c r="I65" s="1" t="s">
        <v>12</v>
      </c>
      <c r="L65" s="1" t="n">
        <v>8</v>
      </c>
      <c r="M65" s="1" t="n">
        <f aca="false">M64-N65</f>
        <v>17.96</v>
      </c>
      <c r="N65" s="1" t="n">
        <v>0.9</v>
      </c>
    </row>
    <row r="66" customFormat="false" ht="15" hidden="false" customHeight="true" outlineLevel="0" collapsed="false">
      <c r="D66" s="5"/>
      <c r="E66" s="1"/>
      <c r="G66" s="6"/>
      <c r="H66" s="1" t="s">
        <v>12</v>
      </c>
      <c r="I66" s="1" t="s">
        <v>15</v>
      </c>
      <c r="L66" s="1" t="n">
        <v>31</v>
      </c>
      <c r="M66" s="1" t="n">
        <f aca="false">M65-N66</f>
        <v>15.46</v>
      </c>
      <c r="N66" s="1" t="n">
        <v>2.5</v>
      </c>
    </row>
    <row r="67" customFormat="false" ht="15" hidden="false" customHeight="true" outlineLevel="0" collapsed="false">
      <c r="D67" s="5"/>
      <c r="E67" s="1"/>
      <c r="G67" s="6"/>
      <c r="H67" s="1" t="s">
        <v>15</v>
      </c>
      <c r="I67" s="1" t="s">
        <v>12</v>
      </c>
      <c r="L67" s="1" t="n">
        <v>31</v>
      </c>
      <c r="M67" s="1" t="n">
        <f aca="false">M66-N67</f>
        <v>12.96</v>
      </c>
      <c r="N67" s="1" t="n">
        <v>2.5</v>
      </c>
    </row>
    <row r="68" customFormat="false" ht="15" hidden="false" customHeight="true" outlineLevel="0" collapsed="false">
      <c r="D68" s="5" t="n">
        <v>44524</v>
      </c>
      <c r="E68" s="1" t="n">
        <v>21.94</v>
      </c>
      <c r="F68" s="1" t="n">
        <v>50.55</v>
      </c>
      <c r="G68" s="6" t="n">
        <f aca="false">E68*F68</f>
        <v>1109.067</v>
      </c>
      <c r="H68" s="1" t="s">
        <v>12</v>
      </c>
      <c r="I68" s="1" t="s">
        <v>19</v>
      </c>
      <c r="L68" s="1" t="n">
        <v>30</v>
      </c>
      <c r="M68" s="1" t="n">
        <f aca="false">(E68+M67)-N68</f>
        <v>31.4</v>
      </c>
      <c r="N68" s="1" t="n">
        <v>3.5</v>
      </c>
    </row>
    <row r="69" customFormat="false" ht="15" hidden="false" customHeight="true" outlineLevel="0" collapsed="false">
      <c r="D69" s="5"/>
      <c r="E69" s="1"/>
      <c r="G69" s="6"/>
      <c r="H69" s="1" t="s">
        <v>19</v>
      </c>
      <c r="I69" s="1" t="s">
        <v>12</v>
      </c>
      <c r="L69" s="1" t="n">
        <v>30</v>
      </c>
      <c r="M69" s="1" t="n">
        <f aca="false">M68-N69</f>
        <v>27.9</v>
      </c>
      <c r="N69" s="1" t="n">
        <v>3.5</v>
      </c>
    </row>
    <row r="70" customFormat="false" ht="15" hidden="false" customHeight="true" outlineLevel="0" collapsed="false">
      <c r="H70" s="1" t="s">
        <v>12</v>
      </c>
      <c r="I70" s="1" t="s">
        <v>14</v>
      </c>
      <c r="L70" s="1" t="n">
        <v>12</v>
      </c>
      <c r="M70" s="1" t="n">
        <f aca="false">M69-N70</f>
        <v>26.65</v>
      </c>
      <c r="N70" s="1" t="n">
        <v>1.25</v>
      </c>
    </row>
    <row r="71" customFormat="false" ht="15" hidden="false" customHeight="true" outlineLevel="0" collapsed="false">
      <c r="H71" s="1" t="s">
        <v>14</v>
      </c>
      <c r="I71" s="1" t="s">
        <v>12</v>
      </c>
      <c r="L71" s="1" t="n">
        <v>12</v>
      </c>
      <c r="M71" s="1" t="n">
        <f aca="false">M70-N71</f>
        <v>25.4</v>
      </c>
      <c r="N71" s="1" t="n">
        <v>1.25</v>
      </c>
    </row>
    <row r="72" customFormat="false" ht="15" hidden="false" customHeight="true" outlineLevel="0" collapsed="false">
      <c r="D72" s="5" t="n">
        <v>44525</v>
      </c>
      <c r="E72" s="1"/>
      <c r="G72" s="6"/>
      <c r="H72" s="1" t="s">
        <v>12</v>
      </c>
      <c r="I72" s="1" t="s">
        <v>23</v>
      </c>
      <c r="L72" s="1" t="n">
        <v>8</v>
      </c>
      <c r="M72" s="1" t="n">
        <f aca="false">M71-N72</f>
        <v>24.5</v>
      </c>
      <c r="N72" s="1" t="n">
        <v>0.9</v>
      </c>
    </row>
    <row r="73" customFormat="false" ht="15" hidden="false" customHeight="true" outlineLevel="0" collapsed="false">
      <c r="D73" s="5"/>
      <c r="E73" s="1"/>
      <c r="G73" s="6"/>
      <c r="H73" s="1" t="s">
        <v>23</v>
      </c>
      <c r="I73" s="1" t="s">
        <v>12</v>
      </c>
      <c r="L73" s="1" t="n">
        <v>8</v>
      </c>
      <c r="M73" s="1" t="n">
        <f aca="false">M72-N73</f>
        <v>23.6</v>
      </c>
      <c r="N73" s="1" t="n">
        <v>0.9</v>
      </c>
    </row>
    <row r="74" customFormat="false" ht="15" hidden="false" customHeight="true" outlineLevel="0" collapsed="false">
      <c r="D74" s="5" t="n">
        <v>44526</v>
      </c>
      <c r="E74" s="1"/>
      <c r="G74" s="6"/>
      <c r="H74" s="1" t="s">
        <v>12</v>
      </c>
      <c r="I74" s="1" t="s">
        <v>15</v>
      </c>
      <c r="L74" s="1" t="n">
        <v>31</v>
      </c>
      <c r="M74" s="1" t="n">
        <f aca="false">M73-N74</f>
        <v>21.1</v>
      </c>
      <c r="N74" s="1" t="n">
        <v>2.5</v>
      </c>
    </row>
    <row r="75" customFormat="false" ht="15" hidden="false" customHeight="true" outlineLevel="0" collapsed="false">
      <c r="D75" s="5"/>
      <c r="E75" s="1"/>
      <c r="G75" s="6"/>
      <c r="H75" s="1" t="s">
        <v>15</v>
      </c>
      <c r="I75" s="1" t="s">
        <v>12</v>
      </c>
      <c r="L75" s="1" t="n">
        <v>31</v>
      </c>
      <c r="M75" s="1" t="n">
        <f aca="false">M74-N75</f>
        <v>18.6</v>
      </c>
      <c r="N75" s="1" t="n">
        <v>2.5</v>
      </c>
    </row>
    <row r="76" customFormat="false" ht="15" hidden="false" customHeight="true" outlineLevel="0" collapsed="false">
      <c r="D76" s="5"/>
      <c r="E76" s="1"/>
      <c r="G76" s="6"/>
      <c r="H76" s="1" t="s">
        <v>12</v>
      </c>
      <c r="I76" s="1" t="s">
        <v>13</v>
      </c>
      <c r="L76" s="1" t="n">
        <v>11</v>
      </c>
      <c r="M76" s="1" t="n">
        <f aca="false">M75-N76</f>
        <v>17.35</v>
      </c>
      <c r="N76" s="1" t="n">
        <v>1.25</v>
      </c>
    </row>
    <row r="77" customFormat="false" ht="15" hidden="false" customHeight="true" outlineLevel="0" collapsed="false">
      <c r="D77" s="5"/>
      <c r="E77" s="1"/>
      <c r="G77" s="6"/>
      <c r="H77" s="1" t="s">
        <v>13</v>
      </c>
      <c r="I77" s="1" t="s">
        <v>12</v>
      </c>
      <c r="L77" s="1" t="n">
        <v>11</v>
      </c>
      <c r="M77" s="1" t="n">
        <f aca="false">M76-N77</f>
        <v>16.1</v>
      </c>
      <c r="N77" s="1" t="n">
        <v>1.25</v>
      </c>
    </row>
    <row r="78" customFormat="false" ht="15" hidden="false" customHeight="true" outlineLevel="0" collapsed="false">
      <c r="D78" s="5" t="n">
        <v>44529</v>
      </c>
      <c r="E78" s="1"/>
      <c r="G78" s="6"/>
      <c r="H78" s="1" t="s">
        <v>12</v>
      </c>
      <c r="I78" s="1" t="s">
        <v>19</v>
      </c>
      <c r="L78" s="1" t="n">
        <v>30</v>
      </c>
      <c r="M78" s="1" t="n">
        <f aca="false">M77-N78</f>
        <v>12.6</v>
      </c>
      <c r="N78" s="1" t="n">
        <v>3.5</v>
      </c>
    </row>
    <row r="79" customFormat="false" ht="15" hidden="false" customHeight="true" outlineLevel="0" collapsed="false">
      <c r="D79" s="5"/>
      <c r="E79" s="1"/>
      <c r="G79" s="6"/>
      <c r="H79" s="1" t="s">
        <v>19</v>
      </c>
      <c r="I79" s="1" t="s">
        <v>12</v>
      </c>
      <c r="L79" s="1" t="n">
        <v>30</v>
      </c>
      <c r="M79" s="1" t="n">
        <f aca="false">M78-N79</f>
        <v>9.10000000000001</v>
      </c>
      <c r="N79" s="1" t="n">
        <v>3.5</v>
      </c>
    </row>
    <row r="80" customFormat="false" ht="15" hidden="false" customHeight="true" outlineLevel="0" collapsed="false">
      <c r="D80" s="5"/>
      <c r="E80" s="1"/>
      <c r="G80" s="6"/>
      <c r="H80" s="1" t="s">
        <v>12</v>
      </c>
      <c r="I80" s="1" t="s">
        <v>14</v>
      </c>
      <c r="L80" s="1" t="n">
        <v>12</v>
      </c>
      <c r="M80" s="1" t="n">
        <f aca="false">M79-N80</f>
        <v>7.85000000000001</v>
      </c>
      <c r="N80" s="1" t="n">
        <v>1.25</v>
      </c>
    </row>
    <row r="81" customFormat="false" ht="15" hidden="false" customHeight="true" outlineLevel="0" collapsed="false">
      <c r="D81" s="5"/>
      <c r="E81" s="1"/>
      <c r="G81" s="6"/>
      <c r="H81" s="1" t="s">
        <v>14</v>
      </c>
      <c r="I81" s="1" t="s">
        <v>12</v>
      </c>
      <c r="L81" s="1" t="n">
        <v>12</v>
      </c>
      <c r="M81" s="1" t="n">
        <f aca="false">M80-N81</f>
        <v>6.60000000000001</v>
      </c>
      <c r="N81" s="1" t="n">
        <v>1.25</v>
      </c>
    </row>
    <row r="82" customFormat="false" ht="15" hidden="false" customHeight="true" outlineLevel="0" collapsed="false">
      <c r="D82" s="5" t="n">
        <v>44530</v>
      </c>
      <c r="E82" s="1" t="n">
        <v>23.84</v>
      </c>
      <c r="F82" s="1" t="n">
        <v>50.7</v>
      </c>
      <c r="G82" s="6" t="n">
        <f aca="false">E82*F82</f>
        <v>1208.688</v>
      </c>
      <c r="H82" s="1" t="s">
        <v>12</v>
      </c>
      <c r="I82" s="1" t="s">
        <v>24</v>
      </c>
      <c r="L82" s="1" t="n">
        <v>14</v>
      </c>
      <c r="M82" s="1" t="n">
        <f aca="false">(E82+M81)-N82</f>
        <v>28.94</v>
      </c>
      <c r="N82" s="1" t="n">
        <v>1.5</v>
      </c>
    </row>
    <row r="83" customFormat="false" ht="15" hidden="false" customHeight="true" outlineLevel="0" collapsed="false">
      <c r="D83" s="1"/>
      <c r="E83" s="1"/>
      <c r="G83" s="6"/>
      <c r="H83" s="1" t="s">
        <v>24</v>
      </c>
      <c r="I83" s="1" t="s">
        <v>12</v>
      </c>
      <c r="L83" s="1" t="n">
        <v>14</v>
      </c>
      <c r="M83" s="1" t="n">
        <f aca="false">M82-N83</f>
        <v>27.44</v>
      </c>
      <c r="N83" s="1" t="n">
        <v>1.5</v>
      </c>
    </row>
    <row r="84" customFormat="false" ht="15" hidden="false" customHeight="true" outlineLevel="0" collapsed="false">
      <c r="D84" s="1"/>
      <c r="E84" s="1"/>
      <c r="G84" s="6"/>
      <c r="H84" s="1" t="s">
        <v>12</v>
      </c>
      <c r="I84" s="1" t="s">
        <v>14</v>
      </c>
      <c r="L84" s="1" t="n">
        <v>12</v>
      </c>
      <c r="M84" s="1" t="n">
        <f aca="false">M83-N84</f>
        <v>26.19</v>
      </c>
      <c r="N84" s="1" t="n">
        <v>1.25</v>
      </c>
    </row>
    <row r="85" customFormat="false" ht="15" hidden="false" customHeight="true" outlineLevel="0" collapsed="false">
      <c r="D85" s="1"/>
      <c r="E85" s="1"/>
      <c r="G85" s="6"/>
      <c r="H85" s="1" t="s">
        <v>14</v>
      </c>
      <c r="I85" s="1" t="s">
        <v>12</v>
      </c>
      <c r="L85" s="1" t="n">
        <v>12</v>
      </c>
      <c r="M85" s="1" t="n">
        <f aca="false">M84-N85</f>
        <v>24.94</v>
      </c>
      <c r="N85" s="1" t="n">
        <v>1.25</v>
      </c>
    </row>
    <row r="87" customFormat="false" ht="15" hidden="false" customHeight="true" outlineLevel="0" collapsed="false">
      <c r="D87" s="4" t="s">
        <v>25</v>
      </c>
      <c r="E87" s="4"/>
      <c r="F87" s="4"/>
      <c r="G87" s="4"/>
    </row>
    <row r="88" customFormat="false" ht="15" hidden="false" customHeight="true" outlineLevel="0" collapsed="false">
      <c r="D88" s="5" t="n">
        <v>44531</v>
      </c>
      <c r="H88" s="1" t="s">
        <v>12</v>
      </c>
      <c r="I88" s="1" t="s">
        <v>14</v>
      </c>
      <c r="L88" s="1" t="n">
        <v>12</v>
      </c>
      <c r="M88" s="1" t="n">
        <f aca="false">M85-N88</f>
        <v>23.69</v>
      </c>
      <c r="N88" s="1" t="n">
        <v>1.25</v>
      </c>
    </row>
    <row r="89" customFormat="false" ht="15" hidden="false" customHeight="true" outlineLevel="0" collapsed="false">
      <c r="D89" s="5"/>
      <c r="H89" s="1" t="s">
        <v>14</v>
      </c>
      <c r="I89" s="1" t="s">
        <v>12</v>
      </c>
      <c r="L89" s="1" t="n">
        <v>12</v>
      </c>
      <c r="M89" s="1" t="n">
        <f aca="false">M88-N89</f>
        <v>22.44</v>
      </c>
      <c r="N89" s="1" t="n">
        <v>1.25</v>
      </c>
    </row>
    <row r="90" customFormat="false" ht="15" hidden="false" customHeight="true" outlineLevel="0" collapsed="false">
      <c r="D90" s="5"/>
      <c r="H90" s="1" t="s">
        <v>12</v>
      </c>
      <c r="I90" s="1" t="s">
        <v>19</v>
      </c>
      <c r="L90" s="1" t="n">
        <v>30</v>
      </c>
      <c r="M90" s="1" t="n">
        <f aca="false">M89-N90</f>
        <v>18.94</v>
      </c>
      <c r="N90" s="1" t="n">
        <v>3.5</v>
      </c>
    </row>
    <row r="91" customFormat="false" ht="15" hidden="false" customHeight="true" outlineLevel="0" collapsed="false">
      <c r="D91" s="5"/>
      <c r="H91" s="1" t="s">
        <v>19</v>
      </c>
      <c r="I91" s="1" t="s">
        <v>12</v>
      </c>
      <c r="L91" s="1" t="n">
        <v>30</v>
      </c>
      <c r="M91" s="1" t="n">
        <f aca="false">M90-N91</f>
        <v>15.44</v>
      </c>
      <c r="N91" s="1" t="n">
        <v>3.5</v>
      </c>
    </row>
    <row r="92" customFormat="false" ht="15" hidden="false" customHeight="true" outlineLevel="0" collapsed="false">
      <c r="D92" s="5" t="n">
        <v>44532</v>
      </c>
      <c r="H92" s="1" t="s">
        <v>12</v>
      </c>
      <c r="I92" s="1" t="s">
        <v>23</v>
      </c>
      <c r="L92" s="1" t="n">
        <v>8</v>
      </c>
      <c r="M92" s="1" t="n">
        <f aca="false">M91-N92</f>
        <v>14.54</v>
      </c>
      <c r="N92" s="1" t="n">
        <v>0.9</v>
      </c>
    </row>
    <row r="93" customFormat="false" ht="15" hidden="false" customHeight="true" outlineLevel="0" collapsed="false">
      <c r="D93" s="5"/>
      <c r="H93" s="1" t="s">
        <v>23</v>
      </c>
      <c r="I93" s="1" t="s">
        <v>12</v>
      </c>
      <c r="L93" s="1" t="n">
        <v>8</v>
      </c>
      <c r="M93" s="1" t="n">
        <f aca="false">M92-N93</f>
        <v>13.64</v>
      </c>
      <c r="N93" s="1" t="n">
        <v>0.9</v>
      </c>
    </row>
    <row r="94" customFormat="false" ht="15" hidden="false" customHeight="true" outlineLevel="0" collapsed="false">
      <c r="D94" s="5"/>
      <c r="H94" s="1" t="s">
        <v>12</v>
      </c>
      <c r="I94" s="1" t="s">
        <v>15</v>
      </c>
      <c r="L94" s="1" t="n">
        <v>31</v>
      </c>
      <c r="M94" s="1" t="n">
        <f aca="false">M93-N94</f>
        <v>11.14</v>
      </c>
      <c r="N94" s="1" t="n">
        <v>2.5</v>
      </c>
    </row>
    <row r="95" customFormat="false" ht="15" hidden="false" customHeight="true" outlineLevel="0" collapsed="false">
      <c r="D95" s="5"/>
      <c r="H95" s="1" t="s">
        <v>15</v>
      </c>
      <c r="I95" s="1" t="s">
        <v>12</v>
      </c>
      <c r="L95" s="1" t="n">
        <v>31</v>
      </c>
      <c r="M95" s="1" t="n">
        <f aca="false">M94-N95</f>
        <v>8.64000000000001</v>
      </c>
      <c r="N95" s="1" t="n">
        <v>2.5</v>
      </c>
    </row>
    <row r="96" customFormat="false" ht="15" hidden="false" customHeight="true" outlineLevel="0" collapsed="false">
      <c r="D96" s="5" t="n">
        <v>44533</v>
      </c>
      <c r="H96" s="1" t="s">
        <v>12</v>
      </c>
      <c r="I96" s="1" t="s">
        <v>14</v>
      </c>
      <c r="L96" s="1" t="n">
        <v>12</v>
      </c>
      <c r="M96" s="1" t="n">
        <f aca="false">M95-N96</f>
        <v>7.39000000000001</v>
      </c>
      <c r="N96" s="1" t="n">
        <v>1.25</v>
      </c>
    </row>
    <row r="97" customFormat="false" ht="15" hidden="false" customHeight="true" outlineLevel="0" collapsed="false">
      <c r="D97" s="5"/>
      <c r="H97" s="1" t="s">
        <v>14</v>
      </c>
      <c r="I97" s="1" t="s">
        <v>12</v>
      </c>
      <c r="L97" s="1" t="n">
        <v>12</v>
      </c>
      <c r="M97" s="1" t="n">
        <f aca="false">M96-N97</f>
        <v>6.14000000000001</v>
      </c>
      <c r="N97" s="1" t="n">
        <v>1.25</v>
      </c>
    </row>
    <row r="98" customFormat="false" ht="15" hidden="false" customHeight="true" outlineLevel="0" collapsed="false">
      <c r="D98" s="5" t="n">
        <v>44536</v>
      </c>
      <c r="H98" s="1" t="s">
        <v>12</v>
      </c>
      <c r="I98" s="1" t="s">
        <v>14</v>
      </c>
      <c r="L98" s="1" t="n">
        <v>12</v>
      </c>
      <c r="M98" s="1" t="n">
        <f aca="false">M97-N98</f>
        <v>4.89000000000001</v>
      </c>
      <c r="N98" s="1" t="n">
        <v>1.25</v>
      </c>
    </row>
    <row r="99" customFormat="false" ht="15" hidden="false" customHeight="true" outlineLevel="0" collapsed="false">
      <c r="D99" s="5"/>
      <c r="H99" s="1" t="s">
        <v>14</v>
      </c>
      <c r="I99" s="1" t="s">
        <v>12</v>
      </c>
      <c r="L99" s="1" t="n">
        <v>12</v>
      </c>
      <c r="M99" s="1" t="n">
        <f aca="false">M98-N99</f>
        <v>3.64000000000001</v>
      </c>
      <c r="N99" s="1" t="n">
        <v>1.25</v>
      </c>
    </row>
    <row r="100" customFormat="false" ht="15" hidden="false" customHeight="true" outlineLevel="0" collapsed="false">
      <c r="D100" s="5" t="n">
        <v>44537</v>
      </c>
      <c r="H100" s="1" t="s">
        <v>12</v>
      </c>
      <c r="I100" s="1" t="s">
        <v>14</v>
      </c>
      <c r="L100" s="1" t="n">
        <v>12</v>
      </c>
      <c r="M100" s="1" t="n">
        <f aca="false">M99-N100</f>
        <v>2.39000000000001</v>
      </c>
      <c r="N100" s="1" t="n">
        <v>1.25</v>
      </c>
    </row>
    <row r="101" customFormat="false" ht="15" hidden="false" customHeight="true" outlineLevel="0" collapsed="false">
      <c r="D101" s="5"/>
      <c r="H101" s="1" t="s">
        <v>14</v>
      </c>
      <c r="I101" s="1" t="s">
        <v>12</v>
      </c>
      <c r="L101" s="1" t="n">
        <v>12</v>
      </c>
      <c r="M101" s="1" t="n">
        <f aca="false">M100-N101</f>
        <v>1.14000000000001</v>
      </c>
      <c r="N101" s="1" t="n">
        <v>1.25</v>
      </c>
    </row>
    <row r="102" customFormat="false" ht="15" hidden="false" customHeight="true" outlineLevel="0" collapsed="false">
      <c r="D102" s="5" t="n">
        <v>44538</v>
      </c>
      <c r="E102" s="0" t="n">
        <v>23.1</v>
      </c>
      <c r="F102" s="1" t="n">
        <v>50.65</v>
      </c>
      <c r="G102" s="6" t="n">
        <f aca="false">E102*F102</f>
        <v>1170.015</v>
      </c>
      <c r="H102" s="1" t="s">
        <v>12</v>
      </c>
      <c r="I102" s="1" t="s">
        <v>19</v>
      </c>
      <c r="L102" s="1" t="n">
        <v>30</v>
      </c>
      <c r="M102" s="1" t="n">
        <f aca="false">(E102+M101)-N102</f>
        <v>20.74</v>
      </c>
      <c r="N102" s="1" t="n">
        <v>3.5</v>
      </c>
    </row>
    <row r="103" customFormat="false" ht="15" hidden="false" customHeight="true" outlineLevel="0" collapsed="false">
      <c r="D103" s="5"/>
      <c r="G103" s="6"/>
      <c r="H103" s="1" t="s">
        <v>19</v>
      </c>
      <c r="I103" s="1" t="s">
        <v>12</v>
      </c>
      <c r="L103" s="1" t="n">
        <v>30</v>
      </c>
      <c r="M103" s="1" t="n">
        <f aca="false">M102-N103</f>
        <v>17.24</v>
      </c>
      <c r="N103" s="1" t="n">
        <v>3.5</v>
      </c>
    </row>
    <row r="104" customFormat="false" ht="15" hidden="false" customHeight="true" outlineLevel="0" collapsed="false">
      <c r="D104" s="5" t="n">
        <v>44539</v>
      </c>
      <c r="H104" s="1" t="s">
        <v>12</v>
      </c>
      <c r="I104" s="1" t="s">
        <v>14</v>
      </c>
      <c r="L104" s="1" t="n">
        <v>12</v>
      </c>
      <c r="M104" s="1" t="n">
        <f aca="false">M103-N104</f>
        <v>15.99</v>
      </c>
      <c r="N104" s="1" t="n">
        <v>1.25</v>
      </c>
    </row>
    <row r="105" customFormat="false" ht="15" hidden="false" customHeight="true" outlineLevel="0" collapsed="false">
      <c r="D105" s="5"/>
      <c r="H105" s="1" t="s">
        <v>14</v>
      </c>
      <c r="I105" s="1" t="s">
        <v>12</v>
      </c>
      <c r="L105" s="1" t="n">
        <v>12</v>
      </c>
      <c r="M105" s="1" t="n">
        <f aca="false">M104-N105</f>
        <v>14.74</v>
      </c>
      <c r="N105" s="1" t="n">
        <v>1.25</v>
      </c>
    </row>
    <row r="106" customFormat="false" ht="15" hidden="false" customHeight="true" outlineLevel="0" collapsed="false">
      <c r="D106" s="5" t="n">
        <v>44540</v>
      </c>
      <c r="H106" s="1" t="s">
        <v>12</v>
      </c>
      <c r="I106" s="1" t="s">
        <v>24</v>
      </c>
      <c r="L106" s="1" t="n">
        <v>14</v>
      </c>
      <c r="M106" s="1" t="n">
        <f aca="false">M105-N106</f>
        <v>13.24</v>
      </c>
      <c r="N106" s="1" t="n">
        <v>1.5</v>
      </c>
    </row>
    <row r="107" customFormat="false" ht="15" hidden="false" customHeight="true" outlineLevel="0" collapsed="false">
      <c r="D107" s="5"/>
      <c r="H107" s="1" t="s">
        <v>24</v>
      </c>
      <c r="I107" s="1" t="s">
        <v>12</v>
      </c>
      <c r="L107" s="1" t="n">
        <v>14</v>
      </c>
      <c r="M107" s="1" t="n">
        <f aca="false">M106-N107</f>
        <v>11.74</v>
      </c>
      <c r="N107" s="1" t="n">
        <v>1.5</v>
      </c>
    </row>
    <row r="108" customFormat="false" ht="15" hidden="false" customHeight="true" outlineLevel="0" collapsed="false">
      <c r="D108" s="5" t="n">
        <v>44543</v>
      </c>
      <c r="H108" s="1" t="s">
        <v>12</v>
      </c>
      <c r="I108" s="1" t="s">
        <v>13</v>
      </c>
      <c r="L108" s="1" t="n">
        <v>11</v>
      </c>
      <c r="M108" s="1" t="n">
        <f aca="false">M107-N108</f>
        <v>10.49</v>
      </c>
      <c r="N108" s="1" t="n">
        <v>1.25</v>
      </c>
    </row>
    <row r="109" customFormat="false" ht="15" hidden="false" customHeight="true" outlineLevel="0" collapsed="false">
      <c r="D109" s="5"/>
      <c r="H109" s="1" t="s">
        <v>13</v>
      </c>
      <c r="I109" s="1" t="s">
        <v>12</v>
      </c>
      <c r="L109" s="1" t="n">
        <v>11</v>
      </c>
      <c r="M109" s="1" t="n">
        <f aca="false">M108-N109</f>
        <v>9.24000000000001</v>
      </c>
      <c r="N109" s="1" t="n">
        <v>1.25</v>
      </c>
    </row>
    <row r="110" customFormat="false" ht="15" hidden="false" customHeight="true" outlineLevel="0" collapsed="false">
      <c r="D110" s="5" t="n">
        <v>44544</v>
      </c>
      <c r="H110" s="1" t="s">
        <v>12</v>
      </c>
      <c r="I110" s="1" t="s">
        <v>23</v>
      </c>
      <c r="L110" s="1" t="n">
        <v>8</v>
      </c>
      <c r="M110" s="1" t="n">
        <f aca="false">M109-N110</f>
        <v>8.34000000000001</v>
      </c>
      <c r="N110" s="1" t="n">
        <v>0.9</v>
      </c>
    </row>
    <row r="111" customFormat="false" ht="15" hidden="false" customHeight="true" outlineLevel="0" collapsed="false">
      <c r="D111" s="5"/>
      <c r="H111" s="1" t="s">
        <v>23</v>
      </c>
      <c r="I111" s="1" t="s">
        <v>12</v>
      </c>
      <c r="L111" s="1" t="n">
        <v>8</v>
      </c>
      <c r="M111" s="1" t="n">
        <f aca="false">M110-N111</f>
        <v>7.44000000000001</v>
      </c>
      <c r="N111" s="1" t="n">
        <v>0.9</v>
      </c>
    </row>
    <row r="112" customFormat="false" ht="15" hidden="false" customHeight="true" outlineLevel="0" collapsed="false">
      <c r="D112" s="5" t="n">
        <v>44545</v>
      </c>
      <c r="H112" s="1" t="s">
        <v>12</v>
      </c>
      <c r="I112" s="1" t="s">
        <v>19</v>
      </c>
      <c r="L112" s="1" t="n">
        <v>30</v>
      </c>
      <c r="M112" s="1" t="n">
        <f aca="false">M111-N112</f>
        <v>3.94000000000001</v>
      </c>
      <c r="N112" s="1" t="n">
        <v>3.5</v>
      </c>
    </row>
    <row r="113" customFormat="false" ht="15" hidden="false" customHeight="true" outlineLevel="0" collapsed="false">
      <c r="D113" s="5"/>
      <c r="H113" s="1" t="s">
        <v>19</v>
      </c>
      <c r="I113" s="1" t="s">
        <v>12</v>
      </c>
      <c r="L113" s="1" t="n">
        <v>30</v>
      </c>
      <c r="M113" s="1" t="n">
        <f aca="false">M112-N113</f>
        <v>0.440000000000008</v>
      </c>
      <c r="N113" s="1" t="n">
        <v>3.5</v>
      </c>
    </row>
    <row r="114" customFormat="false" ht="15" hidden="false" customHeight="true" outlineLevel="0" collapsed="false">
      <c r="D114" s="5" t="n">
        <v>44546</v>
      </c>
    </row>
    <row r="115" customFormat="false" ht="15" hidden="false" customHeight="true" outlineLevel="0" collapsed="false">
      <c r="D115" s="5" t="n">
        <v>44547</v>
      </c>
      <c r="E115" s="0" t="n">
        <v>22.69</v>
      </c>
      <c r="F115" s="1" t="n">
        <v>50.9</v>
      </c>
      <c r="G115" s="6" t="n">
        <f aca="false">E115*F115</f>
        <v>1154.921</v>
      </c>
      <c r="H115" s="1" t="s">
        <v>12</v>
      </c>
      <c r="I115" s="1" t="s">
        <v>24</v>
      </c>
      <c r="L115" s="1" t="n">
        <v>14</v>
      </c>
      <c r="M115" s="1" t="n">
        <f aca="false">(E115+M113)-N115</f>
        <v>21.63</v>
      </c>
      <c r="N115" s="1" t="n">
        <v>1.5</v>
      </c>
    </row>
    <row r="116" customFormat="false" ht="15" hidden="false" customHeight="true" outlineLevel="0" collapsed="false">
      <c r="D116" s="5"/>
      <c r="G116" s="6"/>
      <c r="H116" s="1" t="s">
        <v>24</v>
      </c>
      <c r="I116" s="1" t="s">
        <v>12</v>
      </c>
      <c r="L116" s="1" t="n">
        <v>14</v>
      </c>
      <c r="M116" s="1" t="n">
        <f aca="false">M115-N116</f>
        <v>20.13</v>
      </c>
      <c r="N116" s="1" t="n">
        <v>1.5</v>
      </c>
    </row>
    <row r="117" customFormat="false" ht="15" hidden="false" customHeight="true" outlineLevel="0" collapsed="false">
      <c r="D117" s="5" t="n">
        <v>44550</v>
      </c>
      <c r="H117" s="1" t="s">
        <v>12</v>
      </c>
      <c r="I117" s="1" t="s">
        <v>19</v>
      </c>
      <c r="L117" s="1" t="n">
        <v>30</v>
      </c>
      <c r="M117" s="1" t="n">
        <f aca="false">M116-N117</f>
        <v>16.63</v>
      </c>
      <c r="N117" s="1" t="n">
        <v>3.5</v>
      </c>
    </row>
    <row r="118" customFormat="false" ht="15" hidden="false" customHeight="true" outlineLevel="0" collapsed="false">
      <c r="D118" s="5"/>
      <c r="H118" s="1" t="s">
        <v>19</v>
      </c>
      <c r="I118" s="1" t="s">
        <v>12</v>
      </c>
      <c r="L118" s="1" t="n">
        <v>30</v>
      </c>
      <c r="M118" s="1" t="n">
        <f aca="false">M117-N118</f>
        <v>13.13</v>
      </c>
      <c r="N118" s="1" t="n">
        <v>3.5</v>
      </c>
    </row>
    <row r="119" customFormat="false" ht="15" hidden="false" customHeight="true" outlineLevel="0" collapsed="false">
      <c r="D119" s="5"/>
      <c r="H119" s="1" t="s">
        <v>12</v>
      </c>
      <c r="I119" s="1" t="s">
        <v>14</v>
      </c>
      <c r="L119" s="1" t="n">
        <v>12</v>
      </c>
      <c r="M119" s="1" t="n">
        <f aca="false">M118-N119</f>
        <v>11.88</v>
      </c>
      <c r="N119" s="1" t="n">
        <v>1.25</v>
      </c>
    </row>
    <row r="120" customFormat="false" ht="15" hidden="false" customHeight="true" outlineLevel="0" collapsed="false">
      <c r="D120" s="5"/>
      <c r="H120" s="1" t="s">
        <v>14</v>
      </c>
      <c r="I120" s="1" t="s">
        <v>12</v>
      </c>
      <c r="L120" s="1" t="n">
        <v>12</v>
      </c>
      <c r="M120" s="1" t="n">
        <f aca="false">M119-N120</f>
        <v>10.63</v>
      </c>
      <c r="N120" s="1" t="n">
        <v>1.25</v>
      </c>
    </row>
    <row r="121" customFormat="false" ht="15" hidden="false" customHeight="true" outlineLevel="0" collapsed="false">
      <c r="D121" s="5" t="n">
        <v>44551</v>
      </c>
      <c r="E121" s="0" t="n">
        <v>23</v>
      </c>
      <c r="F121" s="1" t="n">
        <v>50.25</v>
      </c>
      <c r="G121" s="6" t="n">
        <f aca="false">E121*F121</f>
        <v>1155.75</v>
      </c>
      <c r="H121" s="1" t="s">
        <v>12</v>
      </c>
      <c r="I121" s="1" t="s">
        <v>14</v>
      </c>
      <c r="L121" s="1" t="n">
        <v>12</v>
      </c>
      <c r="M121" s="1" t="n">
        <f aca="false">(E121+M120)-N121</f>
        <v>32.38</v>
      </c>
      <c r="N121" s="1" t="n">
        <v>1.25</v>
      </c>
    </row>
    <row r="122" customFormat="false" ht="15" hidden="false" customHeight="true" outlineLevel="0" collapsed="false">
      <c r="D122" s="5"/>
      <c r="G122" s="6"/>
      <c r="H122" s="1" t="s">
        <v>14</v>
      </c>
      <c r="I122" s="1" t="s">
        <v>12</v>
      </c>
      <c r="L122" s="1" t="n">
        <v>12</v>
      </c>
      <c r="M122" s="1" t="n">
        <f aca="false">M121-N122</f>
        <v>31.13</v>
      </c>
      <c r="N122" s="1" t="n">
        <v>1.25</v>
      </c>
    </row>
    <row r="123" customFormat="false" ht="15" hidden="false" customHeight="true" outlineLevel="0" collapsed="false">
      <c r="D123" s="5"/>
      <c r="G123" s="6"/>
      <c r="H123" s="1" t="s">
        <v>12</v>
      </c>
      <c r="I123" s="1" t="s">
        <v>13</v>
      </c>
      <c r="L123" s="1" t="n">
        <v>11</v>
      </c>
      <c r="M123" s="1" t="n">
        <f aca="false">M122-N123</f>
        <v>29.88</v>
      </c>
      <c r="N123" s="1" t="n">
        <v>1.25</v>
      </c>
    </row>
    <row r="124" customFormat="false" ht="15" hidden="false" customHeight="true" outlineLevel="0" collapsed="false">
      <c r="D124" s="5"/>
      <c r="G124" s="6"/>
      <c r="H124" s="1" t="s">
        <v>13</v>
      </c>
      <c r="I124" s="1" t="s">
        <v>12</v>
      </c>
      <c r="L124" s="1" t="n">
        <v>11</v>
      </c>
      <c r="M124" s="1" t="n">
        <f aca="false">M123-N124</f>
        <v>28.63</v>
      </c>
      <c r="N124" s="1" t="n">
        <v>1.25</v>
      </c>
    </row>
    <row r="125" customFormat="false" ht="15" hidden="false" customHeight="true" outlineLevel="0" collapsed="false">
      <c r="D125" s="5" t="n">
        <v>44552</v>
      </c>
      <c r="H125" s="1" t="s">
        <v>12</v>
      </c>
      <c r="I125" s="1" t="s">
        <v>14</v>
      </c>
      <c r="L125" s="1" t="n">
        <v>12</v>
      </c>
      <c r="M125" s="1" t="n">
        <f aca="false">M124-N125</f>
        <v>27.38</v>
      </c>
      <c r="N125" s="1" t="n">
        <v>1.25</v>
      </c>
    </row>
    <row r="126" customFormat="false" ht="15" hidden="false" customHeight="true" outlineLevel="0" collapsed="false">
      <c r="D126" s="5"/>
      <c r="H126" s="1" t="s">
        <v>14</v>
      </c>
      <c r="I126" s="1" t="s">
        <v>12</v>
      </c>
      <c r="L126" s="1" t="n">
        <v>12</v>
      </c>
      <c r="M126" s="1" t="n">
        <f aca="false">M125-N126</f>
        <v>26.13</v>
      </c>
      <c r="N126" s="1" t="n">
        <v>1.25</v>
      </c>
    </row>
    <row r="127" customFormat="false" ht="15" hidden="false" customHeight="true" outlineLevel="0" collapsed="false">
      <c r="D127" s="5" t="n">
        <v>44553</v>
      </c>
      <c r="H127" s="1" t="s">
        <v>12</v>
      </c>
      <c r="I127" s="1" t="s">
        <v>14</v>
      </c>
      <c r="L127" s="1" t="n">
        <v>12</v>
      </c>
      <c r="M127" s="1" t="n">
        <f aca="false">M126-N127</f>
        <v>24.88</v>
      </c>
      <c r="N127" s="1" t="n">
        <v>1.25</v>
      </c>
    </row>
    <row r="128" customFormat="false" ht="15" hidden="false" customHeight="true" outlineLevel="0" collapsed="false">
      <c r="D128" s="5"/>
      <c r="H128" s="1" t="s">
        <v>14</v>
      </c>
      <c r="I128" s="1" t="s">
        <v>12</v>
      </c>
      <c r="L128" s="1" t="n">
        <v>12</v>
      </c>
      <c r="M128" s="1" t="n">
        <f aca="false">M127-N128</f>
        <v>23.63</v>
      </c>
      <c r="N128" s="1" t="n">
        <v>1.25</v>
      </c>
    </row>
    <row r="129" customFormat="false" ht="15" hidden="false" customHeight="true" outlineLevel="0" collapsed="false">
      <c r="D129" s="5"/>
      <c r="H129" s="1" t="s">
        <v>12</v>
      </c>
      <c r="I129" s="1" t="s">
        <v>24</v>
      </c>
      <c r="L129" s="1" t="n">
        <v>14</v>
      </c>
      <c r="M129" s="1" t="n">
        <f aca="false">M128-N129</f>
        <v>22.13</v>
      </c>
      <c r="N129" s="1" t="n">
        <v>1.5</v>
      </c>
    </row>
    <row r="130" customFormat="false" ht="15" hidden="false" customHeight="true" outlineLevel="0" collapsed="false">
      <c r="D130" s="5"/>
      <c r="H130" s="1" t="s">
        <v>24</v>
      </c>
      <c r="I130" s="1" t="s">
        <v>12</v>
      </c>
      <c r="L130" s="1" t="n">
        <v>14</v>
      </c>
      <c r="M130" s="1" t="n">
        <f aca="false">M129-N130</f>
        <v>20.63</v>
      </c>
      <c r="N130" s="1" t="n">
        <v>1.5</v>
      </c>
    </row>
    <row r="131" customFormat="false" ht="15" hidden="false" customHeight="true" outlineLevel="0" collapsed="false">
      <c r="D131" s="5" t="n">
        <v>44554</v>
      </c>
      <c r="H131" s="1" t="s">
        <v>12</v>
      </c>
      <c r="I131" s="1" t="s">
        <v>14</v>
      </c>
      <c r="L131" s="1" t="n">
        <v>12</v>
      </c>
      <c r="M131" s="1" t="n">
        <f aca="false">M130-N131</f>
        <v>19.38</v>
      </c>
      <c r="N131" s="1" t="n">
        <v>1.25</v>
      </c>
    </row>
    <row r="132" customFormat="false" ht="15" hidden="false" customHeight="true" outlineLevel="0" collapsed="false">
      <c r="D132" s="5"/>
      <c r="H132" s="1" t="s">
        <v>14</v>
      </c>
      <c r="I132" s="1" t="s">
        <v>12</v>
      </c>
      <c r="L132" s="1" t="n">
        <v>12</v>
      </c>
      <c r="M132" s="1" t="n">
        <f aca="false">M131-N132</f>
        <v>18.13</v>
      </c>
      <c r="N132" s="1" t="n">
        <v>1.25</v>
      </c>
    </row>
    <row r="133" customFormat="false" ht="15" hidden="false" customHeight="true" outlineLevel="0" collapsed="false">
      <c r="D133" s="5" t="n">
        <v>44557</v>
      </c>
      <c r="H133" s="1" t="s">
        <v>12</v>
      </c>
      <c r="I133" s="1" t="s">
        <v>14</v>
      </c>
      <c r="L133" s="1" t="n">
        <v>12</v>
      </c>
      <c r="M133" s="1" t="n">
        <f aca="false">M132-N133</f>
        <v>16.88</v>
      </c>
      <c r="N133" s="1" t="n">
        <v>1.25</v>
      </c>
    </row>
    <row r="134" customFormat="false" ht="15" hidden="false" customHeight="true" outlineLevel="0" collapsed="false">
      <c r="D134" s="5"/>
      <c r="H134" s="1" t="s">
        <v>14</v>
      </c>
      <c r="I134" s="1" t="s">
        <v>12</v>
      </c>
      <c r="L134" s="1" t="n">
        <v>12</v>
      </c>
      <c r="M134" s="1" t="n">
        <f aca="false">M133-N134</f>
        <v>15.63</v>
      </c>
      <c r="N134" s="1" t="n">
        <v>1.25</v>
      </c>
    </row>
    <row r="135" customFormat="false" ht="15" hidden="false" customHeight="true" outlineLevel="0" collapsed="false">
      <c r="D135" s="5"/>
      <c r="H135" s="1" t="s">
        <v>12</v>
      </c>
      <c r="I135" s="1" t="s">
        <v>23</v>
      </c>
      <c r="L135" s="1" t="n">
        <v>8</v>
      </c>
      <c r="M135" s="1" t="n">
        <f aca="false">M134-N135</f>
        <v>14.73</v>
      </c>
      <c r="N135" s="1" t="n">
        <v>0.9</v>
      </c>
    </row>
    <row r="136" customFormat="false" ht="15" hidden="false" customHeight="true" outlineLevel="0" collapsed="false">
      <c r="D136" s="5"/>
      <c r="H136" s="1" t="s">
        <v>23</v>
      </c>
      <c r="I136" s="1" t="s">
        <v>12</v>
      </c>
      <c r="L136" s="1" t="n">
        <v>8</v>
      </c>
      <c r="M136" s="1" t="n">
        <f aca="false">M135-N136</f>
        <v>13.83</v>
      </c>
      <c r="N136" s="1" t="n">
        <v>0.9</v>
      </c>
    </row>
    <row r="137" customFormat="false" ht="15" hidden="false" customHeight="true" outlineLevel="0" collapsed="false">
      <c r="D137" s="5" t="n">
        <v>44558</v>
      </c>
      <c r="H137" s="1" t="s">
        <v>12</v>
      </c>
      <c r="I137" s="1" t="s">
        <v>19</v>
      </c>
      <c r="L137" s="1" t="n">
        <v>30</v>
      </c>
      <c r="M137" s="1" t="n">
        <f aca="false">M136-N137</f>
        <v>10.33</v>
      </c>
      <c r="N137" s="1" t="n">
        <v>3.5</v>
      </c>
    </row>
    <row r="138" customFormat="false" ht="15" hidden="false" customHeight="true" outlineLevel="0" collapsed="false">
      <c r="D138" s="5"/>
      <c r="H138" s="1" t="s">
        <v>19</v>
      </c>
      <c r="I138" s="1" t="s">
        <v>12</v>
      </c>
      <c r="L138" s="1" t="n">
        <v>30</v>
      </c>
      <c r="M138" s="1" t="n">
        <f aca="false">M137-N138</f>
        <v>6.83000000000001</v>
      </c>
      <c r="N138" s="1" t="n">
        <v>3.5</v>
      </c>
    </row>
    <row r="139" customFormat="false" ht="15" hidden="false" customHeight="true" outlineLevel="0" collapsed="false">
      <c r="D139" s="5" t="n">
        <v>44559</v>
      </c>
      <c r="E139" s="0" t="n">
        <v>23.54</v>
      </c>
      <c r="F139" s="1" t="n">
        <v>50.9</v>
      </c>
      <c r="G139" s="6" t="n">
        <f aca="false">E139*F139</f>
        <v>1198.186</v>
      </c>
      <c r="H139" s="1" t="s">
        <v>12</v>
      </c>
      <c r="I139" s="1" t="s">
        <v>14</v>
      </c>
      <c r="L139" s="1" t="n">
        <v>12</v>
      </c>
      <c r="M139" s="1" t="n">
        <f aca="false">(E139+M138)-N139</f>
        <v>29.12</v>
      </c>
      <c r="N139" s="1" t="n">
        <v>1.25</v>
      </c>
    </row>
    <row r="140" customFormat="false" ht="15" hidden="false" customHeight="true" outlineLevel="0" collapsed="false">
      <c r="D140" s="5"/>
      <c r="G140" s="6"/>
      <c r="H140" s="1" t="s">
        <v>14</v>
      </c>
      <c r="I140" s="1" t="s">
        <v>12</v>
      </c>
      <c r="L140" s="1" t="n">
        <v>12</v>
      </c>
      <c r="M140" s="1" t="n">
        <f aca="false">M139-N140</f>
        <v>27.87</v>
      </c>
      <c r="N140" s="1" t="n">
        <v>1.25</v>
      </c>
    </row>
    <row r="141" customFormat="false" ht="15" hidden="false" customHeight="true" outlineLevel="0" collapsed="false">
      <c r="D141" s="5"/>
      <c r="G141" s="6"/>
      <c r="H141" s="1" t="s">
        <v>12</v>
      </c>
      <c r="I141" s="1" t="s">
        <v>19</v>
      </c>
      <c r="L141" s="1" t="n">
        <v>30</v>
      </c>
      <c r="M141" s="1" t="n">
        <f aca="false">M140-N141</f>
        <v>24.37</v>
      </c>
      <c r="N141" s="1" t="n">
        <v>3.5</v>
      </c>
    </row>
    <row r="142" customFormat="false" ht="15" hidden="false" customHeight="true" outlineLevel="0" collapsed="false">
      <c r="D142" s="5"/>
      <c r="G142" s="6"/>
      <c r="H142" s="1" t="s">
        <v>19</v>
      </c>
      <c r="I142" s="1" t="s">
        <v>12</v>
      </c>
      <c r="L142" s="1" t="n">
        <v>30</v>
      </c>
      <c r="M142" s="1" t="n">
        <f aca="false">M141-N142</f>
        <v>20.87</v>
      </c>
      <c r="N142" s="1" t="n">
        <v>3.5</v>
      </c>
    </row>
    <row r="143" customFormat="false" ht="15" hidden="false" customHeight="true" outlineLevel="0" collapsed="false">
      <c r="D143" s="5"/>
      <c r="G143" s="6"/>
      <c r="H143" s="1" t="s">
        <v>12</v>
      </c>
      <c r="I143" s="1" t="s">
        <v>14</v>
      </c>
      <c r="L143" s="1" t="n">
        <v>12</v>
      </c>
      <c r="M143" s="1" t="n">
        <f aca="false">M142-N143</f>
        <v>19.62</v>
      </c>
      <c r="N143" s="1" t="n">
        <v>1.25</v>
      </c>
    </row>
    <row r="144" customFormat="false" ht="15" hidden="false" customHeight="true" outlineLevel="0" collapsed="false">
      <c r="D144" s="5"/>
      <c r="G144" s="6"/>
      <c r="H144" s="1" t="s">
        <v>14</v>
      </c>
      <c r="I144" s="1" t="s">
        <v>12</v>
      </c>
      <c r="L144" s="1" t="n">
        <v>12</v>
      </c>
      <c r="M144" s="1" t="n">
        <f aca="false">M143-N144</f>
        <v>18.37</v>
      </c>
      <c r="N144" s="1" t="n">
        <v>1.25</v>
      </c>
    </row>
    <row r="145" customFormat="false" ht="15" hidden="false" customHeight="true" outlineLevel="0" collapsed="false">
      <c r="D145" s="5" t="n">
        <v>44560</v>
      </c>
      <c r="H145" s="1" t="s">
        <v>12</v>
      </c>
      <c r="I145" s="1" t="s">
        <v>14</v>
      </c>
      <c r="L145" s="1" t="n">
        <v>12</v>
      </c>
      <c r="M145" s="1" t="n">
        <f aca="false">M144-N145</f>
        <v>17.12</v>
      </c>
      <c r="N145" s="1" t="n">
        <v>1.25</v>
      </c>
    </row>
    <row r="146" customFormat="false" ht="15" hidden="false" customHeight="true" outlineLevel="0" collapsed="false">
      <c r="D146" s="5"/>
      <c r="H146" s="1" t="s">
        <v>14</v>
      </c>
      <c r="I146" s="1" t="s">
        <v>12</v>
      </c>
      <c r="L146" s="1" t="n">
        <v>12</v>
      </c>
      <c r="M146" s="1" t="n">
        <f aca="false">M145-N146</f>
        <v>15.87</v>
      </c>
      <c r="N146" s="1" t="n">
        <v>1.25</v>
      </c>
    </row>
    <row r="147" customFormat="false" ht="15" hidden="false" customHeight="true" outlineLevel="0" collapsed="false">
      <c r="D147" s="5"/>
      <c r="H147" s="1" t="s">
        <v>12</v>
      </c>
      <c r="I147" s="1" t="s">
        <v>24</v>
      </c>
      <c r="L147" s="1" t="n">
        <v>14</v>
      </c>
      <c r="M147" s="1" t="n">
        <f aca="false">M146-N147</f>
        <v>14.37</v>
      </c>
      <c r="N147" s="1" t="n">
        <v>1.5</v>
      </c>
    </row>
    <row r="148" customFormat="false" ht="15" hidden="false" customHeight="true" outlineLevel="0" collapsed="false">
      <c r="D148" s="5"/>
      <c r="H148" s="1" t="s">
        <v>24</v>
      </c>
      <c r="I148" s="1" t="s">
        <v>12</v>
      </c>
      <c r="L148" s="1" t="n">
        <v>14</v>
      </c>
      <c r="M148" s="1" t="n">
        <f aca="false">M147-N148</f>
        <v>12.87</v>
      </c>
      <c r="N148" s="1" t="n">
        <v>1.5</v>
      </c>
    </row>
    <row r="149" customFormat="false" ht="15" hidden="false" customHeight="true" outlineLevel="0" collapsed="false">
      <c r="H149" s="1" t="s">
        <v>12</v>
      </c>
      <c r="I149" s="1" t="s">
        <v>26</v>
      </c>
      <c r="L149" s="1" t="n">
        <v>6</v>
      </c>
      <c r="M149" s="1" t="n">
        <f aca="false">M148-N149</f>
        <v>12.07</v>
      </c>
      <c r="N149" s="1" t="n">
        <v>0.8</v>
      </c>
    </row>
    <row r="150" customFormat="false" ht="15" hidden="false" customHeight="true" outlineLevel="0" collapsed="false">
      <c r="D150" s="5"/>
      <c r="H150" s="1" t="s">
        <v>26</v>
      </c>
      <c r="I150" s="1" t="s">
        <v>12</v>
      </c>
      <c r="L150" s="1" t="n">
        <v>6</v>
      </c>
      <c r="M150" s="1" t="n">
        <f aca="false">M149-N150</f>
        <v>11.27</v>
      </c>
      <c r="N150" s="1" t="n">
        <v>0.8</v>
      </c>
    </row>
    <row r="151" customFormat="false" ht="15" hidden="false" customHeight="true" outlineLevel="0" collapsed="false">
      <c r="D151" s="5" t="n">
        <v>44561</v>
      </c>
    </row>
    <row r="153" customFormat="false" ht="15" hidden="false" customHeight="true" outlineLevel="0" collapsed="false">
      <c r="D153" s="4" t="s">
        <v>27</v>
      </c>
      <c r="E153" s="4"/>
      <c r="F153" s="4"/>
      <c r="G153" s="4"/>
    </row>
    <row r="154" customFormat="false" ht="15" hidden="false" customHeight="true" outlineLevel="0" collapsed="false">
      <c r="D154" s="5" t="n">
        <v>44571</v>
      </c>
      <c r="H154" s="1" t="s">
        <v>12</v>
      </c>
      <c r="I154" s="1" t="s">
        <v>14</v>
      </c>
      <c r="L154" s="1" t="n">
        <v>12</v>
      </c>
      <c r="M154" s="1" t="n">
        <f aca="false">M150-N154</f>
        <v>10.02</v>
      </c>
      <c r="N154" s="1" t="n">
        <v>1.25</v>
      </c>
    </row>
    <row r="155" customFormat="false" ht="15" hidden="false" customHeight="true" outlineLevel="0" collapsed="false">
      <c r="H155" s="1" t="s">
        <v>14</v>
      </c>
      <c r="I155" s="1" t="s">
        <v>12</v>
      </c>
      <c r="L155" s="1" t="n">
        <v>12</v>
      </c>
      <c r="M155" s="1" t="n">
        <f aca="false">M154-N155</f>
        <v>8.77000000000001</v>
      </c>
      <c r="N155" s="1" t="n">
        <v>1.25</v>
      </c>
    </row>
    <row r="156" customFormat="false" ht="15" hidden="false" customHeight="true" outlineLevel="0" collapsed="false">
      <c r="D156" s="5" t="n">
        <v>44572</v>
      </c>
      <c r="H156" s="1" t="s">
        <v>12</v>
      </c>
      <c r="I156" s="1" t="s">
        <v>28</v>
      </c>
      <c r="L156" s="1" t="n">
        <v>24</v>
      </c>
      <c r="M156" s="1" t="n">
        <f aca="false">M155-N156</f>
        <v>5.97000000000001</v>
      </c>
      <c r="N156" s="1" t="n">
        <v>2.8</v>
      </c>
    </row>
    <row r="157" customFormat="false" ht="15" hidden="false" customHeight="true" outlineLevel="0" collapsed="false">
      <c r="D157" s="5"/>
      <c r="H157" s="1" t="s">
        <v>28</v>
      </c>
      <c r="I157" s="1" t="s">
        <v>12</v>
      </c>
      <c r="L157" s="1" t="n">
        <v>24</v>
      </c>
      <c r="M157" s="1" t="n">
        <f aca="false">M156-N157</f>
        <v>3.17000000000001</v>
      </c>
      <c r="N157" s="1" t="n">
        <v>2.8</v>
      </c>
    </row>
    <row r="158" customFormat="false" ht="15" hidden="false" customHeight="true" outlineLevel="0" collapsed="false">
      <c r="D158" s="5" t="n">
        <v>44573</v>
      </c>
      <c r="E158" s="0" t="n">
        <v>23.53</v>
      </c>
      <c r="F158" s="1" t="n">
        <v>51.05</v>
      </c>
      <c r="G158" s="6" t="n">
        <f aca="false">E158*F158</f>
        <v>1201.2065</v>
      </c>
      <c r="H158" s="1" t="s">
        <v>12</v>
      </c>
      <c r="I158" s="1" t="s">
        <v>29</v>
      </c>
      <c r="L158" s="1" t="n">
        <v>49</v>
      </c>
      <c r="M158" s="1" t="n">
        <f aca="false">(E158+M157)-N158</f>
        <v>20.9</v>
      </c>
      <c r="N158" s="1" t="n">
        <v>5.8</v>
      </c>
    </row>
    <row r="159" customFormat="false" ht="15" hidden="false" customHeight="true" outlineLevel="0" collapsed="false">
      <c r="D159" s="5"/>
      <c r="H159" s="1" t="s">
        <v>29</v>
      </c>
      <c r="I159" s="1" t="s">
        <v>12</v>
      </c>
      <c r="L159" s="1" t="n">
        <v>49</v>
      </c>
      <c r="M159" s="1" t="n">
        <f aca="false">M158-N159</f>
        <v>15.1</v>
      </c>
      <c r="N159" s="1" t="n">
        <v>5.8</v>
      </c>
    </row>
    <row r="160" customFormat="false" ht="15" hidden="false" customHeight="true" outlineLevel="0" collapsed="false">
      <c r="D160" s="5" t="n">
        <v>44574</v>
      </c>
      <c r="H160" s="1" t="s">
        <v>12</v>
      </c>
      <c r="I160" s="1" t="s">
        <v>14</v>
      </c>
      <c r="L160" s="1" t="n">
        <v>12</v>
      </c>
      <c r="M160" s="1" t="n">
        <f aca="false">M159-N160</f>
        <v>13.85</v>
      </c>
      <c r="N160" s="1" t="n">
        <v>1.25</v>
      </c>
    </row>
    <row r="161" customFormat="false" ht="15" hidden="false" customHeight="true" outlineLevel="0" collapsed="false">
      <c r="D161" s="5"/>
      <c r="H161" s="1" t="s">
        <v>14</v>
      </c>
      <c r="I161" s="1" t="s">
        <v>12</v>
      </c>
      <c r="L161" s="1" t="n">
        <v>12</v>
      </c>
      <c r="M161" s="1" t="n">
        <f aca="false">M160-N161</f>
        <v>12.6</v>
      </c>
      <c r="N161" s="1" t="n">
        <v>1.25</v>
      </c>
    </row>
    <row r="162" customFormat="false" ht="15" hidden="false" customHeight="true" outlineLevel="0" collapsed="false">
      <c r="D162" s="5" t="n">
        <v>44575</v>
      </c>
      <c r="H162" s="1" t="s">
        <v>12</v>
      </c>
      <c r="I162" s="1" t="s">
        <v>30</v>
      </c>
      <c r="L162" s="1" t="n">
        <v>27</v>
      </c>
      <c r="M162" s="1" t="n">
        <f aca="false">M161-N162</f>
        <v>9.40000000000001</v>
      </c>
      <c r="N162" s="1" t="n">
        <v>3.2</v>
      </c>
    </row>
    <row r="163" customFormat="false" ht="15" hidden="false" customHeight="true" outlineLevel="0" collapsed="false">
      <c r="D163" s="5"/>
      <c r="H163" s="1" t="s">
        <v>30</v>
      </c>
      <c r="I163" s="1" t="s">
        <v>12</v>
      </c>
      <c r="L163" s="1" t="n">
        <v>27</v>
      </c>
      <c r="M163" s="1" t="n">
        <f aca="false">M162-N163</f>
        <v>6.20000000000001</v>
      </c>
      <c r="N163" s="1" t="n">
        <v>3.2</v>
      </c>
    </row>
    <row r="164" customFormat="false" ht="15" hidden="false" customHeight="true" outlineLevel="0" collapsed="false">
      <c r="D164" s="5" t="n">
        <v>44578</v>
      </c>
      <c r="H164" s="1" t="s">
        <v>12</v>
      </c>
      <c r="I164" s="1" t="s">
        <v>24</v>
      </c>
      <c r="L164" s="1" t="n">
        <v>14</v>
      </c>
      <c r="M164" s="1" t="n">
        <f aca="false">M163-N164</f>
        <v>4.70000000000001</v>
      </c>
      <c r="N164" s="1" t="n">
        <v>1.5</v>
      </c>
    </row>
    <row r="165" customFormat="false" ht="15" hidden="false" customHeight="true" outlineLevel="0" collapsed="false">
      <c r="D165" s="5"/>
      <c r="H165" s="1" t="s">
        <v>24</v>
      </c>
      <c r="I165" s="1" t="s">
        <v>12</v>
      </c>
      <c r="L165" s="1" t="n">
        <v>14</v>
      </c>
      <c r="M165" s="1" t="n">
        <f aca="false">M164-N165</f>
        <v>3.20000000000001</v>
      </c>
      <c r="N165" s="1" t="n">
        <v>1.5</v>
      </c>
    </row>
    <row r="166" customFormat="false" ht="15" hidden="false" customHeight="true" outlineLevel="0" collapsed="false">
      <c r="D166" s="5" t="n">
        <v>44579</v>
      </c>
      <c r="E166" s="0" t="n">
        <v>22.28</v>
      </c>
      <c r="F166" s="1" t="n">
        <v>51.4</v>
      </c>
      <c r="G166" s="6" t="n">
        <f aca="false">E166*F166</f>
        <v>1145.192</v>
      </c>
      <c r="H166" s="1" t="s">
        <v>12</v>
      </c>
      <c r="I166" s="1" t="s">
        <v>31</v>
      </c>
      <c r="L166" s="1" t="n">
        <v>27</v>
      </c>
      <c r="M166" s="1" t="n">
        <f aca="false">(E166+M165)-N166</f>
        <v>22.28</v>
      </c>
      <c r="N166" s="1" t="n">
        <v>3.2</v>
      </c>
    </row>
    <row r="167" customFormat="false" ht="15" hidden="false" customHeight="true" outlineLevel="0" collapsed="false">
      <c r="D167" s="5"/>
      <c r="H167" s="1" t="s">
        <v>31</v>
      </c>
      <c r="I167" s="1" t="s">
        <v>12</v>
      </c>
      <c r="L167" s="1" t="n">
        <v>27</v>
      </c>
      <c r="M167" s="1" t="n">
        <f aca="false">M166-N167</f>
        <v>19.08</v>
      </c>
      <c r="N167" s="1" t="n">
        <v>3.2</v>
      </c>
    </row>
    <row r="168" customFormat="false" ht="15" hidden="false" customHeight="true" outlineLevel="0" collapsed="false">
      <c r="D168" s="5" t="n">
        <v>44580</v>
      </c>
      <c r="H168" s="1" t="s">
        <v>12</v>
      </c>
      <c r="I168" s="1" t="s">
        <v>14</v>
      </c>
      <c r="L168" s="1" t="n">
        <v>12</v>
      </c>
      <c r="M168" s="1" t="n">
        <f aca="false">M167-N168</f>
        <v>17.83</v>
      </c>
      <c r="N168" s="1" t="n">
        <v>1.25</v>
      </c>
    </row>
    <row r="169" customFormat="false" ht="15" hidden="false" customHeight="true" outlineLevel="0" collapsed="false">
      <c r="D169" s="5"/>
      <c r="H169" s="1" t="s">
        <v>14</v>
      </c>
      <c r="I169" s="1" t="s">
        <v>12</v>
      </c>
      <c r="L169" s="1" t="n">
        <v>12</v>
      </c>
      <c r="M169" s="1" t="n">
        <f aca="false">M168-N169</f>
        <v>16.58</v>
      </c>
      <c r="N169" s="1" t="n">
        <v>1.25</v>
      </c>
    </row>
    <row r="170" customFormat="false" ht="15" hidden="false" customHeight="true" outlineLevel="0" collapsed="false">
      <c r="D170" s="5" t="n">
        <v>44581</v>
      </c>
      <c r="H170" s="1" t="s">
        <v>12</v>
      </c>
      <c r="I170" s="1" t="s">
        <v>24</v>
      </c>
      <c r="L170" s="1" t="n">
        <v>14</v>
      </c>
      <c r="M170" s="1" t="n">
        <f aca="false">M169-N170</f>
        <v>15.08</v>
      </c>
      <c r="N170" s="1" t="n">
        <v>1.5</v>
      </c>
    </row>
    <row r="171" customFormat="false" ht="15" hidden="false" customHeight="true" outlineLevel="0" collapsed="false">
      <c r="D171" s="5"/>
      <c r="H171" s="1" t="s">
        <v>24</v>
      </c>
      <c r="I171" s="1" t="s">
        <v>12</v>
      </c>
      <c r="L171" s="1" t="n">
        <v>14</v>
      </c>
      <c r="M171" s="1" t="n">
        <f aca="false">M170-N171</f>
        <v>13.58</v>
      </c>
      <c r="N171" s="1" t="n">
        <v>1.5</v>
      </c>
    </row>
    <row r="172" customFormat="false" ht="15" hidden="false" customHeight="true" outlineLevel="0" collapsed="false">
      <c r="D172" s="5" t="n">
        <v>44582</v>
      </c>
      <c r="H172" s="1" t="s">
        <v>12</v>
      </c>
      <c r="I172" s="1" t="s">
        <v>32</v>
      </c>
      <c r="L172" s="1" t="n">
        <v>25</v>
      </c>
      <c r="M172" s="1" t="n">
        <f aca="false">M171-N172</f>
        <v>10.58</v>
      </c>
      <c r="N172" s="1" t="n">
        <v>3</v>
      </c>
    </row>
    <row r="173" customFormat="false" ht="15" hidden="false" customHeight="true" outlineLevel="0" collapsed="false">
      <c r="D173" s="5"/>
      <c r="H173" s="1" t="s">
        <v>32</v>
      </c>
      <c r="I173" s="1" t="s">
        <v>12</v>
      </c>
      <c r="L173" s="1" t="n">
        <v>25</v>
      </c>
      <c r="M173" s="1" t="n">
        <f aca="false">M172-N173</f>
        <v>7.58000000000001</v>
      </c>
      <c r="N173" s="1" t="n">
        <v>3</v>
      </c>
    </row>
    <row r="174" customFormat="false" ht="15" hidden="false" customHeight="true" outlineLevel="0" collapsed="false">
      <c r="D174" s="5" t="n">
        <v>44585</v>
      </c>
      <c r="H174" s="1" t="s">
        <v>12</v>
      </c>
      <c r="I174" s="1" t="s">
        <v>14</v>
      </c>
      <c r="L174" s="1" t="n">
        <v>12</v>
      </c>
      <c r="M174" s="1" t="n">
        <f aca="false">M173-N174</f>
        <v>6.33000000000001</v>
      </c>
      <c r="N174" s="1" t="n">
        <v>1.25</v>
      </c>
    </row>
    <row r="175" customFormat="false" ht="15" hidden="false" customHeight="true" outlineLevel="0" collapsed="false">
      <c r="D175" s="5"/>
      <c r="H175" s="1" t="s">
        <v>14</v>
      </c>
      <c r="I175" s="1" t="s">
        <v>12</v>
      </c>
      <c r="L175" s="1" t="n">
        <v>12</v>
      </c>
      <c r="M175" s="1" t="n">
        <f aca="false">M174-N175</f>
        <v>5.08000000000001</v>
      </c>
      <c r="N175" s="1" t="n">
        <v>1.25</v>
      </c>
    </row>
    <row r="176" customFormat="false" ht="15" hidden="false" customHeight="true" outlineLevel="0" collapsed="false">
      <c r="D176" s="5" t="n">
        <v>44586</v>
      </c>
      <c r="H176" s="1" t="s">
        <v>12</v>
      </c>
      <c r="I176" s="1" t="s">
        <v>14</v>
      </c>
      <c r="L176" s="1" t="n">
        <v>12</v>
      </c>
      <c r="M176" s="1" t="n">
        <f aca="false">M175-N176</f>
        <v>3.83000000000001</v>
      </c>
      <c r="N176" s="1" t="n">
        <v>1.25</v>
      </c>
    </row>
    <row r="177" customFormat="false" ht="15" hidden="false" customHeight="true" outlineLevel="0" collapsed="false">
      <c r="D177" s="5"/>
      <c r="H177" s="1" t="s">
        <v>14</v>
      </c>
      <c r="I177" s="1" t="s">
        <v>12</v>
      </c>
      <c r="L177" s="1" t="n">
        <v>12</v>
      </c>
      <c r="M177" s="1" t="n">
        <f aca="false">M176-N177</f>
        <v>2.58000000000001</v>
      </c>
      <c r="N177" s="1" t="n">
        <v>1.25</v>
      </c>
    </row>
    <row r="178" customFormat="false" ht="15" hidden="false" customHeight="true" outlineLevel="0" collapsed="false">
      <c r="D178" s="5" t="n">
        <v>44587</v>
      </c>
      <c r="H178" s="1" t="s">
        <v>12</v>
      </c>
      <c r="I178" s="1" t="s">
        <v>14</v>
      </c>
      <c r="L178" s="1" t="n">
        <v>12</v>
      </c>
      <c r="M178" s="1" t="n">
        <f aca="false">M177-N178</f>
        <v>1.33000000000001</v>
      </c>
      <c r="N178" s="1" t="n">
        <v>1.25</v>
      </c>
    </row>
    <row r="179" customFormat="false" ht="15" hidden="false" customHeight="true" outlineLevel="0" collapsed="false">
      <c r="D179" s="5"/>
      <c r="H179" s="1" t="s">
        <v>14</v>
      </c>
      <c r="I179" s="1" t="s">
        <v>12</v>
      </c>
      <c r="L179" s="1" t="n">
        <v>12</v>
      </c>
      <c r="M179" s="1" t="n">
        <f aca="false">M178-N179</f>
        <v>0.0800000000000125</v>
      </c>
      <c r="N179" s="1" t="n">
        <v>1.25</v>
      </c>
    </row>
    <row r="180" customFormat="false" ht="15" hidden="false" customHeight="true" outlineLevel="0" collapsed="false">
      <c r="D180" s="5" t="n">
        <v>44588</v>
      </c>
      <c r="E180" s="0" t="n">
        <v>22.57</v>
      </c>
      <c r="F180" s="1" t="n">
        <v>51.6</v>
      </c>
      <c r="G180" s="6" t="n">
        <f aca="false">E180*F180</f>
        <v>1164.612</v>
      </c>
      <c r="H180" s="1" t="s">
        <v>12</v>
      </c>
      <c r="I180" s="1" t="s">
        <v>31</v>
      </c>
      <c r="L180" s="1" t="n">
        <v>27</v>
      </c>
      <c r="M180" s="1" t="n">
        <f aca="false">(E180+M179)-N180</f>
        <v>19.45</v>
      </c>
      <c r="N180" s="1" t="n">
        <v>3.2</v>
      </c>
    </row>
    <row r="181" customFormat="false" ht="15" hidden="false" customHeight="true" outlineLevel="0" collapsed="false">
      <c r="D181" s="5"/>
      <c r="G181" s="6"/>
      <c r="H181" s="1" t="s">
        <v>31</v>
      </c>
      <c r="I181" s="1" t="s">
        <v>12</v>
      </c>
      <c r="L181" s="1" t="n">
        <v>27</v>
      </c>
      <c r="M181" s="1" t="n">
        <f aca="false">M180-N181</f>
        <v>16.25</v>
      </c>
      <c r="N181" s="1" t="n">
        <v>3.2</v>
      </c>
    </row>
    <row r="182" customFormat="false" ht="15" hidden="false" customHeight="true" outlineLevel="0" collapsed="false">
      <c r="D182" s="5"/>
      <c r="G182" s="6"/>
      <c r="H182" s="1" t="s">
        <v>12</v>
      </c>
      <c r="I182" s="1" t="s">
        <v>32</v>
      </c>
      <c r="L182" s="1" t="n">
        <v>25</v>
      </c>
      <c r="M182" s="1" t="n">
        <f aca="false">M181-N182</f>
        <v>13.25</v>
      </c>
      <c r="N182" s="1" t="n">
        <v>3</v>
      </c>
    </row>
    <row r="183" customFormat="false" ht="15" hidden="false" customHeight="true" outlineLevel="0" collapsed="false">
      <c r="D183" s="5"/>
      <c r="G183" s="6"/>
      <c r="H183" s="1" t="s">
        <v>32</v>
      </c>
      <c r="I183" s="1" t="s">
        <v>12</v>
      </c>
      <c r="L183" s="1" t="n">
        <v>25</v>
      </c>
      <c r="M183" s="1" t="n">
        <f aca="false">M182-N183</f>
        <v>10.25</v>
      </c>
      <c r="N183" s="1" t="n">
        <v>3</v>
      </c>
    </row>
    <row r="184" customFormat="false" ht="15" hidden="false" customHeight="true" outlineLevel="0" collapsed="false">
      <c r="D184" s="5" t="n">
        <v>44589</v>
      </c>
      <c r="H184" s="1" t="s">
        <v>12</v>
      </c>
      <c r="I184" s="1" t="s">
        <v>24</v>
      </c>
      <c r="L184" s="1" t="n">
        <v>14</v>
      </c>
      <c r="M184" s="1" t="n">
        <f aca="false">M183-N184</f>
        <v>8.75000000000001</v>
      </c>
      <c r="N184" s="1" t="n">
        <v>1.5</v>
      </c>
    </row>
    <row r="185" customFormat="false" ht="15" hidden="false" customHeight="true" outlineLevel="0" collapsed="false">
      <c r="D185" s="5"/>
      <c r="H185" s="1" t="s">
        <v>24</v>
      </c>
      <c r="I185" s="1" t="s">
        <v>12</v>
      </c>
      <c r="L185" s="1" t="n">
        <v>14</v>
      </c>
      <c r="M185" s="1" t="n">
        <f aca="false">M184-N185</f>
        <v>7.25000000000001</v>
      </c>
      <c r="N185" s="1" t="n">
        <v>1.5</v>
      </c>
    </row>
    <row r="186" customFormat="false" ht="15" hidden="false" customHeight="true" outlineLevel="0" collapsed="false">
      <c r="D186" s="5"/>
      <c r="H186" s="1" t="s">
        <v>12</v>
      </c>
      <c r="I186" s="1" t="s">
        <v>28</v>
      </c>
      <c r="L186" s="1" t="n">
        <v>24</v>
      </c>
      <c r="M186" s="1" t="n">
        <f aca="false">M185-N186</f>
        <v>4.45000000000001</v>
      </c>
      <c r="N186" s="1" t="n">
        <v>2.8</v>
      </c>
    </row>
    <row r="187" customFormat="false" ht="15" hidden="false" customHeight="true" outlineLevel="0" collapsed="false">
      <c r="D187" s="5"/>
      <c r="H187" s="1" t="s">
        <v>28</v>
      </c>
      <c r="I187" s="1" t="s">
        <v>12</v>
      </c>
      <c r="L187" s="1" t="n">
        <v>24</v>
      </c>
      <c r="M187" s="1" t="n">
        <f aca="false">M186-N187</f>
        <v>1.65000000000001</v>
      </c>
      <c r="N187" s="1" t="n">
        <v>2.8</v>
      </c>
    </row>
    <row r="188" customFormat="false" ht="15" hidden="false" customHeight="true" outlineLevel="0" collapsed="false">
      <c r="D188" s="5" t="n">
        <v>44592</v>
      </c>
      <c r="E188" s="0" t="n">
        <v>24.2</v>
      </c>
      <c r="F188" s="1" t="n">
        <v>51.5</v>
      </c>
      <c r="G188" s="6" t="n">
        <f aca="false">E188*F188</f>
        <v>1246.3</v>
      </c>
      <c r="H188" s="1" t="s">
        <v>12</v>
      </c>
      <c r="I188" s="1" t="s">
        <v>29</v>
      </c>
      <c r="J188" s="1" t="n">
        <v>145668</v>
      </c>
      <c r="K188" s="1" t="n">
        <f aca="false">J188+L188</f>
        <v>145717</v>
      </c>
      <c r="L188" s="1" t="n">
        <v>49</v>
      </c>
      <c r="M188" s="1" t="n">
        <f aca="false">(E188+M187)-N188</f>
        <v>20.05</v>
      </c>
      <c r="N188" s="1" t="n">
        <v>5.8</v>
      </c>
    </row>
    <row r="189" customFormat="false" ht="15" hidden="false" customHeight="true" outlineLevel="0" collapsed="false">
      <c r="H189" s="1" t="s">
        <v>29</v>
      </c>
      <c r="I189" s="1" t="s">
        <v>12</v>
      </c>
      <c r="J189" s="1" t="n">
        <f aca="false">K188</f>
        <v>145717</v>
      </c>
      <c r="K189" s="1" t="n">
        <f aca="false">J189+L189</f>
        <v>145766</v>
      </c>
      <c r="L189" s="1" t="n">
        <v>49</v>
      </c>
      <c r="M189" s="1" t="n">
        <f aca="false">M188-N189</f>
        <v>14.25</v>
      </c>
      <c r="N189" s="1" t="n">
        <v>5.8</v>
      </c>
    </row>
    <row r="191" customFormat="false" ht="15" hidden="false" customHeight="true" outlineLevel="0" collapsed="false">
      <c r="D191" s="4" t="s">
        <v>33</v>
      </c>
      <c r="E191" s="4"/>
      <c r="F191" s="4"/>
      <c r="G191" s="4"/>
    </row>
    <row r="192" customFormat="false" ht="15" hidden="false" customHeight="true" outlineLevel="0" collapsed="false">
      <c r="D192" s="5" t="n">
        <v>44593</v>
      </c>
      <c r="H192" s="1" t="s">
        <v>34</v>
      </c>
      <c r="I192" s="1" t="s">
        <v>35</v>
      </c>
      <c r="J192" s="1" t="n">
        <f aca="false">K189</f>
        <v>145766</v>
      </c>
      <c r="K192" s="1" t="n">
        <f aca="false">J192+L192</f>
        <v>145778</v>
      </c>
      <c r="L192" s="1" t="n">
        <v>12</v>
      </c>
      <c r="M192" s="1" t="n">
        <f aca="false">M189-N192</f>
        <v>13</v>
      </c>
      <c r="N192" s="1" t="n">
        <v>1.25</v>
      </c>
    </row>
    <row r="193" customFormat="false" ht="15" hidden="false" customHeight="true" outlineLevel="0" collapsed="false">
      <c r="H193" s="1" t="s">
        <v>35</v>
      </c>
      <c r="I193" s="1" t="s">
        <v>34</v>
      </c>
      <c r="J193" s="1" t="n">
        <f aca="false">K192</f>
        <v>145778</v>
      </c>
      <c r="K193" s="1" t="n">
        <f aca="false">J193+L193</f>
        <v>145790</v>
      </c>
      <c r="L193" s="1" t="n">
        <v>12</v>
      </c>
      <c r="M193" s="1" t="n">
        <f aca="false">M192-N193</f>
        <v>11.75</v>
      </c>
      <c r="N193" s="1" t="n">
        <v>1.25</v>
      </c>
    </row>
    <row r="194" customFormat="false" ht="15" hidden="false" customHeight="true" outlineLevel="0" collapsed="false">
      <c r="D194" s="5" t="n">
        <v>44594</v>
      </c>
      <c r="H194" s="1" t="s">
        <v>34</v>
      </c>
      <c r="I194" s="1" t="s">
        <v>35</v>
      </c>
      <c r="J194" s="1" t="n">
        <f aca="false">K193</f>
        <v>145790</v>
      </c>
      <c r="K194" s="1" t="n">
        <f aca="false">J194+L194</f>
        <v>145802</v>
      </c>
      <c r="L194" s="1" t="n">
        <v>12</v>
      </c>
      <c r="M194" s="1" t="n">
        <f aca="false">M193-N194</f>
        <v>10.5</v>
      </c>
      <c r="N194" s="1" t="n">
        <v>1.25</v>
      </c>
    </row>
    <row r="195" customFormat="false" ht="15" hidden="false" customHeight="true" outlineLevel="0" collapsed="false">
      <c r="D195" s="5"/>
      <c r="H195" s="1" t="s">
        <v>35</v>
      </c>
      <c r="I195" s="1" t="s">
        <v>34</v>
      </c>
      <c r="J195" s="1" t="n">
        <f aca="false">K194</f>
        <v>145802</v>
      </c>
      <c r="K195" s="1" t="n">
        <f aca="false">J195+L195</f>
        <v>145814</v>
      </c>
      <c r="L195" s="1" t="n">
        <v>12</v>
      </c>
      <c r="M195" s="1" t="n">
        <f aca="false">M194-N195</f>
        <v>9.25000000000001</v>
      </c>
      <c r="N195" s="1" t="n">
        <v>1.25</v>
      </c>
    </row>
    <row r="196" customFormat="false" ht="15" hidden="false" customHeight="true" outlineLevel="0" collapsed="false">
      <c r="D196" s="5" t="n">
        <v>44595</v>
      </c>
      <c r="H196" s="1" t="s">
        <v>34</v>
      </c>
      <c r="I196" s="1" t="s">
        <v>24</v>
      </c>
      <c r="J196" s="1" t="n">
        <f aca="false">K195</f>
        <v>145814</v>
      </c>
      <c r="K196" s="1" t="n">
        <f aca="false">J196+L196</f>
        <v>145828</v>
      </c>
      <c r="L196" s="1" t="n">
        <v>14</v>
      </c>
      <c r="M196" s="1" t="n">
        <f aca="false">M195-N196</f>
        <v>7.75000000000001</v>
      </c>
      <c r="N196" s="1" t="n">
        <v>1.5</v>
      </c>
    </row>
    <row r="197" customFormat="false" ht="15" hidden="false" customHeight="true" outlineLevel="0" collapsed="false">
      <c r="D197" s="5"/>
      <c r="H197" s="1" t="s">
        <v>24</v>
      </c>
      <c r="I197" s="1" t="s">
        <v>34</v>
      </c>
      <c r="J197" s="1" t="n">
        <f aca="false">K196</f>
        <v>145828</v>
      </c>
      <c r="K197" s="1" t="n">
        <f aca="false">J197+L197</f>
        <v>145842</v>
      </c>
      <c r="L197" s="1" t="n">
        <v>14</v>
      </c>
      <c r="M197" s="1" t="n">
        <f aca="false">M196-N197</f>
        <v>6.25000000000001</v>
      </c>
      <c r="N197" s="1" t="n">
        <v>1.5</v>
      </c>
    </row>
    <row r="198" customFormat="false" ht="15" hidden="false" customHeight="true" outlineLevel="0" collapsed="false">
      <c r="D198" s="5" t="n">
        <v>44596</v>
      </c>
      <c r="H198" s="1" t="s">
        <v>34</v>
      </c>
      <c r="I198" s="1" t="s">
        <v>32</v>
      </c>
      <c r="J198" s="1" t="n">
        <f aca="false">K197</f>
        <v>145842</v>
      </c>
      <c r="K198" s="1" t="n">
        <f aca="false">J198+L198</f>
        <v>145867</v>
      </c>
      <c r="L198" s="1" t="n">
        <v>25</v>
      </c>
      <c r="M198" s="1" t="n">
        <f aca="false">M197-N198</f>
        <v>3.25000000000001</v>
      </c>
      <c r="N198" s="1" t="n">
        <v>3</v>
      </c>
    </row>
    <row r="199" customFormat="false" ht="15" hidden="false" customHeight="true" outlineLevel="0" collapsed="false">
      <c r="D199" s="5"/>
      <c r="H199" s="1" t="s">
        <v>32</v>
      </c>
      <c r="I199" s="1" t="s">
        <v>34</v>
      </c>
      <c r="J199" s="1" t="n">
        <f aca="false">K198</f>
        <v>145867</v>
      </c>
      <c r="K199" s="1" t="n">
        <f aca="false">J199+L199</f>
        <v>145892</v>
      </c>
      <c r="L199" s="1" t="n">
        <v>25</v>
      </c>
      <c r="M199" s="1" t="n">
        <f aca="false">M198-N199</f>
        <v>0.250000000000014</v>
      </c>
      <c r="N199" s="1" t="n">
        <v>3</v>
      </c>
    </row>
    <row r="200" customFormat="false" ht="15" hidden="false" customHeight="true" outlineLevel="0" collapsed="false">
      <c r="D200" s="5" t="n">
        <v>44599</v>
      </c>
      <c r="E200" s="0" t="n">
        <v>23.59</v>
      </c>
      <c r="F200" s="1" t="n">
        <v>51.9</v>
      </c>
      <c r="G200" s="6" t="n">
        <f aca="false">E200*F200</f>
        <v>1224.321</v>
      </c>
      <c r="H200" s="1" t="s">
        <v>34</v>
      </c>
      <c r="I200" s="1" t="s">
        <v>29</v>
      </c>
      <c r="J200" s="1" t="n">
        <f aca="false">K199</f>
        <v>145892</v>
      </c>
      <c r="K200" s="1" t="n">
        <f aca="false">J200+L200</f>
        <v>145941</v>
      </c>
      <c r="L200" s="1" t="n">
        <v>49</v>
      </c>
      <c r="M200" s="1" t="n">
        <f aca="false">(E200+M199)-N200</f>
        <v>18.04</v>
      </c>
      <c r="N200" s="1" t="n">
        <v>5.8</v>
      </c>
    </row>
    <row r="201" customFormat="false" ht="15" hidden="false" customHeight="true" outlineLevel="0" collapsed="false">
      <c r="D201" s="5"/>
      <c r="G201" s="6"/>
      <c r="H201" s="1" t="s">
        <v>29</v>
      </c>
      <c r="I201" s="1" t="s">
        <v>34</v>
      </c>
      <c r="J201" s="1" t="n">
        <f aca="false">K200</f>
        <v>145941</v>
      </c>
      <c r="K201" s="1" t="n">
        <f aca="false">J201+L201</f>
        <v>145990</v>
      </c>
      <c r="L201" s="1" t="n">
        <v>49</v>
      </c>
      <c r="M201" s="1" t="n">
        <f aca="false">M200-N201</f>
        <v>12.24</v>
      </c>
      <c r="N201" s="1" t="n">
        <v>5.8</v>
      </c>
    </row>
    <row r="202" customFormat="false" ht="15" hidden="false" customHeight="true" outlineLevel="0" collapsed="false">
      <c r="D202" s="5" t="n">
        <v>44600</v>
      </c>
      <c r="H202" s="1" t="s">
        <v>12</v>
      </c>
      <c r="I202" s="1" t="s">
        <v>31</v>
      </c>
      <c r="J202" s="1" t="n">
        <f aca="false">K201</f>
        <v>145990</v>
      </c>
      <c r="K202" s="1" t="n">
        <f aca="false">J202+L202</f>
        <v>146017</v>
      </c>
      <c r="L202" s="1" t="n">
        <v>27</v>
      </c>
      <c r="M202" s="1" t="n">
        <f aca="false">M201-N202</f>
        <v>9.04000000000001</v>
      </c>
      <c r="N202" s="1" t="n">
        <v>3.2</v>
      </c>
    </row>
    <row r="203" customFormat="false" ht="15" hidden="false" customHeight="true" outlineLevel="0" collapsed="false">
      <c r="D203" s="5"/>
      <c r="H203" s="1" t="s">
        <v>31</v>
      </c>
      <c r="I203" s="1" t="s">
        <v>12</v>
      </c>
      <c r="J203" s="1" t="n">
        <f aca="false">K202</f>
        <v>146017</v>
      </c>
      <c r="K203" s="1" t="n">
        <f aca="false">J203+L203</f>
        <v>146044</v>
      </c>
      <c r="L203" s="1" t="n">
        <v>27</v>
      </c>
      <c r="M203" s="1" t="n">
        <f aca="false">M202-N203</f>
        <v>5.84000000000001</v>
      </c>
      <c r="N203" s="1" t="n">
        <v>3.2</v>
      </c>
    </row>
    <row r="204" customFormat="false" ht="15" hidden="false" customHeight="true" outlineLevel="0" collapsed="false">
      <c r="D204" s="5" t="n">
        <v>44601</v>
      </c>
      <c r="H204" s="1" t="s">
        <v>12</v>
      </c>
      <c r="I204" s="1" t="s">
        <v>28</v>
      </c>
      <c r="J204" s="1" t="n">
        <f aca="false">K203</f>
        <v>146044</v>
      </c>
      <c r="K204" s="1" t="n">
        <f aca="false">J204+L204</f>
        <v>146068</v>
      </c>
      <c r="L204" s="1" t="n">
        <v>24</v>
      </c>
      <c r="M204" s="1" t="n">
        <f aca="false">M203-N204</f>
        <v>3.04000000000001</v>
      </c>
      <c r="N204" s="1" t="n">
        <v>2.8</v>
      </c>
    </row>
    <row r="205" customFormat="false" ht="15" hidden="false" customHeight="true" outlineLevel="0" collapsed="false">
      <c r="D205" s="5"/>
      <c r="H205" s="1" t="s">
        <v>28</v>
      </c>
      <c r="I205" s="1" t="s">
        <v>12</v>
      </c>
      <c r="J205" s="1" t="n">
        <f aca="false">K204</f>
        <v>146068</v>
      </c>
      <c r="K205" s="1" t="n">
        <f aca="false">J205+L205</f>
        <v>146092</v>
      </c>
      <c r="L205" s="1" t="n">
        <v>24</v>
      </c>
      <c r="M205" s="1" t="n">
        <f aca="false">M204-N205</f>
        <v>0.240000000000014</v>
      </c>
      <c r="N205" s="1" t="n">
        <v>2.8</v>
      </c>
    </row>
    <row r="206" customFormat="false" ht="15" hidden="false" customHeight="true" outlineLevel="0" collapsed="false">
      <c r="D206" s="5" t="n">
        <v>44602</v>
      </c>
      <c r="E206" s="0" t="n">
        <v>23.56</v>
      </c>
      <c r="F206" s="1" t="n">
        <v>51.9</v>
      </c>
      <c r="G206" s="6" t="n">
        <f aca="false">E206*F206</f>
        <v>1222.764</v>
      </c>
      <c r="H206" s="1" t="s">
        <v>12</v>
      </c>
      <c r="I206" s="1" t="s">
        <v>29</v>
      </c>
      <c r="J206" s="1" t="n">
        <f aca="false">K205</f>
        <v>146092</v>
      </c>
      <c r="K206" s="1" t="n">
        <f aca="false">J206+L206</f>
        <v>146141</v>
      </c>
      <c r="L206" s="1" t="n">
        <v>49</v>
      </c>
      <c r="M206" s="1" t="n">
        <f aca="false">(E206+M205)-N206</f>
        <v>18</v>
      </c>
      <c r="N206" s="1" t="n">
        <v>5.8</v>
      </c>
    </row>
    <row r="207" customFormat="false" ht="15" hidden="false" customHeight="true" outlineLevel="0" collapsed="false">
      <c r="D207" s="5"/>
      <c r="G207" s="6"/>
      <c r="H207" s="1" t="s">
        <v>29</v>
      </c>
      <c r="I207" s="1" t="s">
        <v>12</v>
      </c>
      <c r="J207" s="1" t="n">
        <f aca="false">K206</f>
        <v>146141</v>
      </c>
      <c r="K207" s="1" t="n">
        <f aca="false">J207+L207</f>
        <v>146190</v>
      </c>
      <c r="L207" s="1" t="n">
        <v>49</v>
      </c>
      <c r="M207" s="1" t="n">
        <f aca="false">M206-N207</f>
        <v>12.2</v>
      </c>
      <c r="N207" s="1" t="n">
        <v>5.8</v>
      </c>
    </row>
    <row r="208" customFormat="false" ht="15" hidden="false" customHeight="true" outlineLevel="0" collapsed="false">
      <c r="D208" s="5" t="n">
        <v>44603</v>
      </c>
      <c r="H208" s="1" t="s">
        <v>34</v>
      </c>
      <c r="I208" s="1" t="s">
        <v>35</v>
      </c>
      <c r="J208" s="1" t="n">
        <f aca="false">K207</f>
        <v>146190</v>
      </c>
      <c r="K208" s="1" t="n">
        <f aca="false">J208+L208</f>
        <v>146202</v>
      </c>
      <c r="L208" s="1" t="n">
        <v>12</v>
      </c>
      <c r="M208" s="1" t="n">
        <f aca="false">M207-N208</f>
        <v>10.95</v>
      </c>
      <c r="N208" s="1" t="n">
        <v>1.25</v>
      </c>
    </row>
    <row r="209" customFormat="false" ht="15" hidden="false" customHeight="true" outlineLevel="0" collapsed="false">
      <c r="D209" s="5"/>
      <c r="H209" s="1" t="s">
        <v>35</v>
      </c>
      <c r="I209" s="1" t="s">
        <v>34</v>
      </c>
      <c r="J209" s="1" t="n">
        <f aca="false">K208</f>
        <v>146202</v>
      </c>
      <c r="K209" s="1" t="n">
        <f aca="false">J209+L209</f>
        <v>146214</v>
      </c>
      <c r="L209" s="1" t="n">
        <v>12</v>
      </c>
      <c r="M209" s="1" t="n">
        <f aca="false">M208-N209</f>
        <v>9.70000000000001</v>
      </c>
      <c r="N209" s="1" t="n">
        <v>1.25</v>
      </c>
    </row>
    <row r="210" customFormat="false" ht="15" hidden="false" customHeight="true" outlineLevel="0" collapsed="false">
      <c r="D210" s="5" t="n">
        <v>44606</v>
      </c>
      <c r="E210" s="0" t="n">
        <v>24.02</v>
      </c>
      <c r="F210" s="1" t="n">
        <v>52.25</v>
      </c>
      <c r="G210" s="6" t="n">
        <f aca="false">E210*F210</f>
        <v>1255.045</v>
      </c>
      <c r="H210" s="1" t="s">
        <v>34</v>
      </c>
      <c r="I210" s="1" t="s">
        <v>30</v>
      </c>
      <c r="J210" s="1" t="n">
        <f aca="false">K209</f>
        <v>146214</v>
      </c>
      <c r="K210" s="1" t="n">
        <f aca="false">J210+L210</f>
        <v>146241</v>
      </c>
      <c r="L210" s="1" t="n">
        <v>27</v>
      </c>
      <c r="M210" s="1" t="n">
        <f aca="false">(E210+M209)-N210</f>
        <v>30.52</v>
      </c>
      <c r="N210" s="1" t="n">
        <v>3.2</v>
      </c>
    </row>
    <row r="211" customFormat="false" ht="15" hidden="false" customHeight="true" outlineLevel="0" collapsed="false">
      <c r="D211" s="5"/>
      <c r="G211" s="6"/>
      <c r="H211" s="1" t="s">
        <v>30</v>
      </c>
      <c r="I211" s="1" t="s">
        <v>34</v>
      </c>
      <c r="J211" s="1" t="n">
        <f aca="false">K210</f>
        <v>146241</v>
      </c>
      <c r="K211" s="1" t="n">
        <f aca="false">J211+L211</f>
        <v>146268</v>
      </c>
      <c r="L211" s="1" t="n">
        <v>27</v>
      </c>
      <c r="M211" s="1" t="n">
        <f aca="false">M210-N211</f>
        <v>27.32</v>
      </c>
      <c r="N211" s="1" t="n">
        <v>3.2</v>
      </c>
    </row>
    <row r="212" customFormat="false" ht="15" hidden="false" customHeight="true" outlineLevel="0" collapsed="false">
      <c r="D212" s="5"/>
      <c r="G212" s="6"/>
      <c r="H212" s="1" t="s">
        <v>34</v>
      </c>
      <c r="I212" s="1" t="s">
        <v>36</v>
      </c>
      <c r="J212" s="1" t="n">
        <f aca="false">K211</f>
        <v>146268</v>
      </c>
      <c r="K212" s="1" t="n">
        <f aca="false">J212+L212</f>
        <v>146283</v>
      </c>
      <c r="L212" s="1" t="n">
        <v>15</v>
      </c>
      <c r="M212" s="1" t="n">
        <f aca="false">M211-N212</f>
        <v>25.52</v>
      </c>
      <c r="N212" s="1" t="n">
        <v>1.8</v>
      </c>
    </row>
    <row r="213" customFormat="false" ht="15" hidden="false" customHeight="true" outlineLevel="0" collapsed="false">
      <c r="D213" s="5"/>
      <c r="G213" s="6"/>
      <c r="H213" s="1" t="s">
        <v>36</v>
      </c>
      <c r="I213" s="1" t="s">
        <v>34</v>
      </c>
      <c r="J213" s="1" t="n">
        <f aca="false">K212</f>
        <v>146283</v>
      </c>
      <c r="K213" s="1" t="n">
        <f aca="false">J213+L213</f>
        <v>146298</v>
      </c>
      <c r="L213" s="1" t="n">
        <v>15</v>
      </c>
      <c r="M213" s="1" t="n">
        <f aca="false">M212-N213</f>
        <v>23.72</v>
      </c>
      <c r="N213" s="1" t="n">
        <v>1.8</v>
      </c>
    </row>
    <row r="214" customFormat="false" ht="15" hidden="false" customHeight="true" outlineLevel="0" collapsed="false">
      <c r="D214" s="5"/>
      <c r="G214" s="6"/>
      <c r="H214" s="1" t="s">
        <v>34</v>
      </c>
      <c r="I214" s="1" t="s">
        <v>35</v>
      </c>
      <c r="J214" s="1" t="n">
        <f aca="false">K213</f>
        <v>146298</v>
      </c>
      <c r="K214" s="1" t="n">
        <f aca="false">J214+L214</f>
        <v>146310</v>
      </c>
      <c r="L214" s="1" t="n">
        <v>12</v>
      </c>
      <c r="M214" s="1" t="n">
        <f aca="false">M213-N214</f>
        <v>22.47</v>
      </c>
      <c r="N214" s="1" t="n">
        <v>1.25</v>
      </c>
    </row>
    <row r="215" customFormat="false" ht="15" hidden="false" customHeight="true" outlineLevel="0" collapsed="false">
      <c r="D215" s="5"/>
      <c r="G215" s="6"/>
      <c r="H215" s="1" t="s">
        <v>35</v>
      </c>
      <c r="I215" s="1" t="s">
        <v>34</v>
      </c>
      <c r="J215" s="1" t="n">
        <f aca="false">K214</f>
        <v>146310</v>
      </c>
      <c r="K215" s="1" t="n">
        <f aca="false">J215+L215</f>
        <v>146322</v>
      </c>
      <c r="L215" s="1" t="n">
        <v>12</v>
      </c>
      <c r="M215" s="1" t="n">
        <f aca="false">M214-N215</f>
        <v>21.22</v>
      </c>
      <c r="N215" s="1" t="n">
        <v>1.25</v>
      </c>
    </row>
    <row r="216" customFormat="false" ht="15" hidden="false" customHeight="true" outlineLevel="0" collapsed="false">
      <c r="D216" s="5" t="n">
        <v>44607</v>
      </c>
      <c r="H216" s="1" t="s">
        <v>34</v>
      </c>
      <c r="I216" s="1" t="s">
        <v>36</v>
      </c>
      <c r="J216" s="1" t="n">
        <f aca="false">K215</f>
        <v>146322</v>
      </c>
      <c r="K216" s="1" t="n">
        <f aca="false">J216+L216</f>
        <v>146337</v>
      </c>
      <c r="L216" s="1" t="n">
        <v>15</v>
      </c>
      <c r="M216" s="1" t="n">
        <f aca="false">M215-N216</f>
        <v>19.42</v>
      </c>
      <c r="N216" s="1" t="n">
        <v>1.8</v>
      </c>
    </row>
    <row r="217" customFormat="false" ht="15" hidden="false" customHeight="true" outlineLevel="0" collapsed="false">
      <c r="D217" s="5"/>
      <c r="H217" s="1" t="s">
        <v>36</v>
      </c>
      <c r="I217" s="1" t="s">
        <v>34</v>
      </c>
      <c r="J217" s="1" t="n">
        <f aca="false">K216</f>
        <v>146337</v>
      </c>
      <c r="K217" s="1" t="n">
        <f aca="false">J217+L217</f>
        <v>146352</v>
      </c>
      <c r="L217" s="1" t="n">
        <v>15</v>
      </c>
      <c r="M217" s="1" t="n">
        <f aca="false">M216-N217</f>
        <v>17.62</v>
      </c>
      <c r="N217" s="1" t="n">
        <v>1.8</v>
      </c>
    </row>
    <row r="218" customFormat="false" ht="15" hidden="false" customHeight="true" outlineLevel="0" collapsed="false">
      <c r="D218" s="5"/>
      <c r="H218" s="1" t="s">
        <v>34</v>
      </c>
      <c r="I218" s="1" t="s">
        <v>32</v>
      </c>
      <c r="J218" s="1" t="n">
        <f aca="false">K217</f>
        <v>146352</v>
      </c>
      <c r="K218" s="1" t="n">
        <f aca="false">J218+L218</f>
        <v>146377</v>
      </c>
      <c r="L218" s="1" t="n">
        <v>25</v>
      </c>
      <c r="M218" s="1" t="n">
        <f aca="false">M217-N218</f>
        <v>14.82</v>
      </c>
      <c r="N218" s="1" t="n">
        <v>2.8</v>
      </c>
    </row>
    <row r="219" customFormat="false" ht="15" hidden="false" customHeight="true" outlineLevel="0" collapsed="false">
      <c r="D219" s="5"/>
      <c r="H219" s="1" t="s">
        <v>32</v>
      </c>
      <c r="I219" s="1" t="s">
        <v>34</v>
      </c>
      <c r="J219" s="1" t="n">
        <f aca="false">K218</f>
        <v>146377</v>
      </c>
      <c r="K219" s="1" t="n">
        <f aca="false">J219+L219</f>
        <v>146402</v>
      </c>
      <c r="L219" s="1" t="n">
        <v>25</v>
      </c>
      <c r="M219" s="1" t="n">
        <f aca="false">M218-N219</f>
        <v>12.02</v>
      </c>
      <c r="N219" s="1" t="n">
        <v>2.8</v>
      </c>
    </row>
    <row r="220" customFormat="false" ht="15" hidden="false" customHeight="true" outlineLevel="0" collapsed="false">
      <c r="D220" s="5" t="n">
        <v>44608</v>
      </c>
      <c r="E220" s="0" t="n">
        <v>24.41</v>
      </c>
      <c r="F220" s="1" t="n">
        <v>51.35</v>
      </c>
      <c r="G220" s="6" t="n">
        <f aca="false">E220*F220</f>
        <v>1253.4535</v>
      </c>
      <c r="H220" s="1" t="s">
        <v>34</v>
      </c>
      <c r="I220" s="1" t="s">
        <v>31</v>
      </c>
      <c r="J220" s="1" t="n">
        <f aca="false">K219</f>
        <v>146402</v>
      </c>
      <c r="K220" s="1" t="n">
        <f aca="false">J220+L220</f>
        <v>146429</v>
      </c>
      <c r="L220" s="1" t="n">
        <v>27</v>
      </c>
      <c r="M220" s="1" t="n">
        <f aca="false">(E220+M219)-N220</f>
        <v>33.23</v>
      </c>
      <c r="N220" s="1" t="n">
        <v>3.2</v>
      </c>
    </row>
    <row r="221" customFormat="false" ht="15" hidden="false" customHeight="true" outlineLevel="0" collapsed="false">
      <c r="D221" s="5"/>
      <c r="G221" s="6"/>
      <c r="H221" s="1" t="s">
        <v>31</v>
      </c>
      <c r="I221" s="1" t="s">
        <v>34</v>
      </c>
      <c r="J221" s="1" t="n">
        <f aca="false">K220</f>
        <v>146429</v>
      </c>
      <c r="K221" s="1" t="n">
        <f aca="false">J221+L221</f>
        <v>146456</v>
      </c>
      <c r="L221" s="1" t="n">
        <v>27</v>
      </c>
      <c r="M221" s="1" t="n">
        <f aca="false">M220-N221</f>
        <v>30.03</v>
      </c>
      <c r="N221" s="1" t="n">
        <v>3.2</v>
      </c>
    </row>
    <row r="222" customFormat="false" ht="15" hidden="false" customHeight="true" outlineLevel="0" collapsed="false">
      <c r="D222" s="5"/>
      <c r="G222" s="6"/>
      <c r="H222" s="1" t="s">
        <v>34</v>
      </c>
      <c r="I222" s="1" t="s">
        <v>29</v>
      </c>
      <c r="J222" s="1" t="n">
        <f aca="false">K221</f>
        <v>146456</v>
      </c>
      <c r="K222" s="1" t="n">
        <f aca="false">J222+L222</f>
        <v>146505</v>
      </c>
      <c r="L222" s="1" t="n">
        <v>49</v>
      </c>
      <c r="M222" s="1" t="n">
        <f aca="false">M221-N222</f>
        <v>24.23</v>
      </c>
      <c r="N222" s="1" t="n">
        <v>5.8</v>
      </c>
    </row>
    <row r="223" customFormat="false" ht="15" hidden="false" customHeight="true" outlineLevel="0" collapsed="false">
      <c r="D223" s="5"/>
      <c r="G223" s="6"/>
      <c r="H223" s="1" t="s">
        <v>29</v>
      </c>
      <c r="I223" s="1" t="s">
        <v>34</v>
      </c>
      <c r="J223" s="1" t="n">
        <f aca="false">K222</f>
        <v>146505</v>
      </c>
      <c r="K223" s="1" t="n">
        <f aca="false">J223+L223</f>
        <v>146554</v>
      </c>
      <c r="L223" s="1" t="n">
        <v>49</v>
      </c>
      <c r="M223" s="1" t="n">
        <f aca="false">M222-N223</f>
        <v>18.43</v>
      </c>
      <c r="N223" s="1" t="n">
        <v>5.8</v>
      </c>
    </row>
    <row r="224" customFormat="false" ht="15" hidden="false" customHeight="true" outlineLevel="0" collapsed="false">
      <c r="D224" s="5" t="n">
        <v>44609</v>
      </c>
      <c r="H224" s="1" t="s">
        <v>34</v>
      </c>
      <c r="I224" s="1" t="s">
        <v>37</v>
      </c>
      <c r="J224" s="1" t="n">
        <f aca="false">K223</f>
        <v>146554</v>
      </c>
      <c r="K224" s="1" t="n">
        <f aca="false">J224+L224</f>
        <v>146594</v>
      </c>
      <c r="L224" s="1" t="n">
        <v>40</v>
      </c>
      <c r="M224" s="1" t="n">
        <f aca="false">M223-N224</f>
        <v>13.63</v>
      </c>
      <c r="N224" s="1" t="n">
        <v>4.8</v>
      </c>
    </row>
    <row r="225" customFormat="false" ht="15" hidden="false" customHeight="true" outlineLevel="0" collapsed="false">
      <c r="D225" s="5"/>
      <c r="H225" s="1" t="s">
        <v>37</v>
      </c>
      <c r="I225" s="1" t="s">
        <v>34</v>
      </c>
      <c r="J225" s="1" t="n">
        <f aca="false">K224</f>
        <v>146594</v>
      </c>
      <c r="K225" s="1" t="n">
        <f aca="false">J225+L225</f>
        <v>146634</v>
      </c>
      <c r="L225" s="1" t="n">
        <v>40</v>
      </c>
      <c r="M225" s="1" t="n">
        <f aca="false">M224-N225</f>
        <v>8.83</v>
      </c>
      <c r="N225" s="1" t="n">
        <v>4.8</v>
      </c>
    </row>
    <row r="226" customFormat="false" ht="15" hidden="false" customHeight="true" outlineLevel="0" collapsed="false">
      <c r="D226" s="5" t="n">
        <v>44610</v>
      </c>
      <c r="H226" s="1" t="s">
        <v>34</v>
      </c>
      <c r="I226" s="1" t="s">
        <v>35</v>
      </c>
      <c r="J226" s="1" t="n">
        <f aca="false">K225</f>
        <v>146634</v>
      </c>
      <c r="K226" s="1" t="n">
        <f aca="false">J226+L226</f>
        <v>146646</v>
      </c>
      <c r="L226" s="1" t="n">
        <v>12</v>
      </c>
      <c r="M226" s="1" t="n">
        <f aca="false">M225-N226</f>
        <v>7.58</v>
      </c>
      <c r="N226" s="1" t="n">
        <v>1.25</v>
      </c>
    </row>
    <row r="227" customFormat="false" ht="15" hidden="false" customHeight="true" outlineLevel="0" collapsed="false">
      <c r="D227" s="5"/>
      <c r="H227" s="1" t="s">
        <v>35</v>
      </c>
      <c r="I227" s="1" t="s">
        <v>34</v>
      </c>
      <c r="J227" s="1" t="n">
        <f aca="false">K226</f>
        <v>146646</v>
      </c>
      <c r="K227" s="1" t="n">
        <f aca="false">J227+L227</f>
        <v>146658</v>
      </c>
      <c r="L227" s="1" t="n">
        <v>12</v>
      </c>
      <c r="M227" s="1" t="n">
        <f aca="false">M226-N227</f>
        <v>6.33</v>
      </c>
      <c r="N227" s="1" t="n">
        <v>1.25</v>
      </c>
    </row>
    <row r="228" customFormat="false" ht="15" hidden="false" customHeight="true" outlineLevel="0" collapsed="false">
      <c r="D228" s="5" t="n">
        <v>44613</v>
      </c>
      <c r="H228" s="1" t="s">
        <v>34</v>
      </c>
      <c r="I228" s="1" t="s">
        <v>35</v>
      </c>
      <c r="J228" s="1" t="n">
        <f aca="false">K227</f>
        <v>146658</v>
      </c>
      <c r="K228" s="1" t="n">
        <f aca="false">J228+L228</f>
        <v>146670</v>
      </c>
      <c r="L228" s="1" t="n">
        <v>12</v>
      </c>
      <c r="M228" s="1" t="n">
        <f aca="false">M227-N228</f>
        <v>5.08</v>
      </c>
      <c r="N228" s="1" t="n">
        <v>1.25</v>
      </c>
    </row>
    <row r="229" customFormat="false" ht="15" hidden="false" customHeight="true" outlineLevel="0" collapsed="false">
      <c r="D229" s="5"/>
      <c r="H229" s="1" t="s">
        <v>35</v>
      </c>
      <c r="I229" s="1" t="s">
        <v>34</v>
      </c>
      <c r="J229" s="1" t="n">
        <f aca="false">K228</f>
        <v>146670</v>
      </c>
      <c r="K229" s="1" t="n">
        <f aca="false">J229+L229</f>
        <v>146682</v>
      </c>
      <c r="L229" s="1" t="n">
        <v>12</v>
      </c>
      <c r="M229" s="1" t="n">
        <f aca="false">M228-N229</f>
        <v>3.83</v>
      </c>
      <c r="N229" s="1" t="n">
        <v>1.25</v>
      </c>
    </row>
    <row r="230" customFormat="false" ht="15" hidden="false" customHeight="true" outlineLevel="0" collapsed="false">
      <c r="D230" s="5" t="n">
        <v>44614</v>
      </c>
      <c r="E230" s="0" t="n">
        <v>23.32</v>
      </c>
      <c r="F230" s="1" t="n">
        <v>51.9</v>
      </c>
      <c r="G230" s="6" t="n">
        <f aca="false">E230*F230</f>
        <v>1210.308</v>
      </c>
      <c r="H230" s="1" t="s">
        <v>34</v>
      </c>
      <c r="I230" s="1" t="s">
        <v>30</v>
      </c>
      <c r="J230" s="1" t="n">
        <f aca="false">K229</f>
        <v>146682</v>
      </c>
      <c r="K230" s="1" t="n">
        <f aca="false">J230+L230</f>
        <v>146709</v>
      </c>
      <c r="L230" s="1" t="n">
        <v>27</v>
      </c>
      <c r="M230" s="1" t="n">
        <f aca="false">(E230+M229)-N230</f>
        <v>23.95</v>
      </c>
      <c r="N230" s="1" t="n">
        <v>3.2</v>
      </c>
    </row>
    <row r="231" customFormat="false" ht="15" hidden="false" customHeight="true" outlineLevel="0" collapsed="false">
      <c r="D231" s="5"/>
      <c r="G231" s="6"/>
      <c r="H231" s="1" t="s">
        <v>30</v>
      </c>
      <c r="I231" s="1" t="s">
        <v>34</v>
      </c>
      <c r="J231" s="1" t="n">
        <f aca="false">K230</f>
        <v>146709</v>
      </c>
      <c r="K231" s="1" t="n">
        <f aca="false">J231+L231</f>
        <v>146736</v>
      </c>
      <c r="L231" s="1" t="n">
        <v>27</v>
      </c>
      <c r="M231" s="1" t="n">
        <f aca="false">M230-N231</f>
        <v>20.75</v>
      </c>
      <c r="N231" s="1" t="n">
        <v>3.2</v>
      </c>
    </row>
    <row r="232" customFormat="false" ht="15" hidden="false" customHeight="true" outlineLevel="0" collapsed="false">
      <c r="D232" s="5" t="n">
        <v>44616</v>
      </c>
      <c r="H232" s="1" t="s">
        <v>12</v>
      </c>
      <c r="I232" s="1" t="s">
        <v>24</v>
      </c>
      <c r="J232" s="1" t="n">
        <f aca="false">K231</f>
        <v>146736</v>
      </c>
      <c r="K232" s="1" t="n">
        <f aca="false">J232+L232</f>
        <v>146750</v>
      </c>
      <c r="L232" s="1" t="n">
        <v>14</v>
      </c>
      <c r="M232" s="1" t="n">
        <f aca="false">M231-N232</f>
        <v>19.25</v>
      </c>
      <c r="N232" s="1" t="n">
        <v>1.5</v>
      </c>
    </row>
    <row r="233" customFormat="false" ht="15" hidden="false" customHeight="true" outlineLevel="0" collapsed="false">
      <c r="D233" s="5"/>
      <c r="H233" s="1" t="s">
        <v>24</v>
      </c>
      <c r="I233" s="1" t="s">
        <v>12</v>
      </c>
      <c r="J233" s="1" t="n">
        <f aca="false">K232</f>
        <v>146750</v>
      </c>
      <c r="K233" s="1" t="n">
        <f aca="false">J233+L233</f>
        <v>146764</v>
      </c>
      <c r="L233" s="1" t="n">
        <v>14</v>
      </c>
      <c r="M233" s="1" t="n">
        <f aca="false">M232-N233</f>
        <v>17.75</v>
      </c>
      <c r="N233" s="1" t="n">
        <v>1.5</v>
      </c>
    </row>
    <row r="234" customFormat="false" ht="15" hidden="false" customHeight="true" outlineLevel="0" collapsed="false">
      <c r="D234" s="5" t="n">
        <v>44617</v>
      </c>
      <c r="H234" s="1" t="s">
        <v>34</v>
      </c>
      <c r="I234" s="1" t="s">
        <v>31</v>
      </c>
      <c r="J234" s="1" t="n">
        <f aca="false">K233</f>
        <v>146764</v>
      </c>
      <c r="K234" s="1" t="n">
        <f aca="false">J234+L234</f>
        <v>146791</v>
      </c>
      <c r="L234" s="1" t="n">
        <v>27</v>
      </c>
      <c r="M234" s="1" t="n">
        <f aca="false">M233-N234</f>
        <v>14.55</v>
      </c>
      <c r="N234" s="1" t="n">
        <v>3.2</v>
      </c>
    </row>
    <row r="235" customFormat="false" ht="15" hidden="false" customHeight="true" outlineLevel="0" collapsed="false">
      <c r="D235" s="5"/>
      <c r="H235" s="1" t="s">
        <v>31</v>
      </c>
      <c r="I235" s="1" t="s">
        <v>34</v>
      </c>
      <c r="J235" s="1" t="n">
        <f aca="false">K234</f>
        <v>146791</v>
      </c>
      <c r="K235" s="1" t="n">
        <f aca="false">J235+L235</f>
        <v>146818</v>
      </c>
      <c r="L235" s="1" t="n">
        <v>27</v>
      </c>
      <c r="M235" s="1" t="n">
        <f aca="false">M234-N235</f>
        <v>11.35</v>
      </c>
      <c r="N235" s="1" t="n">
        <v>3.2</v>
      </c>
    </row>
    <row r="236" customFormat="false" ht="15" hidden="false" customHeight="true" outlineLevel="0" collapsed="false">
      <c r="D236" s="5" t="n">
        <v>44620</v>
      </c>
      <c r="H236" s="1" t="s">
        <v>34</v>
      </c>
      <c r="I236" s="1" t="s">
        <v>36</v>
      </c>
      <c r="J236" s="1" t="n">
        <f aca="false">K235</f>
        <v>146818</v>
      </c>
      <c r="K236" s="1" t="n">
        <f aca="false">J236+L236</f>
        <v>146833</v>
      </c>
      <c r="L236" s="1" t="n">
        <v>15</v>
      </c>
      <c r="M236" s="1" t="n">
        <f aca="false">M235-N236</f>
        <v>9.55</v>
      </c>
      <c r="N236" s="1" t="n">
        <v>1.8</v>
      </c>
    </row>
    <row r="237" customFormat="false" ht="15" hidden="false" customHeight="true" outlineLevel="0" collapsed="false">
      <c r="D237" s="5"/>
      <c r="H237" s="1" t="s">
        <v>36</v>
      </c>
      <c r="I237" s="1" t="s">
        <v>34</v>
      </c>
      <c r="J237" s="1" t="n">
        <f aca="false">K236</f>
        <v>146833</v>
      </c>
      <c r="K237" s="1" t="n">
        <f aca="false">J237+L237</f>
        <v>146848</v>
      </c>
      <c r="L237" s="1" t="n">
        <v>15</v>
      </c>
      <c r="M237" s="1" t="n">
        <f aca="false">M236-N237</f>
        <v>7.75</v>
      </c>
      <c r="N237" s="1" t="n">
        <v>1.8</v>
      </c>
    </row>
    <row r="239" customFormat="false" ht="15" hidden="false" customHeight="true" outlineLevel="0" collapsed="false">
      <c r="D239" s="4" t="s">
        <v>38</v>
      </c>
      <c r="E239" s="4"/>
      <c r="F239" s="4"/>
      <c r="G239" s="4"/>
    </row>
    <row r="240" customFormat="false" ht="15" hidden="false" customHeight="true" outlineLevel="0" collapsed="false">
      <c r="D240" s="5" t="n">
        <v>44621</v>
      </c>
      <c r="E240" s="0" t="n">
        <v>24.23</v>
      </c>
      <c r="F240" s="1" t="n">
        <v>51.8</v>
      </c>
      <c r="G240" s="6" t="n">
        <f aca="false">E240*F240</f>
        <v>1255.114</v>
      </c>
      <c r="H240" s="1" t="s">
        <v>34</v>
      </c>
      <c r="I240" s="1" t="s">
        <v>30</v>
      </c>
      <c r="J240" s="1" t="n">
        <f aca="false">K237</f>
        <v>146848</v>
      </c>
      <c r="K240" s="1" t="n">
        <f aca="false">J240+L240</f>
        <v>146875</v>
      </c>
      <c r="L240" s="1" t="n">
        <v>27</v>
      </c>
      <c r="M240" s="1" t="n">
        <f aca="false">(E240+M237)-N240</f>
        <v>28.78</v>
      </c>
      <c r="N240" s="1" t="n">
        <v>3.2</v>
      </c>
    </row>
    <row r="241" customFormat="false" ht="15" hidden="false" customHeight="true" outlineLevel="0" collapsed="false">
      <c r="D241" s="5"/>
      <c r="G241" s="6"/>
      <c r="H241" s="1" t="s">
        <v>30</v>
      </c>
      <c r="I241" s="1" t="s">
        <v>34</v>
      </c>
      <c r="J241" s="1" t="n">
        <f aca="false">K240</f>
        <v>146875</v>
      </c>
      <c r="K241" s="1" t="n">
        <f aca="false">J241+L241</f>
        <v>146902</v>
      </c>
      <c r="L241" s="1" t="n">
        <v>27</v>
      </c>
      <c r="M241" s="1" t="n">
        <f aca="false">M240-N241</f>
        <v>25.58</v>
      </c>
      <c r="N241" s="1" t="n">
        <v>3.2</v>
      </c>
    </row>
    <row r="242" customFormat="false" ht="15" hidden="false" customHeight="true" outlineLevel="0" collapsed="false">
      <c r="D242" s="5" t="n">
        <v>44622</v>
      </c>
      <c r="H242" s="1" t="s">
        <v>34</v>
      </c>
      <c r="I242" s="1" t="s">
        <v>35</v>
      </c>
      <c r="J242" s="1" t="n">
        <f aca="false">K241</f>
        <v>146902</v>
      </c>
      <c r="K242" s="1" t="n">
        <f aca="false">J242+L242</f>
        <v>146914</v>
      </c>
      <c r="L242" s="1" t="n">
        <v>12</v>
      </c>
      <c r="M242" s="1" t="n">
        <f aca="false">M241-N242</f>
        <v>24.33</v>
      </c>
      <c r="N242" s="1" t="n">
        <v>1.25</v>
      </c>
    </row>
    <row r="243" customFormat="false" ht="15" hidden="false" customHeight="true" outlineLevel="0" collapsed="false">
      <c r="D243" s="5"/>
      <c r="H243" s="1" t="s">
        <v>35</v>
      </c>
      <c r="I243" s="1" t="s">
        <v>34</v>
      </c>
      <c r="J243" s="1" t="n">
        <f aca="false">K242</f>
        <v>146914</v>
      </c>
      <c r="K243" s="1" t="n">
        <f aca="false">J243+L243</f>
        <v>146926</v>
      </c>
      <c r="L243" s="1" t="n">
        <v>12</v>
      </c>
      <c r="M243" s="1" t="n">
        <f aca="false">M242-N243</f>
        <v>23.08</v>
      </c>
      <c r="N243" s="1" t="n">
        <v>1.25</v>
      </c>
    </row>
    <row r="244" customFormat="false" ht="15" hidden="false" customHeight="true" outlineLevel="0" collapsed="false">
      <c r="D244" s="5" t="n">
        <v>44623</v>
      </c>
      <c r="H244" s="1" t="s">
        <v>34</v>
      </c>
      <c r="I244" s="1" t="s">
        <v>32</v>
      </c>
      <c r="J244" s="1" t="n">
        <f aca="false">K243</f>
        <v>146926</v>
      </c>
      <c r="K244" s="1" t="n">
        <f aca="false">J244+L244</f>
        <v>146951</v>
      </c>
      <c r="L244" s="1" t="n">
        <v>25</v>
      </c>
      <c r="M244" s="1" t="n">
        <f aca="false">M243-N244</f>
        <v>20.28</v>
      </c>
      <c r="N244" s="1" t="n">
        <v>2.8</v>
      </c>
    </row>
    <row r="245" customFormat="false" ht="15" hidden="false" customHeight="true" outlineLevel="0" collapsed="false">
      <c r="D245" s="5"/>
      <c r="H245" s="1" t="s">
        <v>32</v>
      </c>
      <c r="I245" s="1" t="s">
        <v>34</v>
      </c>
      <c r="J245" s="1" t="n">
        <f aca="false">K244</f>
        <v>146951</v>
      </c>
      <c r="K245" s="1" t="n">
        <f aca="false">J245+L245</f>
        <v>146976</v>
      </c>
      <c r="L245" s="1" t="n">
        <v>25</v>
      </c>
      <c r="M245" s="1" t="n">
        <f aca="false">M244-N245</f>
        <v>17.48</v>
      </c>
      <c r="N245" s="1" t="n">
        <v>2.8</v>
      </c>
    </row>
    <row r="246" customFormat="false" ht="15" hidden="false" customHeight="true" outlineLevel="0" collapsed="false">
      <c r="D246" s="5" t="n">
        <v>44624</v>
      </c>
      <c r="H246" s="1" t="s">
        <v>34</v>
      </c>
      <c r="I246" s="1" t="s">
        <v>36</v>
      </c>
      <c r="J246" s="1" t="n">
        <f aca="false">K245</f>
        <v>146976</v>
      </c>
      <c r="K246" s="1" t="n">
        <f aca="false">J246+L246</f>
        <v>146991</v>
      </c>
      <c r="L246" s="1" t="n">
        <v>15</v>
      </c>
      <c r="M246" s="1" t="n">
        <f aca="false">M245-N246</f>
        <v>15.68</v>
      </c>
      <c r="N246" s="1" t="n">
        <v>1.8</v>
      </c>
    </row>
    <row r="247" customFormat="false" ht="15" hidden="false" customHeight="true" outlineLevel="0" collapsed="false">
      <c r="D247" s="5"/>
      <c r="H247" s="1" t="s">
        <v>36</v>
      </c>
      <c r="I247" s="1" t="s">
        <v>34</v>
      </c>
      <c r="J247" s="1" t="n">
        <f aca="false">K246</f>
        <v>146991</v>
      </c>
      <c r="K247" s="1" t="n">
        <f aca="false">J247+L247</f>
        <v>147006</v>
      </c>
      <c r="L247" s="1" t="n">
        <v>15</v>
      </c>
      <c r="M247" s="1" t="n">
        <f aca="false">M246-N247</f>
        <v>13.88</v>
      </c>
      <c r="N247" s="1" t="n">
        <v>1.8</v>
      </c>
    </row>
    <row r="248" customFormat="false" ht="15" hidden="false" customHeight="true" outlineLevel="0" collapsed="false">
      <c r="D248" s="5" t="n">
        <v>44625</v>
      </c>
      <c r="H248" s="1" t="s">
        <v>34</v>
      </c>
      <c r="I248" s="1" t="s">
        <v>35</v>
      </c>
      <c r="J248" s="1" t="n">
        <f aca="false">K247</f>
        <v>147006</v>
      </c>
      <c r="K248" s="1" t="n">
        <f aca="false">J248+L248</f>
        <v>147018</v>
      </c>
      <c r="L248" s="1" t="n">
        <v>12</v>
      </c>
      <c r="M248" s="1" t="n">
        <f aca="false">M247-N248</f>
        <v>12.63</v>
      </c>
      <c r="N248" s="1" t="n">
        <v>1.25</v>
      </c>
    </row>
    <row r="249" customFormat="false" ht="15" hidden="false" customHeight="true" outlineLevel="0" collapsed="false">
      <c r="D249" s="5"/>
      <c r="H249" s="1" t="s">
        <v>35</v>
      </c>
      <c r="I249" s="1" t="s">
        <v>34</v>
      </c>
      <c r="J249" s="1" t="n">
        <f aca="false">K248</f>
        <v>147018</v>
      </c>
      <c r="K249" s="1" t="n">
        <f aca="false">J249+L249</f>
        <v>147030</v>
      </c>
      <c r="L249" s="1" t="n">
        <v>12</v>
      </c>
      <c r="M249" s="1" t="n">
        <f aca="false">M248-N249</f>
        <v>11.38</v>
      </c>
      <c r="N249" s="1" t="n">
        <v>1.25</v>
      </c>
    </row>
    <row r="250" customFormat="false" ht="15" hidden="false" customHeight="true" outlineLevel="0" collapsed="false">
      <c r="D250" s="5" t="n">
        <v>44629</v>
      </c>
      <c r="H250" s="1" t="s">
        <v>34</v>
      </c>
      <c r="I250" s="1" t="s">
        <v>24</v>
      </c>
      <c r="J250" s="1" t="n">
        <f aca="false">K249</f>
        <v>147030</v>
      </c>
      <c r="K250" s="1" t="n">
        <f aca="false">J250+L250</f>
        <v>147044</v>
      </c>
      <c r="L250" s="1" t="n">
        <v>14</v>
      </c>
      <c r="M250" s="1" t="n">
        <f aca="false">M249-N250</f>
        <v>9.88</v>
      </c>
      <c r="N250" s="1" t="n">
        <v>1.5</v>
      </c>
    </row>
    <row r="251" customFormat="false" ht="15" hidden="false" customHeight="true" outlineLevel="0" collapsed="false">
      <c r="D251" s="5"/>
      <c r="H251" s="1" t="s">
        <v>24</v>
      </c>
      <c r="I251" s="1" t="s">
        <v>34</v>
      </c>
      <c r="J251" s="1" t="n">
        <f aca="false">K250</f>
        <v>147044</v>
      </c>
      <c r="K251" s="1" t="n">
        <f aca="false">J251+L251</f>
        <v>147058</v>
      </c>
      <c r="L251" s="1" t="n">
        <v>14</v>
      </c>
      <c r="M251" s="1" t="n">
        <f aca="false">M250-N251</f>
        <v>8.38</v>
      </c>
      <c r="N251" s="1" t="n">
        <v>1.5</v>
      </c>
    </row>
    <row r="252" customFormat="false" ht="15" hidden="false" customHeight="true" outlineLevel="0" collapsed="false">
      <c r="D252" s="5" t="n">
        <v>44630</v>
      </c>
      <c r="E252" s="0" t="n">
        <v>19.66</v>
      </c>
      <c r="F252" s="1" t="n">
        <v>50.85</v>
      </c>
      <c r="G252" s="6" t="n">
        <f aca="false">E252*F252</f>
        <v>999.711</v>
      </c>
      <c r="H252" s="1" t="s">
        <v>34</v>
      </c>
      <c r="I252" s="1" t="s">
        <v>32</v>
      </c>
      <c r="J252" s="1" t="n">
        <f aca="false">K251</f>
        <v>147058</v>
      </c>
      <c r="K252" s="1" t="n">
        <f aca="false">J252+L252</f>
        <v>147083</v>
      </c>
      <c r="L252" s="1" t="n">
        <v>25</v>
      </c>
      <c r="M252" s="1" t="n">
        <f aca="false">(E252+M251)-N252</f>
        <v>25.24</v>
      </c>
      <c r="N252" s="1" t="n">
        <v>2.8</v>
      </c>
    </row>
    <row r="253" customFormat="false" ht="15" hidden="false" customHeight="true" outlineLevel="0" collapsed="false">
      <c r="D253" s="5"/>
      <c r="G253" s="6"/>
      <c r="H253" s="1" t="s">
        <v>32</v>
      </c>
      <c r="I253" s="1" t="s">
        <v>34</v>
      </c>
      <c r="J253" s="1" t="n">
        <f aca="false">K252</f>
        <v>147083</v>
      </c>
      <c r="K253" s="1" t="n">
        <f aca="false">J253+L253</f>
        <v>147108</v>
      </c>
      <c r="L253" s="1" t="n">
        <v>25</v>
      </c>
      <c r="M253" s="1" t="n">
        <f aca="false">M252-N253</f>
        <v>22.44</v>
      </c>
      <c r="N253" s="1" t="n">
        <v>2.8</v>
      </c>
    </row>
    <row r="254" customFormat="false" ht="15" hidden="false" customHeight="true" outlineLevel="0" collapsed="false">
      <c r="D254" s="5"/>
      <c r="G254" s="6"/>
      <c r="H254" s="1" t="s">
        <v>34</v>
      </c>
      <c r="I254" s="1" t="s">
        <v>31</v>
      </c>
      <c r="J254" s="1" t="n">
        <f aca="false">K253</f>
        <v>147108</v>
      </c>
      <c r="K254" s="1" t="n">
        <f aca="false">J254+L254</f>
        <v>147135</v>
      </c>
      <c r="L254" s="1" t="n">
        <v>27</v>
      </c>
      <c r="M254" s="1" t="n">
        <f aca="false">M253-N254</f>
        <v>19.24</v>
      </c>
      <c r="N254" s="1" t="n">
        <v>3.2</v>
      </c>
    </row>
    <row r="255" customFormat="false" ht="15" hidden="false" customHeight="true" outlineLevel="0" collapsed="false">
      <c r="D255" s="5"/>
      <c r="G255" s="6"/>
      <c r="H255" s="1" t="s">
        <v>31</v>
      </c>
      <c r="I255" s="1" t="s">
        <v>34</v>
      </c>
      <c r="J255" s="1" t="n">
        <f aca="false">K254</f>
        <v>147135</v>
      </c>
      <c r="K255" s="1" t="n">
        <f aca="false">J255+L255</f>
        <v>147162</v>
      </c>
      <c r="L255" s="1" t="n">
        <v>27</v>
      </c>
      <c r="M255" s="1" t="n">
        <f aca="false">M254-N255</f>
        <v>16.04</v>
      </c>
      <c r="N255" s="1" t="n">
        <v>3.2</v>
      </c>
    </row>
    <row r="256" customFormat="false" ht="15" hidden="false" customHeight="true" outlineLevel="0" collapsed="false">
      <c r="D256" s="5" t="n">
        <v>44631</v>
      </c>
      <c r="H256" s="1" t="s">
        <v>34</v>
      </c>
      <c r="I256" s="1" t="s">
        <v>36</v>
      </c>
      <c r="J256" s="1" t="n">
        <f aca="false">K255</f>
        <v>147162</v>
      </c>
      <c r="K256" s="1" t="n">
        <f aca="false">J256+L256</f>
        <v>147177</v>
      </c>
      <c r="L256" s="1" t="n">
        <v>15</v>
      </c>
      <c r="M256" s="1" t="n">
        <f aca="false">M255-N256</f>
        <v>14.24</v>
      </c>
      <c r="N256" s="1" t="n">
        <v>1.8</v>
      </c>
    </row>
    <row r="257" customFormat="false" ht="15" hidden="false" customHeight="true" outlineLevel="0" collapsed="false">
      <c r="D257" s="5"/>
      <c r="H257" s="1" t="s">
        <v>36</v>
      </c>
      <c r="I257" s="1" t="s">
        <v>34</v>
      </c>
      <c r="J257" s="1" t="n">
        <f aca="false">K256</f>
        <v>147177</v>
      </c>
      <c r="K257" s="1" t="n">
        <f aca="false">J257+L257</f>
        <v>147192</v>
      </c>
      <c r="L257" s="1" t="n">
        <v>15</v>
      </c>
      <c r="M257" s="1" t="n">
        <f aca="false">M256-N257</f>
        <v>12.44</v>
      </c>
      <c r="N257" s="1" t="n">
        <v>1.8</v>
      </c>
    </row>
    <row r="258" customFormat="false" ht="15" hidden="false" customHeight="true" outlineLevel="0" collapsed="false">
      <c r="D258" s="5" t="n">
        <v>44633</v>
      </c>
      <c r="E258" s="0" t="n">
        <v>29.49</v>
      </c>
      <c r="F258" s="1" t="n">
        <v>50.85</v>
      </c>
      <c r="G258" s="6" t="n">
        <f aca="false">E258*F258</f>
        <v>1499.5665</v>
      </c>
      <c r="H258" s="1" t="s">
        <v>34</v>
      </c>
      <c r="I258" s="1" t="s">
        <v>39</v>
      </c>
      <c r="J258" s="1" t="n">
        <f aca="false">K257</f>
        <v>147192</v>
      </c>
      <c r="K258" s="1" t="n">
        <f aca="false">J258+L258</f>
        <v>147242</v>
      </c>
      <c r="L258" s="1" t="n">
        <v>50</v>
      </c>
      <c r="M258" s="1" t="n">
        <f aca="false">(E258+M257)-N258</f>
        <v>36.43</v>
      </c>
      <c r="N258" s="1" t="n">
        <v>5.5</v>
      </c>
    </row>
    <row r="259" customFormat="false" ht="15" hidden="false" customHeight="true" outlineLevel="0" collapsed="false">
      <c r="D259" s="5"/>
      <c r="G259" s="6"/>
      <c r="H259" s="1" t="s">
        <v>39</v>
      </c>
      <c r="I259" s="1" t="s">
        <v>34</v>
      </c>
      <c r="J259" s="1" t="n">
        <f aca="false">K258</f>
        <v>147242</v>
      </c>
      <c r="K259" s="1" t="n">
        <f aca="false">J259+L259</f>
        <v>147292</v>
      </c>
      <c r="L259" s="1" t="n">
        <v>50</v>
      </c>
      <c r="M259" s="1" t="n">
        <f aca="false">M258-N259</f>
        <v>30.93</v>
      </c>
      <c r="N259" s="1" t="n">
        <v>5.5</v>
      </c>
    </row>
    <row r="260" customFormat="false" ht="15" hidden="false" customHeight="true" outlineLevel="0" collapsed="false">
      <c r="D260" s="5" t="n">
        <v>44634</v>
      </c>
      <c r="H260" s="1" t="s">
        <v>34</v>
      </c>
      <c r="I260" s="1" t="s">
        <v>36</v>
      </c>
      <c r="J260" s="1" t="n">
        <f aca="false">K259</f>
        <v>147292</v>
      </c>
      <c r="K260" s="1" t="n">
        <f aca="false">J260+L260</f>
        <v>147307</v>
      </c>
      <c r="L260" s="1" t="n">
        <v>15</v>
      </c>
      <c r="M260" s="1" t="n">
        <f aca="false">M259-N260</f>
        <v>29.13</v>
      </c>
      <c r="N260" s="1" t="n">
        <v>1.8</v>
      </c>
    </row>
    <row r="261" customFormat="false" ht="15" hidden="false" customHeight="true" outlineLevel="0" collapsed="false">
      <c r="D261" s="5"/>
      <c r="H261" s="1" t="s">
        <v>36</v>
      </c>
      <c r="I261" s="1" t="s">
        <v>34</v>
      </c>
      <c r="J261" s="1" t="n">
        <f aca="false">K260</f>
        <v>147307</v>
      </c>
      <c r="K261" s="1" t="n">
        <f aca="false">J261+L261</f>
        <v>147322</v>
      </c>
      <c r="L261" s="1" t="n">
        <v>15</v>
      </c>
      <c r="M261" s="1" t="n">
        <f aca="false">M260-N261</f>
        <v>27.33</v>
      </c>
      <c r="N261" s="1" t="n">
        <v>1.8</v>
      </c>
    </row>
    <row r="262" customFormat="false" ht="15" hidden="false" customHeight="true" outlineLevel="0" collapsed="false">
      <c r="D262" s="5" t="n">
        <v>44635</v>
      </c>
      <c r="H262" s="1" t="s">
        <v>34</v>
      </c>
      <c r="I262" s="1" t="s">
        <v>35</v>
      </c>
      <c r="J262" s="1" t="n">
        <f aca="false">K261</f>
        <v>147322</v>
      </c>
      <c r="K262" s="1" t="n">
        <f aca="false">J262+L262</f>
        <v>147334</v>
      </c>
      <c r="L262" s="1" t="n">
        <v>12</v>
      </c>
      <c r="M262" s="1" t="n">
        <f aca="false">M261-N262</f>
        <v>26.08</v>
      </c>
      <c r="N262" s="1" t="n">
        <v>1.25</v>
      </c>
    </row>
    <row r="263" customFormat="false" ht="15" hidden="false" customHeight="true" outlineLevel="0" collapsed="false">
      <c r="D263" s="5"/>
      <c r="H263" s="1" t="s">
        <v>35</v>
      </c>
      <c r="I263" s="1" t="s">
        <v>34</v>
      </c>
      <c r="J263" s="1" t="n">
        <f aca="false">K262</f>
        <v>147334</v>
      </c>
      <c r="K263" s="1" t="n">
        <f aca="false">J263+L263</f>
        <v>147346</v>
      </c>
      <c r="L263" s="1" t="n">
        <v>12</v>
      </c>
      <c r="M263" s="1" t="n">
        <f aca="false">M262-N263</f>
        <v>24.83</v>
      </c>
      <c r="N263" s="1" t="n">
        <v>1.25</v>
      </c>
    </row>
    <row r="264" customFormat="false" ht="15" hidden="false" customHeight="true" outlineLevel="0" collapsed="false">
      <c r="D264" s="5"/>
      <c r="H264" s="1" t="s">
        <v>34</v>
      </c>
      <c r="I264" s="1" t="s">
        <v>24</v>
      </c>
      <c r="J264" s="1" t="n">
        <f aca="false">K263</f>
        <v>147346</v>
      </c>
      <c r="K264" s="1" t="n">
        <f aca="false">J264+L264</f>
        <v>147360</v>
      </c>
      <c r="L264" s="1" t="n">
        <v>14</v>
      </c>
      <c r="M264" s="1" t="n">
        <f aca="false">M263-N264</f>
        <v>23.33</v>
      </c>
      <c r="N264" s="1" t="n">
        <v>1.5</v>
      </c>
    </row>
    <row r="265" customFormat="false" ht="15" hidden="false" customHeight="true" outlineLevel="0" collapsed="false">
      <c r="D265" s="5"/>
      <c r="H265" s="1" t="s">
        <v>24</v>
      </c>
      <c r="I265" s="1" t="s">
        <v>34</v>
      </c>
      <c r="J265" s="1" t="n">
        <f aca="false">K264</f>
        <v>147360</v>
      </c>
      <c r="K265" s="1" t="n">
        <f aca="false">J265+L265</f>
        <v>147374</v>
      </c>
      <c r="L265" s="1" t="n">
        <v>14</v>
      </c>
      <c r="M265" s="1" t="n">
        <f aca="false">M264-N265</f>
        <v>21.83</v>
      </c>
      <c r="N265" s="1" t="n">
        <v>1.5</v>
      </c>
    </row>
    <row r="266" customFormat="false" ht="15" hidden="false" customHeight="true" outlineLevel="0" collapsed="false">
      <c r="D266" s="5" t="n">
        <v>44636</v>
      </c>
      <c r="H266" s="1" t="s">
        <v>34</v>
      </c>
      <c r="I266" s="1" t="s">
        <v>36</v>
      </c>
      <c r="J266" s="1" t="n">
        <f aca="false">K265</f>
        <v>147374</v>
      </c>
      <c r="K266" s="1" t="n">
        <f aca="false">J266+L266</f>
        <v>147389</v>
      </c>
      <c r="L266" s="1" t="n">
        <v>15</v>
      </c>
      <c r="M266" s="1" t="n">
        <f aca="false">M265-N266</f>
        <v>20.03</v>
      </c>
      <c r="N266" s="1" t="n">
        <v>1.8</v>
      </c>
    </row>
    <row r="267" customFormat="false" ht="15" hidden="false" customHeight="true" outlineLevel="0" collapsed="false">
      <c r="D267" s="5"/>
      <c r="H267" s="1" t="s">
        <v>36</v>
      </c>
      <c r="I267" s="1" t="s">
        <v>34</v>
      </c>
      <c r="J267" s="1" t="n">
        <f aca="false">K266</f>
        <v>147389</v>
      </c>
      <c r="K267" s="1" t="n">
        <f aca="false">J267+L267</f>
        <v>147404</v>
      </c>
      <c r="L267" s="1" t="n">
        <v>15</v>
      </c>
      <c r="M267" s="1" t="n">
        <f aca="false">M266-N267</f>
        <v>18.23</v>
      </c>
      <c r="N267" s="1" t="n">
        <v>1.8</v>
      </c>
    </row>
    <row r="268" customFormat="false" ht="15" hidden="false" customHeight="true" outlineLevel="0" collapsed="false">
      <c r="D268" s="5" t="n">
        <v>44637</v>
      </c>
      <c r="H268" s="1" t="s">
        <v>34</v>
      </c>
      <c r="I268" s="1" t="s">
        <v>35</v>
      </c>
      <c r="J268" s="1" t="n">
        <f aca="false">K267</f>
        <v>147404</v>
      </c>
      <c r="K268" s="1" t="n">
        <f aca="false">J268+L268</f>
        <v>147416</v>
      </c>
      <c r="L268" s="1" t="n">
        <v>12</v>
      </c>
      <c r="M268" s="1" t="n">
        <f aca="false">M267-N268</f>
        <v>16.98</v>
      </c>
      <c r="N268" s="1" t="n">
        <v>1.25</v>
      </c>
    </row>
    <row r="269" customFormat="false" ht="15" hidden="false" customHeight="true" outlineLevel="0" collapsed="false">
      <c r="D269" s="5"/>
      <c r="H269" s="1" t="s">
        <v>35</v>
      </c>
      <c r="I269" s="1" t="s">
        <v>34</v>
      </c>
      <c r="J269" s="1" t="n">
        <f aca="false">K268</f>
        <v>147416</v>
      </c>
      <c r="K269" s="1" t="n">
        <f aca="false">J269+L269</f>
        <v>147428</v>
      </c>
      <c r="L269" s="1" t="n">
        <v>12</v>
      </c>
      <c r="M269" s="1" t="n">
        <f aca="false">M268-N269</f>
        <v>15.73</v>
      </c>
      <c r="N269" s="1" t="n">
        <v>1.25</v>
      </c>
    </row>
    <row r="270" customFormat="false" ht="15" hidden="false" customHeight="true" outlineLevel="0" collapsed="false">
      <c r="D270" s="5" t="n">
        <v>44638</v>
      </c>
      <c r="E270" s="0" t="n">
        <v>24.27</v>
      </c>
      <c r="F270" s="1" t="n">
        <v>51.6</v>
      </c>
      <c r="G270" s="6" t="n">
        <f aca="false">E270*F270</f>
        <v>1252.332</v>
      </c>
      <c r="H270" s="1" t="s">
        <v>34</v>
      </c>
      <c r="I270" s="1" t="s">
        <v>39</v>
      </c>
      <c r="J270" s="1" t="n">
        <f aca="false">K269</f>
        <v>147428</v>
      </c>
      <c r="K270" s="1" t="n">
        <f aca="false">J270+L270</f>
        <v>147478</v>
      </c>
      <c r="L270" s="1" t="n">
        <v>50</v>
      </c>
      <c r="M270" s="1" t="n">
        <f aca="false">(E270+M269)-N270</f>
        <v>34.5</v>
      </c>
      <c r="N270" s="1" t="n">
        <v>5.5</v>
      </c>
    </row>
    <row r="271" customFormat="false" ht="15" hidden="false" customHeight="true" outlineLevel="0" collapsed="false">
      <c r="D271" s="5"/>
      <c r="H271" s="1" t="s">
        <v>39</v>
      </c>
      <c r="I271" s="1" t="s">
        <v>34</v>
      </c>
      <c r="J271" s="1" t="n">
        <f aca="false">K270</f>
        <v>147478</v>
      </c>
      <c r="K271" s="1" t="n">
        <f aca="false">J271+L271</f>
        <v>147528</v>
      </c>
      <c r="L271" s="1" t="n">
        <v>50</v>
      </c>
      <c r="M271" s="1" t="n">
        <f aca="false">M270-N271</f>
        <v>29</v>
      </c>
      <c r="N271" s="1" t="n">
        <v>5.5</v>
      </c>
    </row>
    <row r="272" customFormat="false" ht="15" hidden="false" customHeight="true" outlineLevel="0" collapsed="false">
      <c r="D272" s="5"/>
      <c r="H272" s="1" t="s">
        <v>34</v>
      </c>
      <c r="I272" s="1" t="s">
        <v>32</v>
      </c>
      <c r="J272" s="1" t="n">
        <f aca="false">K271</f>
        <v>147528</v>
      </c>
      <c r="K272" s="1" t="n">
        <f aca="false">J272+L272</f>
        <v>147553</v>
      </c>
      <c r="L272" s="1" t="n">
        <v>25</v>
      </c>
      <c r="M272" s="1" t="n">
        <f aca="false">M271-N272</f>
        <v>26.2</v>
      </c>
      <c r="N272" s="1" t="n">
        <v>2.8</v>
      </c>
    </row>
    <row r="273" customFormat="false" ht="15" hidden="false" customHeight="true" outlineLevel="0" collapsed="false">
      <c r="D273" s="5"/>
      <c r="H273" s="1" t="s">
        <v>32</v>
      </c>
      <c r="I273" s="1" t="s">
        <v>34</v>
      </c>
      <c r="J273" s="1" t="n">
        <f aca="false">K272</f>
        <v>147553</v>
      </c>
      <c r="K273" s="1" t="n">
        <f aca="false">J273+L273</f>
        <v>147578</v>
      </c>
      <c r="L273" s="1" t="n">
        <v>25</v>
      </c>
      <c r="M273" s="1" t="n">
        <f aca="false">M272-N273</f>
        <v>23.4</v>
      </c>
      <c r="N273" s="1" t="n">
        <v>2.8</v>
      </c>
    </row>
    <row r="274" customFormat="false" ht="15" hidden="false" customHeight="true" outlineLevel="0" collapsed="false">
      <c r="D274" s="5"/>
      <c r="H274" s="1" t="s">
        <v>34</v>
      </c>
      <c r="I274" s="1" t="s">
        <v>30</v>
      </c>
      <c r="J274" s="1" t="n">
        <f aca="false">K273</f>
        <v>147578</v>
      </c>
      <c r="K274" s="1" t="n">
        <f aca="false">J274+L274</f>
        <v>147605</v>
      </c>
      <c r="L274" s="1" t="n">
        <v>27</v>
      </c>
      <c r="M274" s="1" t="n">
        <f aca="false">(E274+M273)-N274</f>
        <v>20.2</v>
      </c>
      <c r="N274" s="1" t="n">
        <v>3.2</v>
      </c>
    </row>
    <row r="275" customFormat="false" ht="15" hidden="false" customHeight="true" outlineLevel="0" collapsed="false">
      <c r="D275" s="5"/>
      <c r="H275" s="1" t="s">
        <v>30</v>
      </c>
      <c r="I275" s="1" t="s">
        <v>34</v>
      </c>
      <c r="J275" s="1" t="n">
        <f aca="false">K274</f>
        <v>147605</v>
      </c>
      <c r="K275" s="1" t="n">
        <f aca="false">J275+L275</f>
        <v>147632</v>
      </c>
      <c r="L275" s="1" t="n">
        <v>27</v>
      </c>
      <c r="M275" s="1" t="n">
        <f aca="false">M274-N275</f>
        <v>17</v>
      </c>
      <c r="N275" s="1" t="n">
        <v>3.2</v>
      </c>
    </row>
    <row r="276" customFormat="false" ht="15" hidden="false" customHeight="true" outlineLevel="0" collapsed="false">
      <c r="D276" s="5" t="n">
        <v>44641</v>
      </c>
      <c r="E276" s="0" t="n">
        <v>24.36</v>
      </c>
      <c r="F276" s="1" t="n">
        <v>51.6</v>
      </c>
      <c r="G276" s="6" t="n">
        <f aca="false">E276*F276</f>
        <v>1256.976</v>
      </c>
      <c r="H276" s="1" t="s">
        <v>34</v>
      </c>
      <c r="I276" s="1" t="s">
        <v>36</v>
      </c>
      <c r="J276" s="1" t="n">
        <f aca="false">K275</f>
        <v>147632</v>
      </c>
      <c r="K276" s="1" t="n">
        <f aca="false">J276+L276</f>
        <v>147647</v>
      </c>
      <c r="L276" s="1" t="n">
        <v>15</v>
      </c>
      <c r="M276" s="1" t="n">
        <f aca="false">(E276+M275)-N276</f>
        <v>39.56</v>
      </c>
      <c r="N276" s="1" t="n">
        <v>1.8</v>
      </c>
    </row>
    <row r="277" customFormat="false" ht="15" hidden="false" customHeight="true" outlineLevel="0" collapsed="false">
      <c r="D277" s="5"/>
      <c r="H277" s="1" t="s">
        <v>36</v>
      </c>
      <c r="I277" s="1" t="s">
        <v>34</v>
      </c>
      <c r="J277" s="1" t="n">
        <f aca="false">K276</f>
        <v>147647</v>
      </c>
      <c r="K277" s="1" t="n">
        <f aca="false">J277+L277</f>
        <v>147662</v>
      </c>
      <c r="L277" s="1" t="n">
        <v>15</v>
      </c>
      <c r="M277" s="1" t="n">
        <f aca="false">M276-N277</f>
        <v>37.76</v>
      </c>
      <c r="N277" s="1" t="n">
        <v>1.8</v>
      </c>
    </row>
    <row r="278" customFormat="false" ht="15" hidden="false" customHeight="true" outlineLevel="0" collapsed="false">
      <c r="D278" s="5"/>
      <c r="H278" s="1" t="s">
        <v>34</v>
      </c>
      <c r="I278" s="1" t="s">
        <v>29</v>
      </c>
      <c r="J278" s="1" t="n">
        <f aca="false">K277</f>
        <v>147662</v>
      </c>
      <c r="K278" s="1" t="n">
        <f aca="false">J278+L278</f>
        <v>147711</v>
      </c>
      <c r="L278" s="1" t="n">
        <v>49</v>
      </c>
      <c r="M278" s="1" t="n">
        <f aca="false">M277-N278</f>
        <v>31.96</v>
      </c>
      <c r="N278" s="1" t="n">
        <v>5.8</v>
      </c>
    </row>
    <row r="279" customFormat="false" ht="15" hidden="false" customHeight="true" outlineLevel="0" collapsed="false">
      <c r="D279" s="5"/>
      <c r="H279" s="1" t="s">
        <v>29</v>
      </c>
      <c r="I279" s="1" t="s">
        <v>34</v>
      </c>
      <c r="J279" s="1" t="n">
        <f aca="false">K278</f>
        <v>147711</v>
      </c>
      <c r="K279" s="1" t="n">
        <f aca="false">J279+L279</f>
        <v>147760</v>
      </c>
      <c r="L279" s="1" t="n">
        <v>49</v>
      </c>
      <c r="M279" s="1" t="n">
        <f aca="false">M278-N279</f>
        <v>26.16</v>
      </c>
      <c r="N279" s="1" t="n">
        <v>5.8</v>
      </c>
    </row>
    <row r="280" customFormat="false" ht="15" hidden="false" customHeight="true" outlineLevel="0" collapsed="false">
      <c r="D280" s="5"/>
      <c r="H280" s="1" t="s">
        <v>34</v>
      </c>
      <c r="I280" s="1" t="s">
        <v>37</v>
      </c>
      <c r="J280" s="1" t="n">
        <f aca="false">K279</f>
        <v>147760</v>
      </c>
      <c r="K280" s="1" t="n">
        <f aca="false">J280+L280</f>
        <v>147800</v>
      </c>
      <c r="L280" s="1" t="n">
        <v>40</v>
      </c>
      <c r="M280" s="1" t="n">
        <f aca="false">M279-N280</f>
        <v>21.36</v>
      </c>
      <c r="N280" s="1" t="n">
        <v>4.8</v>
      </c>
    </row>
    <row r="281" customFormat="false" ht="15" hidden="false" customHeight="true" outlineLevel="0" collapsed="false">
      <c r="D281" s="5"/>
      <c r="H281" s="1" t="s">
        <v>37</v>
      </c>
      <c r="I281" s="1" t="s">
        <v>34</v>
      </c>
      <c r="J281" s="1" t="n">
        <f aca="false">K280</f>
        <v>147800</v>
      </c>
      <c r="K281" s="1" t="n">
        <f aca="false">J281+L281</f>
        <v>147840</v>
      </c>
      <c r="L281" s="1" t="n">
        <v>40</v>
      </c>
      <c r="M281" s="1" t="n">
        <f aca="false">M280-N281</f>
        <v>16.56</v>
      </c>
      <c r="N281" s="1" t="n">
        <v>4.8</v>
      </c>
    </row>
    <row r="282" customFormat="false" ht="15" hidden="false" customHeight="true" outlineLevel="0" collapsed="false">
      <c r="D282" s="5" t="n">
        <v>44642</v>
      </c>
      <c r="H282" s="1" t="s">
        <v>34</v>
      </c>
      <c r="I282" s="1" t="s">
        <v>36</v>
      </c>
      <c r="J282" s="1" t="n">
        <f aca="false">K281</f>
        <v>147840</v>
      </c>
      <c r="K282" s="1" t="n">
        <f aca="false">J282+L282</f>
        <v>147855</v>
      </c>
      <c r="L282" s="1" t="n">
        <v>15</v>
      </c>
      <c r="M282" s="1" t="n">
        <f aca="false">M281-N282</f>
        <v>14.76</v>
      </c>
      <c r="N282" s="1" t="n">
        <v>1.8</v>
      </c>
    </row>
    <row r="283" customFormat="false" ht="15" hidden="false" customHeight="true" outlineLevel="0" collapsed="false">
      <c r="D283" s="5"/>
      <c r="H283" s="1" t="s">
        <v>36</v>
      </c>
      <c r="I283" s="1" t="s">
        <v>34</v>
      </c>
      <c r="J283" s="1" t="n">
        <f aca="false">K282</f>
        <v>147855</v>
      </c>
      <c r="K283" s="1" t="n">
        <f aca="false">J283+L283</f>
        <v>147870</v>
      </c>
      <c r="L283" s="1" t="n">
        <v>15</v>
      </c>
      <c r="M283" s="1" t="n">
        <f aca="false">M282-N283</f>
        <v>12.96</v>
      </c>
      <c r="N283" s="1" t="n">
        <v>1.8</v>
      </c>
    </row>
    <row r="284" customFormat="false" ht="15" hidden="false" customHeight="true" outlineLevel="0" collapsed="false">
      <c r="D284" s="5" t="n">
        <v>44643</v>
      </c>
      <c r="H284" s="1" t="s">
        <v>34</v>
      </c>
      <c r="I284" s="1" t="s">
        <v>35</v>
      </c>
      <c r="J284" s="1" t="n">
        <f aca="false">K283</f>
        <v>147870</v>
      </c>
      <c r="K284" s="1" t="n">
        <f aca="false">J284+L284</f>
        <v>147882</v>
      </c>
      <c r="L284" s="1" t="n">
        <v>12</v>
      </c>
      <c r="M284" s="1" t="n">
        <f aca="false">M283-N284</f>
        <v>11.71</v>
      </c>
      <c r="N284" s="1" t="n">
        <v>1.25</v>
      </c>
    </row>
    <row r="285" customFormat="false" ht="15" hidden="false" customHeight="true" outlineLevel="0" collapsed="false">
      <c r="D285" s="5"/>
      <c r="H285" s="1" t="s">
        <v>35</v>
      </c>
      <c r="I285" s="1" t="s">
        <v>34</v>
      </c>
      <c r="J285" s="1" t="n">
        <f aca="false">K284</f>
        <v>147882</v>
      </c>
      <c r="K285" s="1" t="n">
        <f aca="false">J285+L285</f>
        <v>147894</v>
      </c>
      <c r="L285" s="1" t="n">
        <v>12</v>
      </c>
      <c r="M285" s="1" t="n">
        <f aca="false">M284-N285</f>
        <v>10.46</v>
      </c>
      <c r="N285" s="1" t="n">
        <v>1.25</v>
      </c>
    </row>
    <row r="286" customFormat="false" ht="15" hidden="false" customHeight="true" outlineLevel="0" collapsed="false">
      <c r="D286" s="5"/>
      <c r="H286" s="1" t="s">
        <v>34</v>
      </c>
      <c r="I286" s="1" t="s">
        <v>37</v>
      </c>
      <c r="J286" s="1" t="n">
        <f aca="false">K285</f>
        <v>147894</v>
      </c>
      <c r="K286" s="1" t="n">
        <f aca="false">J286+L286</f>
        <v>147934</v>
      </c>
      <c r="L286" s="1" t="n">
        <v>40</v>
      </c>
      <c r="M286" s="1" t="n">
        <f aca="false">M285-N286</f>
        <v>5.66</v>
      </c>
      <c r="N286" s="1" t="n">
        <v>4.8</v>
      </c>
    </row>
    <row r="287" customFormat="false" ht="15" hidden="false" customHeight="true" outlineLevel="0" collapsed="false">
      <c r="D287" s="5"/>
      <c r="H287" s="1" t="s">
        <v>37</v>
      </c>
      <c r="I287" s="1" t="s">
        <v>34</v>
      </c>
      <c r="J287" s="1" t="n">
        <f aca="false">K286</f>
        <v>147934</v>
      </c>
      <c r="K287" s="1" t="n">
        <f aca="false">J287+L287</f>
        <v>147974</v>
      </c>
      <c r="L287" s="1" t="n">
        <v>40</v>
      </c>
      <c r="M287" s="1" t="n">
        <f aca="false">M286-N287</f>
        <v>0.860000000000001</v>
      </c>
      <c r="N287" s="1" t="n">
        <v>4.8</v>
      </c>
    </row>
    <row r="288" customFormat="false" ht="15" hidden="false" customHeight="true" outlineLevel="0" collapsed="false">
      <c r="D288" s="5" t="n">
        <v>44644</v>
      </c>
      <c r="E288" s="0" t="n">
        <v>24.38</v>
      </c>
      <c r="F288" s="1" t="n">
        <v>51.9</v>
      </c>
      <c r="G288" s="6" t="n">
        <f aca="false">E288*F288</f>
        <v>1265.322</v>
      </c>
      <c r="H288" s="1" t="s">
        <v>34</v>
      </c>
      <c r="I288" s="1" t="s">
        <v>36</v>
      </c>
      <c r="J288" s="1" t="n">
        <f aca="false">K287</f>
        <v>147974</v>
      </c>
      <c r="K288" s="1" t="n">
        <f aca="false">J288+L288</f>
        <v>147989</v>
      </c>
      <c r="L288" s="1" t="n">
        <v>15</v>
      </c>
      <c r="M288" s="1" t="n">
        <f aca="false">(E288+M287)-N288</f>
        <v>23.44</v>
      </c>
      <c r="N288" s="1" t="n">
        <v>1.8</v>
      </c>
    </row>
    <row r="289" customFormat="false" ht="15" hidden="false" customHeight="true" outlineLevel="0" collapsed="false">
      <c r="D289" s="5"/>
      <c r="H289" s="1" t="s">
        <v>36</v>
      </c>
      <c r="I289" s="1" t="s">
        <v>34</v>
      </c>
      <c r="J289" s="1" t="n">
        <f aca="false">K288</f>
        <v>147989</v>
      </c>
      <c r="K289" s="1" t="n">
        <f aca="false">J289+L289</f>
        <v>148004</v>
      </c>
      <c r="L289" s="1" t="n">
        <v>15</v>
      </c>
      <c r="M289" s="1" t="n">
        <f aca="false">M288-N289</f>
        <v>21.64</v>
      </c>
      <c r="N289" s="1" t="n">
        <v>1.8</v>
      </c>
    </row>
    <row r="290" customFormat="false" ht="15" hidden="false" customHeight="true" outlineLevel="0" collapsed="false">
      <c r="D290" s="5" t="n">
        <v>44645</v>
      </c>
      <c r="H290" s="1" t="s">
        <v>34</v>
      </c>
      <c r="I290" s="1" t="s">
        <v>35</v>
      </c>
      <c r="J290" s="1" t="n">
        <f aca="false">K289</f>
        <v>148004</v>
      </c>
      <c r="K290" s="1" t="n">
        <f aca="false">J290+L290</f>
        <v>148016</v>
      </c>
      <c r="L290" s="1" t="n">
        <v>12</v>
      </c>
      <c r="M290" s="1" t="n">
        <f aca="false">M289-N290</f>
        <v>20.39</v>
      </c>
      <c r="N290" s="1" t="n">
        <v>1.25</v>
      </c>
    </row>
    <row r="291" customFormat="false" ht="15" hidden="false" customHeight="true" outlineLevel="0" collapsed="false">
      <c r="D291" s="5"/>
      <c r="H291" s="1" t="s">
        <v>35</v>
      </c>
      <c r="I291" s="1" t="s">
        <v>34</v>
      </c>
      <c r="J291" s="1" t="n">
        <f aca="false">K290</f>
        <v>148016</v>
      </c>
      <c r="K291" s="1" t="n">
        <f aca="false">J291+L291</f>
        <v>148028</v>
      </c>
      <c r="L291" s="1" t="n">
        <v>12</v>
      </c>
      <c r="M291" s="1" t="n">
        <f aca="false">M290-N291</f>
        <v>19.14</v>
      </c>
      <c r="N291" s="1" t="n">
        <v>1.25</v>
      </c>
    </row>
    <row r="292" customFormat="false" ht="15" hidden="false" customHeight="true" outlineLevel="0" collapsed="false">
      <c r="D292" s="5" t="n">
        <v>44648</v>
      </c>
      <c r="E292" s="0" t="n">
        <v>26.88</v>
      </c>
      <c r="F292" s="1" t="n">
        <v>51.6</v>
      </c>
      <c r="G292" s="6" t="n">
        <f aca="false">E292*F292</f>
        <v>1387.008</v>
      </c>
      <c r="H292" s="1" t="s">
        <v>34</v>
      </c>
      <c r="I292" s="1" t="s">
        <v>36</v>
      </c>
      <c r="J292" s="1" t="n">
        <f aca="false">K291</f>
        <v>148028</v>
      </c>
      <c r="K292" s="1" t="n">
        <f aca="false">J292+L292</f>
        <v>148043</v>
      </c>
      <c r="L292" s="1" t="n">
        <v>15</v>
      </c>
      <c r="M292" s="1" t="n">
        <f aca="false">(E292+M291)-N292</f>
        <v>44.22</v>
      </c>
      <c r="N292" s="1" t="n">
        <v>1.8</v>
      </c>
    </row>
    <row r="293" customFormat="false" ht="15" hidden="false" customHeight="true" outlineLevel="0" collapsed="false">
      <c r="D293" s="5"/>
      <c r="H293" s="1" t="s">
        <v>36</v>
      </c>
      <c r="I293" s="1" t="s">
        <v>34</v>
      </c>
      <c r="J293" s="1" t="n">
        <f aca="false">K292</f>
        <v>148043</v>
      </c>
      <c r="K293" s="1" t="n">
        <f aca="false">J293+L293</f>
        <v>148058</v>
      </c>
      <c r="L293" s="1" t="n">
        <v>15</v>
      </c>
      <c r="M293" s="1" t="n">
        <f aca="false">M292-N293</f>
        <v>42.42</v>
      </c>
      <c r="N293" s="1" t="n">
        <v>1.8</v>
      </c>
    </row>
    <row r="294" customFormat="false" ht="15" hidden="false" customHeight="true" outlineLevel="0" collapsed="false">
      <c r="D294" s="5"/>
      <c r="H294" s="1" t="s">
        <v>34</v>
      </c>
      <c r="I294" s="1" t="s">
        <v>39</v>
      </c>
      <c r="J294" s="1" t="n">
        <f aca="false">K293</f>
        <v>148058</v>
      </c>
      <c r="K294" s="1" t="n">
        <f aca="false">J294+L294</f>
        <v>148108</v>
      </c>
      <c r="L294" s="1" t="n">
        <v>50</v>
      </c>
      <c r="M294" s="1" t="n">
        <f aca="false">(E294+M293)-N294</f>
        <v>36.92</v>
      </c>
      <c r="N294" s="1" t="n">
        <v>5.5</v>
      </c>
    </row>
    <row r="295" customFormat="false" ht="15" hidden="false" customHeight="true" outlineLevel="0" collapsed="false">
      <c r="D295" s="5"/>
      <c r="H295" s="1" t="s">
        <v>39</v>
      </c>
      <c r="I295" s="1" t="s">
        <v>34</v>
      </c>
      <c r="J295" s="1" t="n">
        <f aca="false">K294</f>
        <v>148108</v>
      </c>
      <c r="K295" s="1" t="n">
        <f aca="false">J295+L295</f>
        <v>148158</v>
      </c>
      <c r="L295" s="1" t="n">
        <v>50</v>
      </c>
      <c r="M295" s="1" t="n">
        <f aca="false">M294-N295</f>
        <v>31.42</v>
      </c>
      <c r="N295" s="1" t="n">
        <v>5.5</v>
      </c>
    </row>
    <row r="296" customFormat="false" ht="15" hidden="false" customHeight="true" outlineLevel="0" collapsed="false">
      <c r="D296" s="5" t="n">
        <v>44649</v>
      </c>
      <c r="H296" s="1" t="s">
        <v>34</v>
      </c>
      <c r="I296" s="1" t="s">
        <v>24</v>
      </c>
      <c r="J296" s="1" t="n">
        <f aca="false">K295</f>
        <v>148158</v>
      </c>
      <c r="K296" s="1" t="n">
        <f aca="false">J296+L296</f>
        <v>148172</v>
      </c>
      <c r="L296" s="1" t="n">
        <v>14</v>
      </c>
      <c r="M296" s="1" t="n">
        <f aca="false">M295-N296</f>
        <v>29.92</v>
      </c>
      <c r="N296" s="1" t="n">
        <v>1.5</v>
      </c>
    </row>
    <row r="297" customFormat="false" ht="15" hidden="false" customHeight="true" outlineLevel="0" collapsed="false">
      <c r="D297" s="5"/>
      <c r="H297" s="1" t="s">
        <v>24</v>
      </c>
      <c r="I297" s="1" t="s">
        <v>34</v>
      </c>
      <c r="J297" s="1" t="n">
        <f aca="false">K296</f>
        <v>148172</v>
      </c>
      <c r="K297" s="1" t="n">
        <f aca="false">J297+L297</f>
        <v>148186</v>
      </c>
      <c r="L297" s="1" t="n">
        <v>14</v>
      </c>
      <c r="M297" s="1" t="n">
        <f aca="false">M296-N297</f>
        <v>28.42</v>
      </c>
      <c r="N297" s="1" t="n">
        <v>1.5</v>
      </c>
    </row>
    <row r="298" customFormat="false" ht="15" hidden="false" customHeight="true" outlineLevel="0" collapsed="false">
      <c r="D298" s="5"/>
      <c r="H298" s="1" t="s">
        <v>34</v>
      </c>
      <c r="I298" s="1" t="s">
        <v>36</v>
      </c>
      <c r="J298" s="1" t="n">
        <f aca="false">K297</f>
        <v>148186</v>
      </c>
      <c r="K298" s="1" t="n">
        <f aca="false">J298+L298</f>
        <v>148201</v>
      </c>
      <c r="L298" s="1" t="n">
        <v>15</v>
      </c>
      <c r="M298" s="1" t="n">
        <f aca="false">(E298+M297)-N298</f>
        <v>26.62</v>
      </c>
      <c r="N298" s="1" t="n">
        <v>1.8</v>
      </c>
    </row>
    <row r="299" customFormat="false" ht="15" hidden="false" customHeight="true" outlineLevel="0" collapsed="false">
      <c r="D299" s="5"/>
      <c r="H299" s="1" t="s">
        <v>36</v>
      </c>
      <c r="I299" s="1" t="s">
        <v>34</v>
      </c>
      <c r="J299" s="1" t="n">
        <f aca="false">K298</f>
        <v>148201</v>
      </c>
      <c r="K299" s="1" t="n">
        <f aca="false">J299+L299</f>
        <v>148216</v>
      </c>
      <c r="L299" s="1" t="n">
        <v>15</v>
      </c>
      <c r="M299" s="1" t="n">
        <f aca="false">M298-N299</f>
        <v>24.82</v>
      </c>
      <c r="N299" s="1" t="n">
        <v>1.8</v>
      </c>
    </row>
    <row r="300" customFormat="false" ht="15" hidden="false" customHeight="true" outlineLevel="0" collapsed="false">
      <c r="D300" s="5" t="n">
        <v>44650</v>
      </c>
      <c r="H300" s="1" t="s">
        <v>34</v>
      </c>
      <c r="I300" s="1" t="s">
        <v>40</v>
      </c>
      <c r="J300" s="1" t="n">
        <f aca="false">K299</f>
        <v>148216</v>
      </c>
      <c r="K300" s="1" t="n">
        <f aca="false">J300+L300</f>
        <v>148230</v>
      </c>
      <c r="L300" s="1" t="n">
        <v>14</v>
      </c>
      <c r="M300" s="1" t="n">
        <f aca="false">M299-N300</f>
        <v>23.32</v>
      </c>
      <c r="N300" s="1" t="n">
        <v>1.5</v>
      </c>
    </row>
    <row r="301" customFormat="false" ht="15" hidden="false" customHeight="true" outlineLevel="0" collapsed="false">
      <c r="D301" s="5"/>
      <c r="H301" s="1" t="s">
        <v>40</v>
      </c>
      <c r="I301" s="1" t="s">
        <v>34</v>
      </c>
      <c r="J301" s="1" t="n">
        <f aca="false">K300</f>
        <v>148230</v>
      </c>
      <c r="K301" s="1" t="n">
        <f aca="false">J301+L301</f>
        <v>148244</v>
      </c>
      <c r="L301" s="1" t="n">
        <v>14</v>
      </c>
      <c r="M301" s="1" t="n">
        <f aca="false">M300-N301</f>
        <v>21.82</v>
      </c>
      <c r="N301" s="1" t="n">
        <v>1.5</v>
      </c>
    </row>
    <row r="302" customFormat="false" ht="15" hidden="false" customHeight="true" outlineLevel="0" collapsed="false">
      <c r="D302" s="5" t="n">
        <v>44651</v>
      </c>
      <c r="E302" s="0" t="n">
        <v>24.58</v>
      </c>
      <c r="F302" s="1" t="n">
        <v>51.35</v>
      </c>
      <c r="G302" s="6" t="n">
        <f aca="false">E302*F302</f>
        <v>1262.183</v>
      </c>
      <c r="H302" s="1" t="s">
        <v>34</v>
      </c>
      <c r="I302" s="1" t="s">
        <v>35</v>
      </c>
      <c r="J302" s="1" t="n">
        <f aca="false">K301</f>
        <v>148244</v>
      </c>
      <c r="K302" s="1" t="n">
        <f aca="false">J302+L302</f>
        <v>148256</v>
      </c>
      <c r="L302" s="1" t="n">
        <v>12</v>
      </c>
      <c r="M302" s="1" t="n">
        <f aca="false">(E302+M301)-N302</f>
        <v>45.15</v>
      </c>
      <c r="N302" s="1" t="n">
        <v>1.25</v>
      </c>
    </row>
    <row r="303" customFormat="false" ht="15" hidden="false" customHeight="true" outlineLevel="0" collapsed="false">
      <c r="D303" s="5"/>
      <c r="H303" s="1" t="s">
        <v>35</v>
      </c>
      <c r="I303" s="1" t="s">
        <v>34</v>
      </c>
      <c r="J303" s="1" t="n">
        <f aca="false">K302</f>
        <v>148256</v>
      </c>
      <c r="K303" s="1" t="n">
        <f aca="false">J303+L303</f>
        <v>148268</v>
      </c>
      <c r="L303" s="1" t="n">
        <v>12</v>
      </c>
      <c r="M303" s="1" t="n">
        <f aca="false">M302-N303</f>
        <v>43.9</v>
      </c>
      <c r="N303" s="1" t="n">
        <v>1.25</v>
      </c>
    </row>
    <row r="304" customFormat="false" ht="15" hidden="false" customHeight="true" outlineLevel="0" collapsed="false">
      <c r="D304" s="5"/>
      <c r="H304" s="1" t="s">
        <v>34</v>
      </c>
      <c r="I304" s="1" t="s">
        <v>30</v>
      </c>
      <c r="J304" s="1" t="n">
        <f aca="false">K303</f>
        <v>148268</v>
      </c>
      <c r="K304" s="1" t="n">
        <f aca="false">J304+L304</f>
        <v>148295</v>
      </c>
      <c r="L304" s="1" t="n">
        <v>27</v>
      </c>
      <c r="M304" s="1" t="n">
        <f aca="false">(E304+M303)-N304</f>
        <v>40.7</v>
      </c>
      <c r="N304" s="1" t="n">
        <v>3.2</v>
      </c>
    </row>
    <row r="305" customFormat="false" ht="15" hidden="false" customHeight="true" outlineLevel="0" collapsed="false">
      <c r="H305" s="1" t="s">
        <v>30</v>
      </c>
      <c r="I305" s="1" t="s">
        <v>34</v>
      </c>
      <c r="J305" s="1" t="n">
        <f aca="false">K304</f>
        <v>148295</v>
      </c>
      <c r="K305" s="1" t="n">
        <f aca="false">J305+L305</f>
        <v>148322</v>
      </c>
      <c r="L305" s="1" t="n">
        <v>27</v>
      </c>
      <c r="M305" s="1" t="n">
        <f aca="false">M304-N305</f>
        <v>37.5</v>
      </c>
      <c r="N305" s="1" t="n">
        <v>3.2</v>
      </c>
    </row>
    <row r="306" customFormat="false" ht="15" hidden="false" customHeight="true" outlineLevel="0" collapsed="false">
      <c r="H306" s="1" t="s">
        <v>34</v>
      </c>
      <c r="I306" s="1" t="s">
        <v>39</v>
      </c>
      <c r="J306" s="1" t="n">
        <f aca="false">K305</f>
        <v>148322</v>
      </c>
      <c r="K306" s="1" t="n">
        <f aca="false">J306+L306</f>
        <v>148372</v>
      </c>
      <c r="L306" s="1" t="n">
        <v>50</v>
      </c>
      <c r="M306" s="1" t="n">
        <f aca="false">(E306+M305)-N306</f>
        <v>32</v>
      </c>
      <c r="N306" s="1" t="n">
        <v>5.5</v>
      </c>
    </row>
    <row r="307" customFormat="false" ht="15" hidden="false" customHeight="true" outlineLevel="0" collapsed="false">
      <c r="H307" s="1" t="s">
        <v>39</v>
      </c>
      <c r="I307" s="1" t="s">
        <v>34</v>
      </c>
      <c r="J307" s="1" t="n">
        <f aca="false">K306</f>
        <v>148372</v>
      </c>
      <c r="K307" s="1" t="n">
        <f aca="false">J307+L307</f>
        <v>148422</v>
      </c>
      <c r="L307" s="1" t="n">
        <v>50</v>
      </c>
      <c r="M307" s="1" t="n">
        <f aca="false">M306-N307</f>
        <v>26.5</v>
      </c>
      <c r="N307" s="1" t="n">
        <v>5.5</v>
      </c>
    </row>
    <row r="309" customFormat="false" ht="15" hidden="false" customHeight="true" outlineLevel="0" collapsed="false">
      <c r="D309" s="4" t="s">
        <v>41</v>
      </c>
      <c r="E309" s="4"/>
      <c r="F309" s="4"/>
      <c r="G309" s="4"/>
    </row>
    <row r="310" customFormat="false" ht="15" hidden="false" customHeight="true" outlineLevel="0" collapsed="false">
      <c r="D310" s="5" t="n">
        <v>44652</v>
      </c>
      <c r="H310" s="1" t="s">
        <v>34</v>
      </c>
      <c r="I310" s="1" t="s">
        <v>24</v>
      </c>
      <c r="J310" s="1" t="n">
        <f aca="false">K307</f>
        <v>148422</v>
      </c>
      <c r="K310" s="1" t="n">
        <f aca="false">J310+L310</f>
        <v>148436</v>
      </c>
      <c r="L310" s="1" t="n">
        <v>14</v>
      </c>
      <c r="M310" s="1" t="n">
        <f aca="false">M307-N310</f>
        <v>25</v>
      </c>
      <c r="N310" s="1" t="n">
        <v>1.5</v>
      </c>
    </row>
    <row r="311" customFormat="false" ht="15" hidden="false" customHeight="true" outlineLevel="0" collapsed="false">
      <c r="D311" s="5"/>
      <c r="H311" s="1" t="s">
        <v>24</v>
      </c>
      <c r="I311" s="1" t="s">
        <v>34</v>
      </c>
      <c r="J311" s="1" t="n">
        <f aca="false">K310</f>
        <v>148436</v>
      </c>
      <c r="K311" s="1" t="n">
        <f aca="false">J311+L311</f>
        <v>148450</v>
      </c>
      <c r="L311" s="1" t="n">
        <v>14</v>
      </c>
      <c r="M311" s="1" t="n">
        <f aca="false">M310-N311</f>
        <v>23.5</v>
      </c>
      <c r="N311" s="1" t="n">
        <v>1.5</v>
      </c>
    </row>
    <row r="312" customFormat="false" ht="15" hidden="false" customHeight="true" outlineLevel="0" collapsed="false">
      <c r="D312" s="5" t="n">
        <v>44655</v>
      </c>
      <c r="H312" s="1" t="s">
        <v>34</v>
      </c>
      <c r="I312" s="1" t="s">
        <v>39</v>
      </c>
      <c r="J312" s="1" t="n">
        <f aca="false">K311</f>
        <v>148450</v>
      </c>
      <c r="K312" s="1" t="n">
        <f aca="false">J312+L312</f>
        <v>148500</v>
      </c>
      <c r="L312" s="1" t="n">
        <v>50</v>
      </c>
      <c r="M312" s="1" t="n">
        <f aca="false">(E312+M311)-N312</f>
        <v>18</v>
      </c>
      <c r="N312" s="1" t="n">
        <v>5.5</v>
      </c>
    </row>
    <row r="313" customFormat="false" ht="15" hidden="false" customHeight="true" outlineLevel="0" collapsed="false">
      <c r="D313" s="5"/>
      <c r="H313" s="1" t="s">
        <v>39</v>
      </c>
      <c r="I313" s="1" t="s">
        <v>34</v>
      </c>
      <c r="J313" s="1" t="n">
        <f aca="false">K312</f>
        <v>148500</v>
      </c>
      <c r="K313" s="1" t="n">
        <f aca="false">J313+L313</f>
        <v>148550</v>
      </c>
      <c r="L313" s="1" t="n">
        <v>50</v>
      </c>
      <c r="M313" s="1" t="n">
        <f aca="false">M312-N313</f>
        <v>12.5</v>
      </c>
      <c r="N313" s="1" t="n">
        <v>5.5</v>
      </c>
    </row>
    <row r="314" customFormat="false" ht="15" hidden="false" customHeight="true" outlineLevel="0" collapsed="false">
      <c r="D314" s="5" t="n">
        <v>44656</v>
      </c>
      <c r="H314" s="1" t="s">
        <v>34</v>
      </c>
      <c r="I314" s="1" t="s">
        <v>36</v>
      </c>
      <c r="J314" s="1" t="n">
        <f aca="false">K313</f>
        <v>148550</v>
      </c>
      <c r="K314" s="1" t="n">
        <f aca="false">J314+L314</f>
        <v>148565</v>
      </c>
      <c r="L314" s="1" t="n">
        <v>15</v>
      </c>
      <c r="M314" s="1" t="n">
        <f aca="false">(E314+M313)-N314</f>
        <v>10.7</v>
      </c>
      <c r="N314" s="1" t="n">
        <v>1.8</v>
      </c>
    </row>
    <row r="315" customFormat="false" ht="15" hidden="false" customHeight="true" outlineLevel="0" collapsed="false">
      <c r="D315" s="5"/>
      <c r="H315" s="1" t="s">
        <v>36</v>
      </c>
      <c r="I315" s="1" t="s">
        <v>34</v>
      </c>
      <c r="J315" s="1" t="n">
        <f aca="false">K314</f>
        <v>148565</v>
      </c>
      <c r="K315" s="1" t="n">
        <f aca="false">J315+L315</f>
        <v>148580</v>
      </c>
      <c r="L315" s="1" t="n">
        <v>15</v>
      </c>
      <c r="M315" s="1" t="n">
        <f aca="false">M314-N315</f>
        <v>8.89999999999999</v>
      </c>
      <c r="N315" s="1" t="n">
        <v>1.8</v>
      </c>
    </row>
    <row r="316" customFormat="false" ht="15" hidden="false" customHeight="true" outlineLevel="0" collapsed="false">
      <c r="D316" s="5" t="n">
        <v>44657</v>
      </c>
      <c r="E316" s="0" t="n">
        <v>25.58</v>
      </c>
      <c r="F316" s="1" t="n">
        <v>51.9</v>
      </c>
      <c r="G316" s="6" t="n">
        <f aca="false">E316*F316</f>
        <v>1327.602</v>
      </c>
      <c r="H316" s="1" t="s">
        <v>34</v>
      </c>
      <c r="I316" s="1" t="s">
        <v>35</v>
      </c>
      <c r="J316" s="1" t="n">
        <f aca="false">K315</f>
        <v>148580</v>
      </c>
      <c r="K316" s="1" t="n">
        <f aca="false">J316+L316</f>
        <v>148592</v>
      </c>
      <c r="L316" s="1" t="n">
        <v>12</v>
      </c>
      <c r="M316" s="1" t="n">
        <f aca="false">(E316+M315)-N316</f>
        <v>33.23</v>
      </c>
      <c r="N316" s="1" t="n">
        <v>1.25</v>
      </c>
    </row>
    <row r="317" customFormat="false" ht="15" hidden="false" customHeight="true" outlineLevel="0" collapsed="false">
      <c r="H317" s="1" t="s">
        <v>35</v>
      </c>
      <c r="I317" s="1" t="s">
        <v>34</v>
      </c>
      <c r="J317" s="1" t="n">
        <f aca="false">K316</f>
        <v>148592</v>
      </c>
      <c r="K317" s="1" t="n">
        <f aca="false">J317+L317</f>
        <v>148604</v>
      </c>
      <c r="L317" s="1" t="n">
        <v>12</v>
      </c>
      <c r="M317" s="1" t="n">
        <f aca="false">(E317+M316)-N317</f>
        <v>31.98</v>
      </c>
      <c r="N317" s="1" t="n">
        <v>1.25</v>
      </c>
    </row>
    <row r="318" customFormat="false" ht="15" hidden="false" customHeight="true" outlineLevel="0" collapsed="false">
      <c r="D318" s="5" t="n">
        <v>44658</v>
      </c>
      <c r="H318" s="1" t="s">
        <v>34</v>
      </c>
      <c r="I318" s="1" t="s">
        <v>37</v>
      </c>
      <c r="J318" s="1" t="n">
        <f aca="false">K317</f>
        <v>148604</v>
      </c>
      <c r="K318" s="1" t="n">
        <f aca="false">J318+L318</f>
        <v>148644</v>
      </c>
      <c r="L318" s="1" t="n">
        <v>40</v>
      </c>
      <c r="M318" s="1" t="n">
        <f aca="false">(E318+M317)-N318</f>
        <v>27.18</v>
      </c>
      <c r="N318" s="1" t="n">
        <v>4.8</v>
      </c>
    </row>
    <row r="319" customFormat="false" ht="15" hidden="false" customHeight="true" outlineLevel="0" collapsed="false">
      <c r="D319" s="5"/>
      <c r="H319" s="1" t="s">
        <v>37</v>
      </c>
      <c r="I319" s="1" t="s">
        <v>34</v>
      </c>
      <c r="J319" s="1" t="n">
        <f aca="false">K318</f>
        <v>148644</v>
      </c>
      <c r="K319" s="1" t="n">
        <f aca="false">J319+L319</f>
        <v>148684</v>
      </c>
      <c r="L319" s="1" t="n">
        <v>40</v>
      </c>
      <c r="M319" s="1" t="n">
        <f aca="false">(E319+M318)-N319</f>
        <v>22.38</v>
      </c>
      <c r="N319" s="1" t="n">
        <v>4.8</v>
      </c>
    </row>
    <row r="320" customFormat="false" ht="15" hidden="false" customHeight="true" outlineLevel="0" collapsed="false">
      <c r="D320" s="5" t="n">
        <v>44659</v>
      </c>
      <c r="H320" s="1" t="s">
        <v>34</v>
      </c>
      <c r="I320" s="1" t="s">
        <v>24</v>
      </c>
      <c r="J320" s="1" t="n">
        <f aca="false">K319</f>
        <v>148684</v>
      </c>
      <c r="K320" s="1" t="n">
        <f aca="false">J320+L320</f>
        <v>148698</v>
      </c>
      <c r="L320" s="1" t="n">
        <v>14</v>
      </c>
      <c r="M320" s="1" t="n">
        <f aca="false">(E320+M319)-N320</f>
        <v>20.88</v>
      </c>
      <c r="N320" s="1" t="n">
        <v>1.5</v>
      </c>
    </row>
    <row r="321" customFormat="false" ht="15" hidden="false" customHeight="true" outlineLevel="0" collapsed="false">
      <c r="D321" s="5"/>
      <c r="H321" s="1" t="s">
        <v>24</v>
      </c>
      <c r="I321" s="1" t="s">
        <v>34</v>
      </c>
      <c r="J321" s="1" t="n">
        <f aca="false">K320</f>
        <v>148698</v>
      </c>
      <c r="K321" s="1" t="n">
        <f aca="false">J321+L321</f>
        <v>148712</v>
      </c>
      <c r="L321" s="1" t="n">
        <v>14</v>
      </c>
      <c r="M321" s="1" t="n">
        <f aca="false">(E321+M320)-N321</f>
        <v>19.38</v>
      </c>
      <c r="N321" s="1" t="n">
        <v>1.5</v>
      </c>
    </row>
    <row r="322" customFormat="false" ht="15" hidden="false" customHeight="true" outlineLevel="0" collapsed="false">
      <c r="D322" s="5" t="n">
        <v>44662</v>
      </c>
      <c r="H322" s="1" t="s">
        <v>34</v>
      </c>
      <c r="I322" s="1" t="s">
        <v>36</v>
      </c>
      <c r="J322" s="1" t="n">
        <f aca="false">K321</f>
        <v>148712</v>
      </c>
      <c r="K322" s="1" t="n">
        <f aca="false">J322+L322</f>
        <v>148727</v>
      </c>
      <c r="L322" s="1" t="n">
        <v>15</v>
      </c>
      <c r="M322" s="1" t="n">
        <f aca="false">(E322+M321)-N322</f>
        <v>17.58</v>
      </c>
      <c r="N322" s="1" t="n">
        <v>1.8</v>
      </c>
    </row>
    <row r="323" customFormat="false" ht="15" hidden="false" customHeight="true" outlineLevel="0" collapsed="false">
      <c r="D323" s="5"/>
      <c r="H323" s="1" t="s">
        <v>36</v>
      </c>
      <c r="I323" s="1" t="s">
        <v>34</v>
      </c>
      <c r="J323" s="1" t="n">
        <f aca="false">K322</f>
        <v>148727</v>
      </c>
      <c r="K323" s="1" t="n">
        <f aca="false">J323+L323</f>
        <v>148742</v>
      </c>
      <c r="L323" s="1" t="n">
        <v>15</v>
      </c>
      <c r="M323" s="1" t="n">
        <f aca="false">(E323+M322)-N323</f>
        <v>15.78</v>
      </c>
      <c r="N323" s="1" t="n">
        <v>1.8</v>
      </c>
    </row>
    <row r="324" customFormat="false" ht="15" hidden="false" customHeight="true" outlineLevel="0" collapsed="false">
      <c r="D324" s="5" t="n">
        <v>44663</v>
      </c>
      <c r="H324" s="1" t="s">
        <v>34</v>
      </c>
      <c r="I324" s="1" t="s">
        <v>35</v>
      </c>
      <c r="J324" s="1" t="n">
        <f aca="false">K323</f>
        <v>148742</v>
      </c>
      <c r="K324" s="1" t="n">
        <f aca="false">J324+L324</f>
        <v>148754</v>
      </c>
      <c r="L324" s="1" t="n">
        <v>12</v>
      </c>
      <c r="M324" s="1" t="n">
        <f aca="false">(E324+M323)-N324</f>
        <v>14.53</v>
      </c>
      <c r="N324" s="1" t="n">
        <v>1.25</v>
      </c>
    </row>
    <row r="325" customFormat="false" ht="15" hidden="false" customHeight="true" outlineLevel="0" collapsed="false">
      <c r="D325" s="5"/>
      <c r="H325" s="1" t="s">
        <v>35</v>
      </c>
      <c r="I325" s="1" t="s">
        <v>34</v>
      </c>
      <c r="J325" s="1" t="n">
        <f aca="false">K324</f>
        <v>148754</v>
      </c>
      <c r="K325" s="1" t="n">
        <f aca="false">J325+L325</f>
        <v>148766</v>
      </c>
      <c r="L325" s="1" t="n">
        <v>12</v>
      </c>
      <c r="M325" s="1" t="n">
        <f aca="false">(E325+M324)-N325</f>
        <v>13.28</v>
      </c>
      <c r="N325" s="1" t="n">
        <v>1.25</v>
      </c>
    </row>
    <row r="326" customFormat="false" ht="15" hidden="false" customHeight="true" outlineLevel="0" collapsed="false">
      <c r="D326" s="5" t="n">
        <v>44664</v>
      </c>
      <c r="H326" s="1" t="s">
        <v>34</v>
      </c>
      <c r="I326" s="1" t="s">
        <v>37</v>
      </c>
      <c r="J326" s="1" t="n">
        <f aca="false">K325</f>
        <v>148766</v>
      </c>
      <c r="K326" s="1" t="n">
        <f aca="false">J326+L326</f>
        <v>148806</v>
      </c>
      <c r="L326" s="1" t="n">
        <v>40</v>
      </c>
      <c r="M326" s="1" t="n">
        <f aca="false">(E326+M325)-N326</f>
        <v>8.47999999999999</v>
      </c>
      <c r="N326" s="1" t="n">
        <v>4.8</v>
      </c>
    </row>
    <row r="327" customFormat="false" ht="15" hidden="false" customHeight="true" outlineLevel="0" collapsed="false">
      <c r="D327" s="5"/>
      <c r="H327" s="1" t="s">
        <v>37</v>
      </c>
      <c r="I327" s="1" t="s">
        <v>34</v>
      </c>
      <c r="J327" s="1" t="n">
        <f aca="false">K326</f>
        <v>148806</v>
      </c>
      <c r="K327" s="1" t="n">
        <f aca="false">J327+L327</f>
        <v>148846</v>
      </c>
      <c r="L327" s="1" t="n">
        <v>40</v>
      </c>
      <c r="M327" s="1" t="n">
        <f aca="false">(E327+M326)-N327</f>
        <v>3.67999999999999</v>
      </c>
      <c r="N327" s="1" t="n">
        <v>4.8</v>
      </c>
    </row>
    <row r="328" customFormat="false" ht="15" hidden="false" customHeight="true" outlineLevel="0" collapsed="false">
      <c r="D328" s="5" t="n">
        <v>44665</v>
      </c>
      <c r="H328" s="1" t="s">
        <v>34</v>
      </c>
      <c r="I328" s="1" t="s">
        <v>35</v>
      </c>
      <c r="J328" s="1" t="n">
        <f aca="false">K327</f>
        <v>148846</v>
      </c>
      <c r="K328" s="1" t="n">
        <f aca="false">J328+L328</f>
        <v>148858</v>
      </c>
      <c r="L328" s="1" t="n">
        <v>12</v>
      </c>
      <c r="M328" s="1" t="n">
        <f aca="false">(E328+M327)-N328</f>
        <v>2.42999999999999</v>
      </c>
      <c r="N328" s="1" t="n">
        <v>1.25</v>
      </c>
    </row>
    <row r="329" customFormat="false" ht="15" hidden="false" customHeight="true" outlineLevel="0" collapsed="false">
      <c r="D329" s="5"/>
      <c r="H329" s="1" t="s">
        <v>35</v>
      </c>
      <c r="I329" s="1" t="s">
        <v>34</v>
      </c>
      <c r="J329" s="1" t="n">
        <f aca="false">K328</f>
        <v>148858</v>
      </c>
      <c r="K329" s="1" t="n">
        <f aca="false">J329+L329</f>
        <v>148870</v>
      </c>
      <c r="L329" s="1" t="n">
        <v>12</v>
      </c>
      <c r="M329" s="1" t="n">
        <f aca="false">(E329+M328)-N329</f>
        <v>1.17999999999999</v>
      </c>
      <c r="N329" s="1" t="n">
        <v>1.25</v>
      </c>
    </row>
    <row r="330" customFormat="false" ht="15" hidden="false" customHeight="true" outlineLevel="0" collapsed="false">
      <c r="D330" s="5" t="n">
        <v>44666</v>
      </c>
      <c r="E330" s="0" t="n">
        <v>23.93</v>
      </c>
      <c r="F330" s="1" t="n">
        <v>51.9</v>
      </c>
      <c r="G330" s="6" t="n">
        <f aca="false">E330*F330</f>
        <v>1241.967</v>
      </c>
      <c r="H330" s="1" t="s">
        <v>34</v>
      </c>
      <c r="I330" s="1" t="s">
        <v>39</v>
      </c>
      <c r="J330" s="1" t="n">
        <f aca="false">K329</f>
        <v>148870</v>
      </c>
      <c r="K330" s="1" t="n">
        <f aca="false">J330+L330</f>
        <v>148920</v>
      </c>
      <c r="L330" s="1" t="n">
        <v>50</v>
      </c>
      <c r="M330" s="1" t="n">
        <f aca="false">(E330+M329)-N330</f>
        <v>19.61</v>
      </c>
      <c r="N330" s="1" t="n">
        <v>5.5</v>
      </c>
    </row>
    <row r="331" customFormat="false" ht="15" hidden="false" customHeight="true" outlineLevel="0" collapsed="false">
      <c r="D331" s="5"/>
      <c r="G331" s="6"/>
      <c r="H331" s="1" t="s">
        <v>39</v>
      </c>
      <c r="I331" s="1" t="s">
        <v>34</v>
      </c>
      <c r="J331" s="1" t="n">
        <f aca="false">K330</f>
        <v>148920</v>
      </c>
      <c r="K331" s="1" t="n">
        <f aca="false">J331+L331</f>
        <v>148970</v>
      </c>
      <c r="L331" s="1" t="n">
        <v>50</v>
      </c>
      <c r="M331" s="1" t="n">
        <f aca="false">(E331+M330)-N331</f>
        <v>14.11</v>
      </c>
      <c r="N331" s="1" t="n">
        <v>5.5</v>
      </c>
    </row>
    <row r="332" customFormat="false" ht="15" hidden="false" customHeight="true" outlineLevel="0" collapsed="false">
      <c r="D332" s="5" t="n">
        <v>44669</v>
      </c>
      <c r="H332" s="1" t="s">
        <v>34</v>
      </c>
      <c r="I332" s="1" t="s">
        <v>24</v>
      </c>
      <c r="J332" s="1" t="n">
        <f aca="false">K331</f>
        <v>148970</v>
      </c>
      <c r="K332" s="1" t="n">
        <f aca="false">J332+L332</f>
        <v>148984</v>
      </c>
      <c r="L332" s="1" t="n">
        <v>14</v>
      </c>
      <c r="M332" s="1" t="n">
        <f aca="false">(E332+M331)-N332</f>
        <v>12.61</v>
      </c>
      <c r="N332" s="1" t="n">
        <v>1.5</v>
      </c>
    </row>
    <row r="333" customFormat="false" ht="15" hidden="false" customHeight="true" outlineLevel="0" collapsed="false">
      <c r="D333" s="5"/>
      <c r="H333" s="1" t="s">
        <v>24</v>
      </c>
      <c r="I333" s="1" t="s">
        <v>34</v>
      </c>
      <c r="J333" s="1" t="n">
        <f aca="false">K332</f>
        <v>148984</v>
      </c>
      <c r="K333" s="1" t="n">
        <f aca="false">J333+L333</f>
        <v>148998</v>
      </c>
      <c r="L333" s="1" t="n">
        <v>14</v>
      </c>
      <c r="M333" s="1" t="n">
        <f aca="false">(E333+M332)-N333</f>
        <v>11.11</v>
      </c>
      <c r="N333" s="1" t="n">
        <v>1.5</v>
      </c>
    </row>
    <row r="334" customFormat="false" ht="15" hidden="false" customHeight="true" outlineLevel="0" collapsed="false">
      <c r="D334" s="5" t="n">
        <v>44670</v>
      </c>
      <c r="E334" s="0" t="n">
        <v>23.46</v>
      </c>
      <c r="F334" s="1" t="n">
        <v>51.9</v>
      </c>
      <c r="G334" s="6" t="n">
        <f aca="false">E334*F334</f>
        <v>1217.574</v>
      </c>
      <c r="H334" s="1" t="s">
        <v>34</v>
      </c>
      <c r="I334" s="1" t="s">
        <v>39</v>
      </c>
      <c r="J334" s="1" t="n">
        <f aca="false">K333</f>
        <v>148998</v>
      </c>
      <c r="K334" s="1" t="n">
        <f aca="false">J334+L334</f>
        <v>149048</v>
      </c>
      <c r="L334" s="1" t="n">
        <v>50</v>
      </c>
      <c r="M334" s="1" t="n">
        <f aca="false">(E334+M333)-N334</f>
        <v>29.07</v>
      </c>
      <c r="N334" s="1" t="n">
        <v>5.5</v>
      </c>
    </row>
    <row r="335" customFormat="false" ht="15" hidden="false" customHeight="true" outlineLevel="0" collapsed="false">
      <c r="D335" s="5"/>
      <c r="G335" s="6"/>
      <c r="H335" s="1" t="s">
        <v>39</v>
      </c>
      <c r="I335" s="1" t="s">
        <v>34</v>
      </c>
      <c r="J335" s="1" t="n">
        <f aca="false">K334</f>
        <v>149048</v>
      </c>
      <c r="K335" s="1" t="n">
        <f aca="false">J335+L335</f>
        <v>149098</v>
      </c>
      <c r="L335" s="1" t="n">
        <v>50</v>
      </c>
      <c r="M335" s="1" t="n">
        <f aca="false">(E335+M334)-N335</f>
        <v>23.57</v>
      </c>
      <c r="N335" s="1" t="n">
        <v>5.5</v>
      </c>
    </row>
    <row r="336" customFormat="false" ht="15" hidden="false" customHeight="true" outlineLevel="0" collapsed="false">
      <c r="D336" s="5" t="n">
        <v>44671</v>
      </c>
      <c r="H336" s="1" t="s">
        <v>34</v>
      </c>
      <c r="I336" s="1" t="s">
        <v>36</v>
      </c>
      <c r="J336" s="1" t="n">
        <f aca="false">K335</f>
        <v>149098</v>
      </c>
      <c r="K336" s="1" t="n">
        <f aca="false">J336+L336</f>
        <v>149113</v>
      </c>
      <c r="L336" s="1" t="n">
        <v>15</v>
      </c>
      <c r="M336" s="1" t="n">
        <f aca="false">(E336+M335)-N336</f>
        <v>21.77</v>
      </c>
      <c r="N336" s="1" t="n">
        <v>1.8</v>
      </c>
    </row>
    <row r="337" customFormat="false" ht="15" hidden="false" customHeight="true" outlineLevel="0" collapsed="false">
      <c r="D337" s="5"/>
      <c r="H337" s="1" t="s">
        <v>36</v>
      </c>
      <c r="I337" s="1" t="s">
        <v>34</v>
      </c>
      <c r="J337" s="1" t="n">
        <f aca="false">K336</f>
        <v>149113</v>
      </c>
      <c r="K337" s="1" t="n">
        <f aca="false">J337+L337</f>
        <v>149128</v>
      </c>
      <c r="L337" s="1" t="n">
        <v>15</v>
      </c>
      <c r="M337" s="1" t="n">
        <f aca="false">(E337+M336)-N337</f>
        <v>19.97</v>
      </c>
      <c r="N337" s="1" t="n">
        <v>1.8</v>
      </c>
    </row>
    <row r="338" customFormat="false" ht="15" hidden="false" customHeight="true" outlineLevel="0" collapsed="false">
      <c r="D338" s="5" t="n">
        <v>44672</v>
      </c>
      <c r="H338" s="1" t="s">
        <v>34</v>
      </c>
      <c r="I338" s="1" t="s">
        <v>29</v>
      </c>
      <c r="J338" s="1" t="n">
        <f aca="false">K337</f>
        <v>149128</v>
      </c>
      <c r="K338" s="1" t="n">
        <f aca="false">J338+L338</f>
        <v>149177</v>
      </c>
      <c r="L338" s="1" t="n">
        <v>49</v>
      </c>
      <c r="M338" s="1" t="n">
        <f aca="false">(E338+M337)-N338</f>
        <v>14.17</v>
      </c>
      <c r="N338" s="1" t="n">
        <v>5.8</v>
      </c>
    </row>
    <row r="339" customFormat="false" ht="15" hidden="false" customHeight="true" outlineLevel="0" collapsed="false">
      <c r="D339" s="5"/>
      <c r="H339" s="1" t="s">
        <v>29</v>
      </c>
      <c r="I339" s="1" t="s">
        <v>34</v>
      </c>
      <c r="J339" s="1" t="n">
        <f aca="false">K338</f>
        <v>149177</v>
      </c>
      <c r="K339" s="1" t="n">
        <f aca="false">J339+L339</f>
        <v>149226</v>
      </c>
      <c r="L339" s="1" t="n">
        <v>49</v>
      </c>
      <c r="M339" s="1" t="n">
        <f aca="false">(E339+M338)-N339</f>
        <v>8.36999999999998</v>
      </c>
      <c r="N339" s="1" t="n">
        <v>5.8</v>
      </c>
    </row>
    <row r="340" customFormat="false" ht="15" hidden="false" customHeight="true" outlineLevel="0" collapsed="false">
      <c r="D340" s="5" t="n">
        <v>44673</v>
      </c>
      <c r="H340" s="1" t="s">
        <v>34</v>
      </c>
      <c r="I340" s="1" t="s">
        <v>35</v>
      </c>
      <c r="J340" s="1" t="n">
        <f aca="false">K339</f>
        <v>149226</v>
      </c>
      <c r="K340" s="1" t="n">
        <f aca="false">J340+L340</f>
        <v>149238</v>
      </c>
      <c r="L340" s="1" t="n">
        <v>12</v>
      </c>
      <c r="M340" s="1" t="n">
        <f aca="false">(E340+M339)-N340</f>
        <v>7.11999999999998</v>
      </c>
      <c r="N340" s="1" t="n">
        <v>1.25</v>
      </c>
    </row>
    <row r="341" customFormat="false" ht="15" hidden="false" customHeight="true" outlineLevel="0" collapsed="false">
      <c r="D341" s="5"/>
      <c r="H341" s="1" t="s">
        <v>35</v>
      </c>
      <c r="I341" s="1" t="s">
        <v>34</v>
      </c>
      <c r="J341" s="1" t="n">
        <f aca="false">K340</f>
        <v>149238</v>
      </c>
      <c r="K341" s="1" t="n">
        <f aca="false">J341+L341</f>
        <v>149250</v>
      </c>
      <c r="L341" s="1" t="n">
        <v>12</v>
      </c>
      <c r="M341" s="1" t="n">
        <f aca="false">(E341+M340)-N341</f>
        <v>5.86999999999998</v>
      </c>
      <c r="N341" s="1" t="n">
        <v>1.25</v>
      </c>
    </row>
    <row r="342" customFormat="false" ht="15" hidden="false" customHeight="true" outlineLevel="0" collapsed="false">
      <c r="D342" s="5" t="n">
        <v>44676</v>
      </c>
      <c r="H342" s="1" t="s">
        <v>34</v>
      </c>
      <c r="I342" s="1" t="s">
        <v>35</v>
      </c>
      <c r="J342" s="1" t="n">
        <f aca="false">K341</f>
        <v>149250</v>
      </c>
      <c r="K342" s="1" t="n">
        <f aca="false">J342+L342</f>
        <v>149262</v>
      </c>
      <c r="L342" s="1" t="n">
        <v>12</v>
      </c>
      <c r="M342" s="1" t="n">
        <f aca="false">(E342+M341)-N342</f>
        <v>4.61999999999998</v>
      </c>
      <c r="N342" s="1" t="n">
        <v>1.25</v>
      </c>
    </row>
    <row r="343" customFormat="false" ht="15" hidden="false" customHeight="true" outlineLevel="0" collapsed="false">
      <c r="D343" s="5"/>
      <c r="H343" s="1" t="s">
        <v>35</v>
      </c>
      <c r="I343" s="1" t="s">
        <v>34</v>
      </c>
      <c r="J343" s="1" t="n">
        <f aca="false">K342</f>
        <v>149262</v>
      </c>
      <c r="K343" s="1" t="n">
        <f aca="false">J343+L343</f>
        <v>149274</v>
      </c>
      <c r="L343" s="1" t="n">
        <v>12</v>
      </c>
      <c r="M343" s="1" t="n">
        <f aca="false">(E343+M342)-N343</f>
        <v>3.36999999999998</v>
      </c>
      <c r="N343" s="1" t="n">
        <v>1.25</v>
      </c>
    </row>
    <row r="344" customFormat="false" ht="15" hidden="false" customHeight="true" outlineLevel="0" collapsed="false">
      <c r="D344" s="5" t="n">
        <v>44677</v>
      </c>
      <c r="E344" s="0" t="n">
        <v>24.47</v>
      </c>
      <c r="F344" s="1" t="n">
        <v>51.45</v>
      </c>
      <c r="G344" s="6" t="n">
        <f aca="false">E344*F344</f>
        <v>1258.9815</v>
      </c>
      <c r="H344" s="1" t="s">
        <v>34</v>
      </c>
      <c r="I344" s="1" t="s">
        <v>37</v>
      </c>
      <c r="J344" s="1" t="n">
        <f aca="false">K343</f>
        <v>149274</v>
      </c>
      <c r="K344" s="1" t="n">
        <f aca="false">J344+L344</f>
        <v>149314</v>
      </c>
      <c r="L344" s="1" t="n">
        <v>40</v>
      </c>
      <c r="M344" s="1" t="n">
        <f aca="false">(E344+M343)-N344</f>
        <v>23.04</v>
      </c>
      <c r="N344" s="1" t="n">
        <v>4.8</v>
      </c>
    </row>
    <row r="345" customFormat="false" ht="15" hidden="false" customHeight="true" outlineLevel="0" collapsed="false">
      <c r="D345" s="5"/>
      <c r="G345" s="6"/>
      <c r="H345" s="1" t="s">
        <v>37</v>
      </c>
      <c r="I345" s="1" t="s">
        <v>34</v>
      </c>
      <c r="J345" s="1" t="n">
        <f aca="false">K344</f>
        <v>149314</v>
      </c>
      <c r="K345" s="1" t="n">
        <f aca="false">J345+L345</f>
        <v>149354</v>
      </c>
      <c r="L345" s="1" t="n">
        <v>40</v>
      </c>
      <c r="M345" s="1" t="n">
        <f aca="false">(E345+M344)-N345</f>
        <v>18.24</v>
      </c>
      <c r="N345" s="1" t="n">
        <v>4.8</v>
      </c>
    </row>
    <row r="346" customFormat="false" ht="15" hidden="false" customHeight="true" outlineLevel="0" collapsed="false">
      <c r="D346" s="5" t="n">
        <v>44678</v>
      </c>
      <c r="H346" s="1" t="s">
        <v>34</v>
      </c>
      <c r="I346" s="1" t="s">
        <v>24</v>
      </c>
      <c r="J346" s="1" t="n">
        <f aca="false">K345</f>
        <v>149354</v>
      </c>
      <c r="K346" s="1" t="n">
        <f aca="false">J346+L346</f>
        <v>149368</v>
      </c>
      <c r="L346" s="1" t="n">
        <v>14</v>
      </c>
      <c r="M346" s="1" t="n">
        <f aca="false">(E346+M345)-N346</f>
        <v>16.74</v>
      </c>
      <c r="N346" s="1" t="n">
        <v>1.5</v>
      </c>
    </row>
    <row r="347" customFormat="false" ht="15" hidden="false" customHeight="true" outlineLevel="0" collapsed="false">
      <c r="D347" s="5"/>
      <c r="H347" s="1" t="s">
        <v>24</v>
      </c>
      <c r="I347" s="1" t="s">
        <v>34</v>
      </c>
      <c r="J347" s="1" t="n">
        <f aca="false">K346</f>
        <v>149368</v>
      </c>
      <c r="K347" s="1" t="n">
        <f aca="false">J347+L347</f>
        <v>149382</v>
      </c>
      <c r="L347" s="1" t="n">
        <v>14</v>
      </c>
      <c r="M347" s="1" t="n">
        <f aca="false">(E347+M346)-N347</f>
        <v>15.24</v>
      </c>
      <c r="N347" s="1" t="n">
        <v>1.5</v>
      </c>
    </row>
    <row r="348" customFormat="false" ht="15" hidden="false" customHeight="true" outlineLevel="0" collapsed="false">
      <c r="D348" s="5" t="n">
        <v>44679</v>
      </c>
      <c r="H348" s="1" t="s">
        <v>34</v>
      </c>
      <c r="I348" s="1" t="s">
        <v>36</v>
      </c>
      <c r="J348" s="1" t="n">
        <f aca="false">K347</f>
        <v>149382</v>
      </c>
      <c r="K348" s="1" t="n">
        <f aca="false">J348+L348</f>
        <v>149397</v>
      </c>
      <c r="L348" s="1" t="n">
        <v>15</v>
      </c>
      <c r="M348" s="1" t="n">
        <f aca="false">(E348+M347)-N348</f>
        <v>13.44</v>
      </c>
      <c r="N348" s="1" t="n">
        <v>1.8</v>
      </c>
    </row>
    <row r="349" customFormat="false" ht="15" hidden="false" customHeight="true" outlineLevel="0" collapsed="false">
      <c r="D349" s="5"/>
      <c r="H349" s="1" t="s">
        <v>36</v>
      </c>
      <c r="I349" s="1" t="s">
        <v>34</v>
      </c>
      <c r="J349" s="1" t="n">
        <f aca="false">K348</f>
        <v>149397</v>
      </c>
      <c r="K349" s="1" t="n">
        <f aca="false">J349+L349</f>
        <v>149412</v>
      </c>
      <c r="L349" s="1" t="n">
        <v>15</v>
      </c>
      <c r="M349" s="1" t="n">
        <f aca="false">(E349+M348)-N349</f>
        <v>11.64</v>
      </c>
      <c r="N349" s="1" t="n">
        <v>1.8</v>
      </c>
    </row>
    <row r="350" customFormat="false" ht="15" hidden="false" customHeight="true" outlineLevel="0" collapsed="false">
      <c r="D350" s="5" t="n">
        <v>44680</v>
      </c>
      <c r="E350" s="0" t="n">
        <v>25.44</v>
      </c>
      <c r="F350" s="1" t="n">
        <v>51.9</v>
      </c>
      <c r="G350" s="6" t="n">
        <f aca="false">E350*F350</f>
        <v>1320.336</v>
      </c>
      <c r="H350" s="1" t="s">
        <v>34</v>
      </c>
      <c r="I350" s="1" t="s">
        <v>39</v>
      </c>
      <c r="J350" s="1" t="n">
        <f aca="false">K349</f>
        <v>149412</v>
      </c>
      <c r="K350" s="1" t="n">
        <f aca="false">J350+L350</f>
        <v>149462</v>
      </c>
      <c r="L350" s="1" t="n">
        <v>50</v>
      </c>
      <c r="M350" s="1" t="n">
        <f aca="false">(E350+M349)-N350</f>
        <v>31.58</v>
      </c>
      <c r="N350" s="1" t="n">
        <v>5.5</v>
      </c>
    </row>
    <row r="351" customFormat="false" ht="15" hidden="false" customHeight="true" outlineLevel="0" collapsed="false">
      <c r="D351" s="5"/>
      <c r="G351" s="6"/>
      <c r="H351" s="1" t="s">
        <v>39</v>
      </c>
      <c r="I351" s="1" t="s">
        <v>34</v>
      </c>
      <c r="J351" s="1" t="n">
        <f aca="false">K350</f>
        <v>149462</v>
      </c>
      <c r="K351" s="1" t="n">
        <f aca="false">J351+L351</f>
        <v>149512</v>
      </c>
      <c r="L351" s="1" t="n">
        <v>50</v>
      </c>
      <c r="M351" s="1" t="n">
        <f aca="false">(E351+M350)-N351</f>
        <v>26.08</v>
      </c>
      <c r="N351" s="1" t="n">
        <v>5.5</v>
      </c>
    </row>
    <row r="352" customFormat="false" ht="15" hidden="false" customHeight="true" outlineLevel="0" collapsed="false">
      <c r="D352" s="5"/>
      <c r="G352" s="6"/>
      <c r="H352" s="1" t="s">
        <v>34</v>
      </c>
      <c r="I352" s="1" t="s">
        <v>36</v>
      </c>
      <c r="J352" s="1" t="n">
        <f aca="false">K351</f>
        <v>149512</v>
      </c>
      <c r="K352" s="1" t="n">
        <f aca="false">J352+L352</f>
        <v>149527</v>
      </c>
      <c r="L352" s="1" t="n">
        <v>15</v>
      </c>
      <c r="M352" s="1" t="n">
        <f aca="false">(E352+M351)-N352</f>
        <v>24.28</v>
      </c>
      <c r="N352" s="1" t="n">
        <v>1.8</v>
      </c>
    </row>
    <row r="353" customFormat="false" ht="15" hidden="false" customHeight="true" outlineLevel="0" collapsed="false">
      <c r="D353" s="5"/>
      <c r="G353" s="6"/>
      <c r="H353" s="1" t="s">
        <v>36</v>
      </c>
      <c r="I353" s="1" t="s">
        <v>34</v>
      </c>
      <c r="J353" s="1" t="n">
        <f aca="false">K352</f>
        <v>149527</v>
      </c>
      <c r="K353" s="1" t="n">
        <f aca="false">J353+L353</f>
        <v>149542</v>
      </c>
      <c r="L353" s="1" t="n">
        <v>15</v>
      </c>
      <c r="M353" s="1" t="n">
        <f aca="false">(E353+M352)-N353</f>
        <v>22.48</v>
      </c>
      <c r="N353" s="1" t="n">
        <v>1.8</v>
      </c>
    </row>
    <row r="355" customFormat="false" ht="15" hidden="false" customHeight="true" outlineLevel="0" collapsed="false">
      <c r="D355" s="4" t="s">
        <v>42</v>
      </c>
      <c r="E355" s="4"/>
      <c r="F355" s="4"/>
      <c r="G355" s="4"/>
    </row>
    <row r="356" customFormat="false" ht="15" hidden="false" customHeight="true" outlineLevel="0" collapsed="false">
      <c r="D356" s="5" t="n">
        <v>44685</v>
      </c>
      <c r="E356" s="0" t="n">
        <v>23.01</v>
      </c>
      <c r="F356" s="1" t="n">
        <v>51.35</v>
      </c>
      <c r="G356" s="6" t="n">
        <f aca="false">E356*F356</f>
        <v>1181.5635</v>
      </c>
      <c r="H356" s="1" t="s">
        <v>34</v>
      </c>
      <c r="I356" s="1" t="s">
        <v>37</v>
      </c>
      <c r="J356" s="1" t="n">
        <f aca="false">K353</f>
        <v>149542</v>
      </c>
      <c r="K356" s="1" t="n">
        <f aca="false">J356+L356</f>
        <v>149582</v>
      </c>
      <c r="L356" s="1" t="n">
        <v>40</v>
      </c>
      <c r="M356" s="1" t="n">
        <f aca="false">(E356+M353)-N356</f>
        <v>40.69</v>
      </c>
      <c r="N356" s="1" t="n">
        <v>4.8</v>
      </c>
    </row>
    <row r="357" customFormat="false" ht="15" hidden="false" customHeight="true" outlineLevel="0" collapsed="false">
      <c r="D357" s="5"/>
      <c r="G357" s="6"/>
      <c r="H357" s="1" t="s">
        <v>37</v>
      </c>
      <c r="I357" s="1" t="s">
        <v>34</v>
      </c>
      <c r="J357" s="1" t="n">
        <f aca="false">K356</f>
        <v>149582</v>
      </c>
      <c r="K357" s="1" t="n">
        <f aca="false">J357+L357</f>
        <v>149622</v>
      </c>
      <c r="L357" s="1" t="n">
        <v>40</v>
      </c>
      <c r="M357" s="1" t="n">
        <f aca="false">(E357+M356)-N357</f>
        <v>35.89</v>
      </c>
      <c r="N357" s="1" t="n">
        <v>4.8</v>
      </c>
    </row>
    <row r="358" customFormat="false" ht="15" hidden="false" customHeight="true" outlineLevel="0" collapsed="false">
      <c r="D358" s="5"/>
      <c r="G358" s="6"/>
      <c r="H358" s="1" t="s">
        <v>34</v>
      </c>
      <c r="I358" s="1" t="s">
        <v>35</v>
      </c>
      <c r="J358" s="1" t="n">
        <f aca="false">K357</f>
        <v>149622</v>
      </c>
      <c r="K358" s="1" t="n">
        <f aca="false">J358+L358</f>
        <v>149634</v>
      </c>
      <c r="L358" s="1" t="n">
        <v>12</v>
      </c>
      <c r="M358" s="1" t="n">
        <f aca="false">(E358+M357)-N358</f>
        <v>34.64</v>
      </c>
      <c r="N358" s="1" t="n">
        <v>1.25</v>
      </c>
    </row>
    <row r="359" customFormat="false" ht="15" hidden="false" customHeight="true" outlineLevel="0" collapsed="false">
      <c r="D359" s="5"/>
      <c r="G359" s="6"/>
      <c r="H359" s="1" t="s">
        <v>35</v>
      </c>
      <c r="I359" s="1" t="s">
        <v>34</v>
      </c>
      <c r="J359" s="1" t="n">
        <f aca="false">K358</f>
        <v>149634</v>
      </c>
      <c r="K359" s="1" t="n">
        <f aca="false">J359+L359</f>
        <v>149646</v>
      </c>
      <c r="L359" s="1" t="n">
        <v>12</v>
      </c>
      <c r="M359" s="1" t="n">
        <f aca="false">(E359+M358)-N359</f>
        <v>33.39</v>
      </c>
      <c r="N359" s="1" t="n">
        <v>1.25</v>
      </c>
    </row>
    <row r="360" customFormat="false" ht="15" hidden="false" customHeight="true" outlineLevel="0" collapsed="false">
      <c r="D360" s="5"/>
      <c r="G360" s="6"/>
      <c r="H360" s="1" t="s">
        <v>34</v>
      </c>
      <c r="I360" s="1" t="s">
        <v>36</v>
      </c>
      <c r="J360" s="1" t="n">
        <f aca="false">K359</f>
        <v>149646</v>
      </c>
      <c r="K360" s="1" t="n">
        <f aca="false">J360+L360</f>
        <v>149661</v>
      </c>
      <c r="L360" s="1" t="n">
        <v>15</v>
      </c>
      <c r="M360" s="1" t="n">
        <f aca="false">(E360+M359)-N360</f>
        <v>31.59</v>
      </c>
      <c r="N360" s="1" t="n">
        <v>1.8</v>
      </c>
    </row>
    <row r="361" customFormat="false" ht="15" hidden="false" customHeight="true" outlineLevel="0" collapsed="false">
      <c r="D361" s="5"/>
      <c r="G361" s="6"/>
      <c r="H361" s="1" t="s">
        <v>36</v>
      </c>
      <c r="I361" s="1" t="s">
        <v>34</v>
      </c>
      <c r="J361" s="1" t="n">
        <f aca="false">K360</f>
        <v>149661</v>
      </c>
      <c r="K361" s="1" t="n">
        <f aca="false">J361+L361</f>
        <v>149676</v>
      </c>
      <c r="L361" s="1" t="n">
        <v>15</v>
      </c>
      <c r="M361" s="1" t="n">
        <f aca="false">(E361+M360)-N361</f>
        <v>29.79</v>
      </c>
      <c r="N361" s="1" t="n">
        <v>1.8</v>
      </c>
    </row>
    <row r="362" customFormat="false" ht="15" hidden="false" customHeight="true" outlineLevel="0" collapsed="false">
      <c r="D362" s="5" t="n">
        <v>44686</v>
      </c>
      <c r="H362" s="1" t="s">
        <v>34</v>
      </c>
      <c r="I362" s="1" t="s">
        <v>39</v>
      </c>
      <c r="J362" s="1" t="n">
        <f aca="false">K361</f>
        <v>149676</v>
      </c>
      <c r="K362" s="1" t="n">
        <f aca="false">J362+L362</f>
        <v>149726</v>
      </c>
      <c r="L362" s="1" t="n">
        <v>50</v>
      </c>
      <c r="M362" s="1" t="n">
        <f aca="false">(E362+M361)-N362</f>
        <v>24.29</v>
      </c>
      <c r="N362" s="1" t="n">
        <v>5.5</v>
      </c>
    </row>
    <row r="363" customFormat="false" ht="15" hidden="false" customHeight="true" outlineLevel="0" collapsed="false">
      <c r="D363" s="5"/>
      <c r="H363" s="1" t="s">
        <v>39</v>
      </c>
      <c r="I363" s="1" t="s">
        <v>34</v>
      </c>
      <c r="J363" s="1" t="n">
        <f aca="false">K362</f>
        <v>149726</v>
      </c>
      <c r="K363" s="1" t="n">
        <f aca="false">J363+L363</f>
        <v>149776</v>
      </c>
      <c r="L363" s="1" t="n">
        <v>50</v>
      </c>
      <c r="M363" s="1" t="n">
        <f aca="false">(E363+M362)-N363</f>
        <v>18.79</v>
      </c>
      <c r="N363" s="1" t="n">
        <v>5.5</v>
      </c>
    </row>
    <row r="364" customFormat="false" ht="15" hidden="false" customHeight="true" outlineLevel="0" collapsed="false">
      <c r="D364" s="5"/>
      <c r="H364" s="1" t="s">
        <v>34</v>
      </c>
      <c r="I364" s="1" t="s">
        <v>36</v>
      </c>
      <c r="J364" s="1" t="n">
        <f aca="false">K363</f>
        <v>149776</v>
      </c>
      <c r="K364" s="1" t="n">
        <f aca="false">J364+L364</f>
        <v>149791</v>
      </c>
      <c r="L364" s="1" t="n">
        <v>15</v>
      </c>
      <c r="M364" s="1" t="n">
        <f aca="false">(E364+M363)-N364</f>
        <v>16.99</v>
      </c>
      <c r="N364" s="1" t="n">
        <v>1.8</v>
      </c>
    </row>
    <row r="365" customFormat="false" ht="15" hidden="false" customHeight="true" outlineLevel="0" collapsed="false">
      <c r="D365" s="5"/>
      <c r="H365" s="1" t="s">
        <v>36</v>
      </c>
      <c r="I365" s="1" t="s">
        <v>34</v>
      </c>
      <c r="J365" s="1" t="n">
        <f aca="false">K364</f>
        <v>149791</v>
      </c>
      <c r="K365" s="1" t="n">
        <f aca="false">J365+L365</f>
        <v>149806</v>
      </c>
      <c r="L365" s="1" t="n">
        <v>15</v>
      </c>
      <c r="M365" s="1" t="n">
        <f aca="false">(E365+M364)-N365</f>
        <v>15.19</v>
      </c>
      <c r="N365" s="1" t="n">
        <v>1.8</v>
      </c>
    </row>
    <row r="366" customFormat="false" ht="15" hidden="false" customHeight="true" outlineLevel="0" collapsed="false">
      <c r="D366" s="5"/>
      <c r="H366" s="1" t="s">
        <v>34</v>
      </c>
      <c r="I366" s="1" t="s">
        <v>37</v>
      </c>
      <c r="J366" s="1" t="n">
        <f aca="false">K365</f>
        <v>149806</v>
      </c>
      <c r="K366" s="1" t="n">
        <f aca="false">J366+L366</f>
        <v>149846</v>
      </c>
      <c r="L366" s="1" t="n">
        <v>40</v>
      </c>
      <c r="M366" s="1" t="n">
        <f aca="false">(E366+M365)-N366</f>
        <v>10.39</v>
      </c>
      <c r="N366" s="1" t="n">
        <v>4.8</v>
      </c>
    </row>
    <row r="367" customFormat="false" ht="15" hidden="false" customHeight="true" outlineLevel="0" collapsed="false">
      <c r="D367" s="5"/>
      <c r="H367" s="1" t="s">
        <v>37</v>
      </c>
      <c r="I367" s="1" t="s">
        <v>34</v>
      </c>
      <c r="J367" s="1" t="n">
        <f aca="false">K366</f>
        <v>149846</v>
      </c>
      <c r="K367" s="1" t="n">
        <f aca="false">J367+L367</f>
        <v>149886</v>
      </c>
      <c r="L367" s="1" t="n">
        <v>40</v>
      </c>
      <c r="M367" s="1" t="n">
        <f aca="false">(E367+M366)-N367</f>
        <v>5.58999999999998</v>
      </c>
      <c r="N367" s="1" t="n">
        <v>4.8</v>
      </c>
    </row>
    <row r="368" customFormat="false" ht="15" hidden="false" customHeight="true" outlineLevel="0" collapsed="false">
      <c r="D368" s="5" t="n">
        <v>44687</v>
      </c>
      <c r="E368" s="0" t="n">
        <v>25.22</v>
      </c>
      <c r="F368" s="1" t="n">
        <v>51.25</v>
      </c>
      <c r="G368" s="6" t="n">
        <f aca="false">E368*F368</f>
        <v>1292.525</v>
      </c>
      <c r="H368" s="1" t="s">
        <v>34</v>
      </c>
      <c r="I368" s="1" t="s">
        <v>43</v>
      </c>
      <c r="J368" s="1" t="n">
        <f aca="false">K367</f>
        <v>149886</v>
      </c>
      <c r="K368" s="1" t="n">
        <f aca="false">J368+L368</f>
        <v>149898</v>
      </c>
      <c r="L368" s="1" t="n">
        <v>12</v>
      </c>
      <c r="M368" s="1" t="n">
        <f aca="false">(E368+M367)-N368</f>
        <v>29.56</v>
      </c>
      <c r="N368" s="1" t="n">
        <v>1.25</v>
      </c>
    </row>
    <row r="369" customFormat="false" ht="15" hidden="false" customHeight="true" outlineLevel="0" collapsed="false">
      <c r="H369" s="1" t="s">
        <v>43</v>
      </c>
      <c r="I369" s="1" t="s">
        <v>34</v>
      </c>
      <c r="J369" s="1" t="n">
        <f aca="false">K368</f>
        <v>149898</v>
      </c>
      <c r="K369" s="1" t="n">
        <f aca="false">J369+L369</f>
        <v>149910</v>
      </c>
      <c r="L369" s="1" t="n">
        <v>12</v>
      </c>
      <c r="M369" s="1" t="n">
        <f aca="false">(E369+M368)-N369</f>
        <v>28.31</v>
      </c>
      <c r="N369" s="1" t="n">
        <v>1.25</v>
      </c>
    </row>
    <row r="370" customFormat="false" ht="15" hidden="false" customHeight="true" outlineLevel="0" collapsed="false">
      <c r="H370" s="1" t="s">
        <v>34</v>
      </c>
      <c r="I370" s="1" t="s">
        <v>37</v>
      </c>
      <c r="J370" s="1" t="n">
        <f aca="false">K369</f>
        <v>149910</v>
      </c>
      <c r="K370" s="1" t="n">
        <f aca="false">J370+L370</f>
        <v>149950</v>
      </c>
      <c r="L370" s="1" t="n">
        <v>40</v>
      </c>
      <c r="M370" s="1" t="n">
        <f aca="false">(E370+M369)-N370</f>
        <v>23.51</v>
      </c>
      <c r="N370" s="1" t="n">
        <v>4.8</v>
      </c>
    </row>
    <row r="371" customFormat="false" ht="15" hidden="false" customHeight="true" outlineLevel="0" collapsed="false">
      <c r="D371" s="5"/>
      <c r="H371" s="1" t="s">
        <v>37</v>
      </c>
      <c r="I371" s="1" t="s">
        <v>34</v>
      </c>
      <c r="J371" s="1" t="n">
        <f aca="false">K370</f>
        <v>149950</v>
      </c>
      <c r="K371" s="1" t="n">
        <f aca="false">J371+L371</f>
        <v>149990</v>
      </c>
      <c r="L371" s="1" t="n">
        <v>40</v>
      </c>
      <c r="M371" s="1" t="n">
        <f aca="false">(E371+M370)-N371</f>
        <v>18.71</v>
      </c>
      <c r="N371" s="1" t="n">
        <v>4.8</v>
      </c>
    </row>
    <row r="372" customFormat="false" ht="15" hidden="false" customHeight="true" outlineLevel="0" collapsed="false">
      <c r="D372" s="5" t="n">
        <v>44692</v>
      </c>
      <c r="H372" s="1" t="s">
        <v>34</v>
      </c>
      <c r="I372" s="1" t="s">
        <v>35</v>
      </c>
      <c r="J372" s="1" t="n">
        <f aca="false">K371</f>
        <v>149990</v>
      </c>
      <c r="K372" s="1" t="n">
        <f aca="false">J372+L372</f>
        <v>150002</v>
      </c>
      <c r="L372" s="1" t="n">
        <v>12</v>
      </c>
      <c r="M372" s="1" t="n">
        <f aca="false">(E372+M371)-N372</f>
        <v>17.46</v>
      </c>
      <c r="N372" s="1" t="n">
        <v>1.25</v>
      </c>
    </row>
    <row r="373" customFormat="false" ht="15" hidden="false" customHeight="true" outlineLevel="0" collapsed="false">
      <c r="D373" s="5"/>
      <c r="H373" s="1" t="s">
        <v>35</v>
      </c>
      <c r="I373" s="1" t="s">
        <v>34</v>
      </c>
      <c r="J373" s="1" t="n">
        <f aca="false">K372</f>
        <v>150002</v>
      </c>
      <c r="K373" s="1" t="n">
        <f aca="false">J373+L373</f>
        <v>150014</v>
      </c>
      <c r="L373" s="1" t="n">
        <v>12</v>
      </c>
      <c r="M373" s="1" t="n">
        <f aca="false">(E373+M372)-N373</f>
        <v>16.21</v>
      </c>
      <c r="N373" s="1" t="n">
        <v>1.25</v>
      </c>
    </row>
    <row r="374" customFormat="false" ht="15" hidden="false" customHeight="true" outlineLevel="0" collapsed="false">
      <c r="D374" s="5" t="n">
        <v>44693</v>
      </c>
      <c r="H374" s="1" t="s">
        <v>34</v>
      </c>
      <c r="I374" s="1" t="s">
        <v>44</v>
      </c>
      <c r="J374" s="1" t="n">
        <f aca="false">K373</f>
        <v>150014</v>
      </c>
      <c r="K374" s="1" t="n">
        <f aca="false">J374+L374</f>
        <v>150054</v>
      </c>
      <c r="L374" s="1" t="n">
        <v>40</v>
      </c>
      <c r="M374" s="1" t="n">
        <f aca="false">(E374+M373)-N374</f>
        <v>11.41</v>
      </c>
      <c r="N374" s="1" t="n">
        <v>4.8</v>
      </c>
    </row>
    <row r="375" customFormat="false" ht="15" hidden="false" customHeight="true" outlineLevel="0" collapsed="false">
      <c r="D375" s="5"/>
      <c r="H375" s="1" t="s">
        <v>44</v>
      </c>
      <c r="I375" s="1" t="s">
        <v>34</v>
      </c>
      <c r="J375" s="1" t="n">
        <f aca="false">K374</f>
        <v>150054</v>
      </c>
      <c r="K375" s="1" t="n">
        <f aca="false">J375+L375</f>
        <v>150094</v>
      </c>
      <c r="L375" s="1" t="n">
        <v>40</v>
      </c>
      <c r="M375" s="1" t="n">
        <f aca="false">(E375+M374)-N375</f>
        <v>6.60999999999998</v>
      </c>
      <c r="N375" s="1" t="n">
        <v>4.8</v>
      </c>
    </row>
    <row r="376" customFormat="false" ht="15" hidden="false" customHeight="true" outlineLevel="0" collapsed="false">
      <c r="D376" s="5" t="n">
        <v>44694</v>
      </c>
      <c r="H376" s="1" t="s">
        <v>34</v>
      </c>
      <c r="I376" s="1" t="s">
        <v>35</v>
      </c>
      <c r="J376" s="1" t="n">
        <f aca="false">K375</f>
        <v>150094</v>
      </c>
      <c r="K376" s="1" t="n">
        <f aca="false">J376+L376</f>
        <v>150106</v>
      </c>
      <c r="L376" s="1" t="n">
        <v>12</v>
      </c>
      <c r="M376" s="1" t="n">
        <f aca="false">(E376+M375)-N376</f>
        <v>5.35999999999998</v>
      </c>
      <c r="N376" s="1" t="n">
        <v>1.25</v>
      </c>
    </row>
    <row r="377" customFormat="false" ht="15" hidden="false" customHeight="true" outlineLevel="0" collapsed="false">
      <c r="D377" s="5"/>
      <c r="H377" s="1" t="s">
        <v>35</v>
      </c>
      <c r="I377" s="1" t="s">
        <v>34</v>
      </c>
      <c r="J377" s="1" t="n">
        <f aca="false">K376</f>
        <v>150106</v>
      </c>
      <c r="K377" s="1" t="n">
        <f aca="false">J377+L377</f>
        <v>150118</v>
      </c>
      <c r="L377" s="1" t="n">
        <v>12</v>
      </c>
      <c r="M377" s="1" t="n">
        <f aca="false">(E377+M376)-N377</f>
        <v>4.10999999999998</v>
      </c>
      <c r="N377" s="1" t="n">
        <v>1.25</v>
      </c>
    </row>
    <row r="378" customFormat="false" ht="15" hidden="false" customHeight="true" outlineLevel="0" collapsed="false">
      <c r="D378" s="5" t="n">
        <v>44697</v>
      </c>
      <c r="E378" s="0" t="n">
        <v>33.69</v>
      </c>
      <c r="F378" s="1" t="n">
        <v>51.65</v>
      </c>
      <c r="G378" s="6" t="n">
        <f aca="false">E378*F378</f>
        <v>1740.0885</v>
      </c>
      <c r="H378" s="1" t="s">
        <v>34</v>
      </c>
      <c r="I378" s="1" t="s">
        <v>45</v>
      </c>
      <c r="J378" s="1" t="n">
        <f aca="false">K377</f>
        <v>150118</v>
      </c>
      <c r="K378" s="1" t="n">
        <f aca="false">J378+L378</f>
        <v>150145</v>
      </c>
      <c r="L378" s="1" t="n">
        <v>27</v>
      </c>
      <c r="M378" s="1" t="n">
        <f aca="false">(E378+M377)-N378</f>
        <v>34.6</v>
      </c>
      <c r="N378" s="1" t="n">
        <v>3.2</v>
      </c>
    </row>
    <row r="379" customFormat="false" ht="15" hidden="false" customHeight="true" outlineLevel="0" collapsed="false">
      <c r="D379" s="5"/>
      <c r="G379" s="6"/>
      <c r="H379" s="1" t="s">
        <v>45</v>
      </c>
      <c r="I379" s="1" t="s">
        <v>34</v>
      </c>
      <c r="J379" s="1" t="n">
        <f aca="false">K378</f>
        <v>150145</v>
      </c>
      <c r="K379" s="1" t="n">
        <f aca="false">J379+L379</f>
        <v>150172</v>
      </c>
      <c r="L379" s="1" t="n">
        <v>27</v>
      </c>
      <c r="M379" s="1" t="n">
        <f aca="false">(E379+M378)-N379</f>
        <v>31.4</v>
      </c>
      <c r="N379" s="1" t="n">
        <v>3.2</v>
      </c>
    </row>
    <row r="380" customFormat="false" ht="15" hidden="false" customHeight="true" outlineLevel="0" collapsed="false">
      <c r="D380" s="5"/>
      <c r="G380" s="6"/>
      <c r="H380" s="1" t="s">
        <v>34</v>
      </c>
      <c r="I380" s="1" t="s">
        <v>36</v>
      </c>
      <c r="J380" s="1" t="n">
        <f aca="false">K379</f>
        <v>150172</v>
      </c>
      <c r="K380" s="1" t="n">
        <f aca="false">J380+L380</f>
        <v>150187</v>
      </c>
      <c r="L380" s="1" t="n">
        <v>15</v>
      </c>
      <c r="M380" s="1" t="n">
        <f aca="false">(E380+M379)-N380</f>
        <v>29.6</v>
      </c>
      <c r="N380" s="1" t="n">
        <v>1.8</v>
      </c>
    </row>
    <row r="381" customFormat="false" ht="15" hidden="false" customHeight="true" outlineLevel="0" collapsed="false">
      <c r="D381" s="5"/>
      <c r="G381" s="6"/>
      <c r="H381" s="1" t="s">
        <v>36</v>
      </c>
      <c r="I381" s="1" t="s">
        <v>34</v>
      </c>
      <c r="J381" s="1" t="n">
        <f aca="false">K380</f>
        <v>150187</v>
      </c>
      <c r="K381" s="1" t="n">
        <f aca="false">J381+L381</f>
        <v>150202</v>
      </c>
      <c r="L381" s="1" t="n">
        <v>15</v>
      </c>
      <c r="M381" s="1" t="n">
        <f aca="false">(E381+M380)-N381</f>
        <v>27.8</v>
      </c>
      <c r="N381" s="1" t="n">
        <v>1.8</v>
      </c>
    </row>
    <row r="382" customFormat="false" ht="15" hidden="false" customHeight="true" outlineLevel="0" collapsed="false">
      <c r="D382" s="5" t="n">
        <v>44698</v>
      </c>
      <c r="H382" s="1" t="s">
        <v>34</v>
      </c>
      <c r="I382" s="1" t="s">
        <v>37</v>
      </c>
      <c r="J382" s="1" t="n">
        <f aca="false">K381</f>
        <v>150202</v>
      </c>
      <c r="K382" s="1" t="n">
        <f aca="false">J382+L382</f>
        <v>150242</v>
      </c>
      <c r="L382" s="1" t="n">
        <v>40</v>
      </c>
      <c r="M382" s="1" t="n">
        <f aca="false">(E382+M381)-N382</f>
        <v>23</v>
      </c>
      <c r="N382" s="1" t="n">
        <v>4.8</v>
      </c>
    </row>
    <row r="383" customFormat="false" ht="15" hidden="false" customHeight="true" outlineLevel="0" collapsed="false">
      <c r="D383" s="5"/>
      <c r="H383" s="1" t="s">
        <v>37</v>
      </c>
      <c r="I383" s="1" t="s">
        <v>34</v>
      </c>
      <c r="J383" s="1" t="n">
        <f aca="false">K382</f>
        <v>150242</v>
      </c>
      <c r="K383" s="1" t="n">
        <f aca="false">J383+L383</f>
        <v>150282</v>
      </c>
      <c r="L383" s="1" t="n">
        <v>40</v>
      </c>
      <c r="M383" s="1" t="n">
        <f aca="false">(E383+M382)-N383</f>
        <v>18.2</v>
      </c>
      <c r="N383" s="1" t="n">
        <v>4.8</v>
      </c>
    </row>
    <row r="384" customFormat="false" ht="15" hidden="false" customHeight="true" outlineLevel="0" collapsed="false">
      <c r="D384" s="5"/>
      <c r="H384" s="1" t="s">
        <v>34</v>
      </c>
      <c r="I384" s="1" t="s">
        <v>39</v>
      </c>
      <c r="J384" s="1" t="n">
        <f aca="false">K383</f>
        <v>150282</v>
      </c>
      <c r="K384" s="1" t="n">
        <f aca="false">J384+L384</f>
        <v>150332</v>
      </c>
      <c r="L384" s="1" t="n">
        <v>50</v>
      </c>
      <c r="M384" s="1" t="n">
        <f aca="false">(E384+M383)-N384</f>
        <v>12.7</v>
      </c>
      <c r="N384" s="1" t="n">
        <v>5.5</v>
      </c>
    </row>
    <row r="385" customFormat="false" ht="15" hidden="false" customHeight="true" outlineLevel="0" collapsed="false">
      <c r="D385" s="5"/>
      <c r="H385" s="1" t="s">
        <v>39</v>
      </c>
      <c r="I385" s="1" t="s">
        <v>34</v>
      </c>
      <c r="J385" s="1" t="n">
        <f aca="false">K384</f>
        <v>150332</v>
      </c>
      <c r="K385" s="1" t="n">
        <f aca="false">J385+L385</f>
        <v>150382</v>
      </c>
      <c r="L385" s="1" t="n">
        <v>50</v>
      </c>
      <c r="M385" s="1" t="n">
        <f aca="false">(E385+M384)-N385</f>
        <v>7.19999999999997</v>
      </c>
      <c r="N385" s="1" t="n">
        <v>5.5</v>
      </c>
    </row>
    <row r="386" customFormat="false" ht="15" hidden="false" customHeight="true" outlineLevel="0" collapsed="false">
      <c r="D386" s="5" t="n">
        <v>44699</v>
      </c>
      <c r="E386" s="0" t="n">
        <v>33.58</v>
      </c>
      <c r="F386" s="1" t="n">
        <v>51.35</v>
      </c>
      <c r="G386" s="6" t="n">
        <f aca="false">E386*F386</f>
        <v>1724.333</v>
      </c>
      <c r="H386" s="1" t="s">
        <v>34</v>
      </c>
      <c r="I386" s="1" t="s">
        <v>36</v>
      </c>
      <c r="J386" s="1" t="n">
        <f aca="false">K385</f>
        <v>150382</v>
      </c>
      <c r="K386" s="1" t="n">
        <f aca="false">J386+L386</f>
        <v>150397</v>
      </c>
      <c r="L386" s="1" t="n">
        <v>15</v>
      </c>
      <c r="M386" s="1" t="n">
        <f aca="false">(E386+M385)-N386</f>
        <v>38.98</v>
      </c>
      <c r="N386" s="1" t="n">
        <v>1.8</v>
      </c>
    </row>
    <row r="387" customFormat="false" ht="15" hidden="false" customHeight="true" outlineLevel="0" collapsed="false">
      <c r="D387" s="5"/>
      <c r="G387" s="6"/>
      <c r="H387" s="1" t="s">
        <v>36</v>
      </c>
      <c r="I387" s="1" t="s">
        <v>34</v>
      </c>
      <c r="J387" s="1" t="n">
        <f aca="false">K386</f>
        <v>150397</v>
      </c>
      <c r="K387" s="1" t="n">
        <f aca="false">J387+L387</f>
        <v>150412</v>
      </c>
      <c r="L387" s="1" t="n">
        <v>15</v>
      </c>
      <c r="M387" s="1" t="n">
        <f aca="false">(E387+M386)-N387</f>
        <v>37.18</v>
      </c>
      <c r="N387" s="1" t="n">
        <v>1.8</v>
      </c>
    </row>
    <row r="388" customFormat="false" ht="15" hidden="false" customHeight="true" outlineLevel="0" collapsed="false">
      <c r="D388" s="5"/>
      <c r="G388" s="6"/>
      <c r="H388" s="1" t="s">
        <v>34</v>
      </c>
      <c r="I388" s="1" t="s">
        <v>35</v>
      </c>
      <c r="J388" s="1" t="n">
        <f aca="false">K387</f>
        <v>150412</v>
      </c>
      <c r="K388" s="1" t="n">
        <f aca="false">J388+L388</f>
        <v>150424</v>
      </c>
      <c r="L388" s="1" t="n">
        <v>12</v>
      </c>
      <c r="M388" s="1" t="n">
        <f aca="false">(E388+M387)-N388</f>
        <v>35.93</v>
      </c>
      <c r="N388" s="1" t="n">
        <v>1.25</v>
      </c>
    </row>
    <row r="389" customFormat="false" ht="15" hidden="false" customHeight="true" outlineLevel="0" collapsed="false">
      <c r="D389" s="5"/>
      <c r="G389" s="6"/>
      <c r="H389" s="1" t="s">
        <v>35</v>
      </c>
      <c r="I389" s="1" t="s">
        <v>34</v>
      </c>
      <c r="J389" s="1" t="n">
        <f aca="false">K388</f>
        <v>150424</v>
      </c>
      <c r="K389" s="1" t="n">
        <f aca="false">J389+L389</f>
        <v>150436</v>
      </c>
      <c r="L389" s="1" t="n">
        <v>12</v>
      </c>
      <c r="M389" s="1" t="n">
        <f aca="false">(E389+M388)-N389</f>
        <v>34.68</v>
      </c>
      <c r="N389" s="1" t="n">
        <v>1.25</v>
      </c>
    </row>
    <row r="390" customFormat="false" ht="15" hidden="false" customHeight="true" outlineLevel="0" collapsed="false">
      <c r="D390" s="5" t="n">
        <v>44700</v>
      </c>
      <c r="H390" s="1" t="s">
        <v>34</v>
      </c>
      <c r="I390" s="1" t="s">
        <v>37</v>
      </c>
      <c r="J390" s="1" t="n">
        <f aca="false">K389</f>
        <v>150436</v>
      </c>
      <c r="K390" s="1" t="n">
        <f aca="false">J390+L390</f>
        <v>150476</v>
      </c>
      <c r="L390" s="1" t="n">
        <v>40</v>
      </c>
      <c r="M390" s="1" t="n">
        <f aca="false">(E390+M389)-N390</f>
        <v>29.88</v>
      </c>
      <c r="N390" s="1" t="n">
        <v>4.8</v>
      </c>
    </row>
    <row r="391" customFormat="false" ht="15" hidden="false" customHeight="true" outlineLevel="0" collapsed="false">
      <c r="D391" s="5"/>
      <c r="H391" s="1" t="s">
        <v>37</v>
      </c>
      <c r="I391" s="1" t="s">
        <v>34</v>
      </c>
      <c r="J391" s="1" t="n">
        <f aca="false">K390</f>
        <v>150476</v>
      </c>
      <c r="K391" s="1" t="n">
        <f aca="false">J391+L391</f>
        <v>150516</v>
      </c>
      <c r="L391" s="1" t="n">
        <v>40</v>
      </c>
      <c r="M391" s="1" t="n">
        <f aca="false">(E391+M390)-N391</f>
        <v>25.08</v>
      </c>
      <c r="N391" s="1" t="n">
        <v>4.8</v>
      </c>
    </row>
    <row r="392" customFormat="false" ht="15" hidden="false" customHeight="true" outlineLevel="0" collapsed="false">
      <c r="D392" s="5"/>
      <c r="H392" s="1" t="s">
        <v>34</v>
      </c>
      <c r="I392" s="1" t="s">
        <v>24</v>
      </c>
      <c r="J392" s="1" t="n">
        <f aca="false">K391</f>
        <v>150516</v>
      </c>
      <c r="K392" s="1" t="n">
        <f aca="false">J392+L392</f>
        <v>150530</v>
      </c>
      <c r="L392" s="1" t="n">
        <v>14</v>
      </c>
      <c r="M392" s="1" t="n">
        <f aca="false">(E392+M391)-N392</f>
        <v>23.58</v>
      </c>
      <c r="N392" s="1" t="n">
        <v>1.5</v>
      </c>
    </row>
    <row r="393" customFormat="false" ht="15" hidden="false" customHeight="true" outlineLevel="0" collapsed="false">
      <c r="D393" s="5"/>
      <c r="H393" s="1" t="s">
        <v>24</v>
      </c>
      <c r="I393" s="1" t="s">
        <v>34</v>
      </c>
      <c r="J393" s="1" t="n">
        <f aca="false">K392</f>
        <v>150530</v>
      </c>
      <c r="K393" s="1" t="n">
        <f aca="false">J393+L393</f>
        <v>150544</v>
      </c>
      <c r="L393" s="1" t="n">
        <v>14</v>
      </c>
      <c r="M393" s="1" t="n">
        <f aca="false">(E393+M392)-N393</f>
        <v>22.08</v>
      </c>
      <c r="N393" s="1" t="n">
        <v>1.5</v>
      </c>
    </row>
    <row r="394" customFormat="false" ht="15" hidden="false" customHeight="true" outlineLevel="0" collapsed="false">
      <c r="D394" s="5" t="n">
        <v>44701</v>
      </c>
      <c r="H394" s="1" t="s">
        <v>34</v>
      </c>
      <c r="I394" s="1" t="s">
        <v>29</v>
      </c>
      <c r="J394" s="1" t="n">
        <f aca="false">K393</f>
        <v>150544</v>
      </c>
      <c r="K394" s="1" t="n">
        <f aca="false">J394+L394</f>
        <v>150593</v>
      </c>
      <c r="L394" s="1" t="n">
        <v>49</v>
      </c>
      <c r="M394" s="1" t="n">
        <f aca="false">(E394+M393)-N394</f>
        <v>16.28</v>
      </c>
      <c r="N394" s="1" t="n">
        <v>5.8</v>
      </c>
    </row>
    <row r="395" customFormat="false" ht="15" hidden="false" customHeight="true" outlineLevel="0" collapsed="false">
      <c r="D395" s="5"/>
      <c r="H395" s="1" t="s">
        <v>29</v>
      </c>
      <c r="I395" s="1" t="s">
        <v>34</v>
      </c>
      <c r="J395" s="1" t="n">
        <f aca="false">K394</f>
        <v>150593</v>
      </c>
      <c r="K395" s="1" t="n">
        <f aca="false">J395+L395</f>
        <v>150642</v>
      </c>
      <c r="L395" s="1" t="n">
        <v>49</v>
      </c>
      <c r="M395" s="1" t="n">
        <f aca="false">(E395+M394)-N395</f>
        <v>10.48</v>
      </c>
      <c r="N395" s="1" t="n">
        <v>5.8</v>
      </c>
    </row>
    <row r="396" customFormat="false" ht="15" hidden="false" customHeight="true" outlineLevel="0" collapsed="false">
      <c r="D396" s="5"/>
      <c r="H396" s="1" t="s">
        <v>34</v>
      </c>
      <c r="I396" s="1" t="s">
        <v>36</v>
      </c>
      <c r="J396" s="1" t="n">
        <f aca="false">K395</f>
        <v>150642</v>
      </c>
      <c r="K396" s="1" t="n">
        <f aca="false">J396+L396</f>
        <v>150657</v>
      </c>
      <c r="L396" s="1" t="n">
        <v>15</v>
      </c>
      <c r="M396" s="1" t="n">
        <f aca="false">(E396+M395)-N396</f>
        <v>8.67999999999998</v>
      </c>
      <c r="N396" s="1" t="n">
        <v>1.8</v>
      </c>
    </row>
    <row r="397" customFormat="false" ht="15" hidden="false" customHeight="true" outlineLevel="0" collapsed="false">
      <c r="D397" s="5"/>
      <c r="H397" s="1" t="s">
        <v>36</v>
      </c>
      <c r="I397" s="1" t="s">
        <v>34</v>
      </c>
      <c r="J397" s="1" t="n">
        <f aca="false">K396</f>
        <v>150657</v>
      </c>
      <c r="K397" s="1" t="n">
        <f aca="false">J397+L397</f>
        <v>150672</v>
      </c>
      <c r="L397" s="1" t="n">
        <v>15</v>
      </c>
      <c r="M397" s="1" t="n">
        <f aca="false">(E397+M396)-N397</f>
        <v>6.87999999999998</v>
      </c>
      <c r="N397" s="1" t="n">
        <v>1.8</v>
      </c>
    </row>
    <row r="398" customFormat="false" ht="15" hidden="false" customHeight="true" outlineLevel="0" collapsed="false">
      <c r="D398" s="5" t="n">
        <v>44704</v>
      </c>
      <c r="E398" s="0" t="n">
        <v>30.71</v>
      </c>
      <c r="F398" s="1" t="n">
        <v>51.9</v>
      </c>
      <c r="G398" s="6" t="n">
        <f aca="false">E398*F398</f>
        <v>1593.849</v>
      </c>
      <c r="H398" s="1" t="s">
        <v>34</v>
      </c>
      <c r="I398" s="1" t="s">
        <v>43</v>
      </c>
      <c r="J398" s="1" t="n">
        <f aca="false">K397</f>
        <v>150672</v>
      </c>
      <c r="K398" s="1" t="n">
        <f aca="false">J398+L398</f>
        <v>150684</v>
      </c>
      <c r="L398" s="1" t="n">
        <v>12</v>
      </c>
      <c r="M398" s="1" t="n">
        <f aca="false">(E398+M397)-N398</f>
        <v>36.34</v>
      </c>
      <c r="N398" s="1" t="n">
        <v>1.25</v>
      </c>
    </row>
    <row r="399" customFormat="false" ht="15" hidden="false" customHeight="true" outlineLevel="0" collapsed="false">
      <c r="D399" s="5"/>
      <c r="G399" s="6"/>
      <c r="H399" s="1" t="s">
        <v>43</v>
      </c>
      <c r="I399" s="1" t="s">
        <v>34</v>
      </c>
      <c r="J399" s="1" t="n">
        <f aca="false">K398</f>
        <v>150684</v>
      </c>
      <c r="K399" s="1" t="n">
        <f aca="false">J399+L399</f>
        <v>150696</v>
      </c>
      <c r="L399" s="1" t="n">
        <v>12</v>
      </c>
      <c r="M399" s="1" t="n">
        <f aca="false">(E399+M398)-N399</f>
        <v>35.09</v>
      </c>
      <c r="N399" s="1" t="n">
        <v>1.25</v>
      </c>
    </row>
    <row r="400" customFormat="false" ht="15" hidden="false" customHeight="true" outlineLevel="0" collapsed="false">
      <c r="D400" s="5"/>
      <c r="G400" s="6"/>
      <c r="H400" s="1" t="s">
        <v>34</v>
      </c>
      <c r="I400" s="1" t="s">
        <v>36</v>
      </c>
      <c r="J400" s="1" t="n">
        <f aca="false">K399</f>
        <v>150696</v>
      </c>
      <c r="K400" s="1" t="n">
        <f aca="false">J400+L400</f>
        <v>150711</v>
      </c>
      <c r="L400" s="1" t="n">
        <v>15</v>
      </c>
      <c r="M400" s="1" t="n">
        <f aca="false">(E400+M399)-N400</f>
        <v>33.29</v>
      </c>
      <c r="N400" s="1" t="n">
        <v>1.8</v>
      </c>
    </row>
    <row r="401" customFormat="false" ht="15" hidden="false" customHeight="true" outlineLevel="0" collapsed="false">
      <c r="D401" s="5"/>
      <c r="G401" s="6"/>
      <c r="H401" s="1" t="s">
        <v>36</v>
      </c>
      <c r="I401" s="1" t="s">
        <v>34</v>
      </c>
      <c r="J401" s="1" t="n">
        <f aca="false">K400</f>
        <v>150711</v>
      </c>
      <c r="K401" s="1" t="n">
        <f aca="false">J401+L401</f>
        <v>150726</v>
      </c>
      <c r="L401" s="1" t="n">
        <v>15</v>
      </c>
      <c r="M401" s="1" t="n">
        <f aca="false">(E401+M400)-N401</f>
        <v>31.49</v>
      </c>
      <c r="N401" s="1" t="n">
        <v>1.8</v>
      </c>
    </row>
    <row r="402" customFormat="false" ht="15" hidden="false" customHeight="true" outlineLevel="0" collapsed="false">
      <c r="D402" s="5" t="n">
        <v>44705</v>
      </c>
      <c r="H402" s="1" t="s">
        <v>34</v>
      </c>
      <c r="I402" s="1" t="s">
        <v>39</v>
      </c>
      <c r="J402" s="1" t="n">
        <f aca="false">K401</f>
        <v>150726</v>
      </c>
      <c r="K402" s="1" t="n">
        <f aca="false">J402+L402</f>
        <v>150776</v>
      </c>
      <c r="L402" s="1" t="n">
        <v>50</v>
      </c>
      <c r="M402" s="1" t="n">
        <f aca="false">(E402+M401)-N402</f>
        <v>25.99</v>
      </c>
      <c r="N402" s="1" t="n">
        <v>5.5</v>
      </c>
    </row>
    <row r="403" customFormat="false" ht="15" hidden="false" customHeight="true" outlineLevel="0" collapsed="false">
      <c r="D403" s="5"/>
      <c r="H403" s="1" t="s">
        <v>39</v>
      </c>
      <c r="I403" s="1" t="s">
        <v>34</v>
      </c>
      <c r="J403" s="1" t="n">
        <f aca="false">K402</f>
        <v>150776</v>
      </c>
      <c r="K403" s="1" t="n">
        <f aca="false">J403+L403</f>
        <v>150826</v>
      </c>
      <c r="L403" s="1" t="n">
        <v>50</v>
      </c>
      <c r="M403" s="1" t="n">
        <f aca="false">(E403+M402)-N403</f>
        <v>20.49</v>
      </c>
      <c r="N403" s="1" t="n">
        <v>5.5</v>
      </c>
    </row>
    <row r="404" customFormat="false" ht="15" hidden="false" customHeight="true" outlineLevel="0" collapsed="false">
      <c r="D404" s="5"/>
      <c r="H404" s="1" t="s">
        <v>34</v>
      </c>
      <c r="I404" s="1" t="s">
        <v>24</v>
      </c>
      <c r="J404" s="1" t="n">
        <f aca="false">K403</f>
        <v>150826</v>
      </c>
      <c r="K404" s="1" t="n">
        <f aca="false">J404+L404</f>
        <v>150840</v>
      </c>
      <c r="L404" s="1" t="n">
        <v>14</v>
      </c>
      <c r="M404" s="1" t="n">
        <f aca="false">(E404+M403)-N404</f>
        <v>18.99</v>
      </c>
      <c r="N404" s="1" t="n">
        <v>1.5</v>
      </c>
    </row>
    <row r="405" customFormat="false" ht="15" hidden="false" customHeight="true" outlineLevel="0" collapsed="false">
      <c r="D405" s="5"/>
      <c r="H405" s="1" t="s">
        <v>24</v>
      </c>
      <c r="I405" s="1" t="s">
        <v>34</v>
      </c>
      <c r="J405" s="1" t="n">
        <f aca="false">K404</f>
        <v>150840</v>
      </c>
      <c r="K405" s="1" t="n">
        <f aca="false">J405+L405</f>
        <v>150854</v>
      </c>
      <c r="L405" s="1" t="n">
        <v>14</v>
      </c>
      <c r="M405" s="1" t="n">
        <f aca="false">(E405+M404)-N405</f>
        <v>17.49</v>
      </c>
      <c r="N405" s="1" t="n">
        <v>1.5</v>
      </c>
    </row>
    <row r="406" customFormat="false" ht="15" hidden="false" customHeight="true" outlineLevel="0" collapsed="false">
      <c r="D406" s="5" t="n">
        <v>44706</v>
      </c>
      <c r="H406" s="1" t="s">
        <v>34</v>
      </c>
      <c r="I406" s="1" t="s">
        <v>37</v>
      </c>
      <c r="J406" s="1" t="n">
        <f aca="false">K405</f>
        <v>150854</v>
      </c>
      <c r="K406" s="1" t="n">
        <f aca="false">J406+L406</f>
        <v>150894</v>
      </c>
      <c r="L406" s="1" t="n">
        <v>40</v>
      </c>
      <c r="M406" s="1" t="n">
        <f aca="false">(E406+M405)-N406</f>
        <v>12.69</v>
      </c>
      <c r="N406" s="1" t="n">
        <v>4.8</v>
      </c>
    </row>
    <row r="407" customFormat="false" ht="15" hidden="false" customHeight="true" outlineLevel="0" collapsed="false">
      <c r="D407" s="5"/>
      <c r="H407" s="1" t="s">
        <v>37</v>
      </c>
      <c r="I407" s="1" t="s">
        <v>34</v>
      </c>
      <c r="J407" s="1" t="n">
        <f aca="false">K406</f>
        <v>150894</v>
      </c>
      <c r="K407" s="1" t="n">
        <f aca="false">J407+L407</f>
        <v>150934</v>
      </c>
      <c r="L407" s="1" t="n">
        <v>40</v>
      </c>
      <c r="M407" s="1" t="n">
        <f aca="false">(E407+M406)-N407</f>
        <v>7.88999999999998</v>
      </c>
      <c r="N407" s="1" t="n">
        <v>4.8</v>
      </c>
    </row>
    <row r="408" customFormat="false" ht="15" hidden="false" customHeight="true" outlineLevel="0" collapsed="false">
      <c r="D408" s="5" t="n">
        <v>44707</v>
      </c>
      <c r="E408" s="0" t="n">
        <v>29.53</v>
      </c>
      <c r="F408" s="1" t="n">
        <v>51.9</v>
      </c>
      <c r="G408" s="6" t="n">
        <f aca="false">E408*F408</f>
        <v>1532.607</v>
      </c>
      <c r="H408" s="1" t="s">
        <v>34</v>
      </c>
      <c r="I408" s="1" t="s">
        <v>39</v>
      </c>
      <c r="J408" s="1" t="n">
        <f aca="false">K407</f>
        <v>150934</v>
      </c>
      <c r="K408" s="1" t="n">
        <f aca="false">J408+L408</f>
        <v>150984</v>
      </c>
      <c r="L408" s="1" t="n">
        <v>50</v>
      </c>
      <c r="M408" s="1" t="n">
        <f aca="false">(E408+M407)-N408</f>
        <v>31.92</v>
      </c>
      <c r="N408" s="1" t="n">
        <v>5.5</v>
      </c>
    </row>
    <row r="409" customFormat="false" ht="15" hidden="false" customHeight="true" outlineLevel="0" collapsed="false">
      <c r="D409" s="5"/>
      <c r="G409" s="6"/>
      <c r="H409" s="1" t="s">
        <v>39</v>
      </c>
      <c r="I409" s="1" t="s">
        <v>34</v>
      </c>
      <c r="J409" s="1" t="n">
        <f aca="false">K408</f>
        <v>150984</v>
      </c>
      <c r="K409" s="1" t="n">
        <f aca="false">J409+L409</f>
        <v>151034</v>
      </c>
      <c r="L409" s="1" t="n">
        <v>50</v>
      </c>
      <c r="M409" s="1" t="n">
        <f aca="false">(E409+M408)-N409</f>
        <v>26.42</v>
      </c>
      <c r="N409" s="1" t="n">
        <v>5.5</v>
      </c>
    </row>
    <row r="410" customFormat="false" ht="15" hidden="false" customHeight="true" outlineLevel="0" collapsed="false">
      <c r="D410" s="5" t="n">
        <v>44708</v>
      </c>
      <c r="H410" s="1" t="s">
        <v>34</v>
      </c>
      <c r="I410" s="1" t="s">
        <v>43</v>
      </c>
      <c r="J410" s="1" t="n">
        <f aca="false">K409</f>
        <v>151034</v>
      </c>
      <c r="K410" s="1" t="n">
        <f aca="false">J410+L410</f>
        <v>151046</v>
      </c>
      <c r="L410" s="1" t="n">
        <v>12</v>
      </c>
      <c r="M410" s="1" t="n">
        <f aca="false">(E410+M409)-N410</f>
        <v>25.17</v>
      </c>
      <c r="N410" s="1" t="n">
        <v>1.25</v>
      </c>
    </row>
    <row r="411" customFormat="false" ht="15" hidden="false" customHeight="true" outlineLevel="0" collapsed="false">
      <c r="D411" s="5"/>
      <c r="H411" s="1" t="s">
        <v>43</v>
      </c>
      <c r="I411" s="1" t="s">
        <v>34</v>
      </c>
      <c r="J411" s="1" t="n">
        <f aca="false">K410</f>
        <v>151046</v>
      </c>
      <c r="K411" s="1" t="n">
        <f aca="false">J411+L411</f>
        <v>151058</v>
      </c>
      <c r="L411" s="1" t="n">
        <v>12</v>
      </c>
      <c r="M411" s="1" t="n">
        <f aca="false">(E411+M410)-N411</f>
        <v>23.92</v>
      </c>
      <c r="N411" s="1" t="n">
        <v>1.25</v>
      </c>
    </row>
    <row r="412" customFormat="false" ht="15" hidden="false" customHeight="true" outlineLevel="0" collapsed="false">
      <c r="D412" s="5"/>
      <c r="H412" s="1" t="s">
        <v>34</v>
      </c>
      <c r="I412" s="1" t="s">
        <v>37</v>
      </c>
      <c r="J412" s="1" t="n">
        <f aca="false">K411</f>
        <v>151058</v>
      </c>
      <c r="K412" s="1" t="n">
        <f aca="false">J412+L412</f>
        <v>151098</v>
      </c>
      <c r="L412" s="1" t="n">
        <v>40</v>
      </c>
      <c r="M412" s="1" t="n">
        <f aca="false">(E412+M411)-N412</f>
        <v>19.12</v>
      </c>
      <c r="N412" s="1" t="n">
        <v>4.8</v>
      </c>
    </row>
    <row r="413" customFormat="false" ht="15" hidden="false" customHeight="true" outlineLevel="0" collapsed="false">
      <c r="D413" s="5"/>
      <c r="H413" s="1" t="s">
        <v>37</v>
      </c>
      <c r="I413" s="1" t="s">
        <v>34</v>
      </c>
      <c r="J413" s="1" t="n">
        <f aca="false">K412</f>
        <v>151098</v>
      </c>
      <c r="K413" s="1" t="n">
        <f aca="false">J413+L413</f>
        <v>151138</v>
      </c>
      <c r="L413" s="1" t="n">
        <v>40</v>
      </c>
      <c r="M413" s="1" t="n">
        <f aca="false">(E413+M412)-N413</f>
        <v>14.32</v>
      </c>
      <c r="N413" s="1" t="n">
        <v>4.8</v>
      </c>
    </row>
    <row r="414" customFormat="false" ht="15" hidden="false" customHeight="true" outlineLevel="0" collapsed="false">
      <c r="D414" s="5" t="n">
        <v>44711</v>
      </c>
      <c r="E414" s="0" t="n">
        <v>29.39</v>
      </c>
      <c r="F414" s="1" t="n">
        <v>51.6</v>
      </c>
      <c r="G414" s="6" t="n">
        <f aca="false">E414*F414</f>
        <v>1516.524</v>
      </c>
      <c r="H414" s="1" t="s">
        <v>34</v>
      </c>
      <c r="I414" s="1" t="s">
        <v>36</v>
      </c>
      <c r="J414" s="1" t="n">
        <f aca="false">K413</f>
        <v>151138</v>
      </c>
      <c r="K414" s="1" t="n">
        <f aca="false">J414+L414</f>
        <v>151153</v>
      </c>
      <c r="L414" s="1" t="n">
        <v>15</v>
      </c>
      <c r="M414" s="1" t="n">
        <f aca="false">(E414+M413)-N414</f>
        <v>41.91</v>
      </c>
      <c r="N414" s="1" t="n">
        <v>1.8</v>
      </c>
    </row>
    <row r="415" customFormat="false" ht="15" hidden="false" customHeight="true" outlineLevel="0" collapsed="false">
      <c r="D415" s="5"/>
      <c r="G415" s="6"/>
      <c r="H415" s="1" t="s">
        <v>36</v>
      </c>
      <c r="I415" s="1" t="s">
        <v>34</v>
      </c>
      <c r="J415" s="1" t="n">
        <f aca="false">K414</f>
        <v>151153</v>
      </c>
      <c r="K415" s="1" t="n">
        <f aca="false">J415+L415</f>
        <v>151168</v>
      </c>
      <c r="L415" s="1" t="n">
        <v>15</v>
      </c>
      <c r="M415" s="1" t="n">
        <f aca="false">(E415+M414)-N415</f>
        <v>40.11</v>
      </c>
      <c r="N415" s="1" t="n">
        <v>1.8</v>
      </c>
    </row>
    <row r="416" customFormat="false" ht="15" hidden="false" customHeight="true" outlineLevel="0" collapsed="false">
      <c r="D416" s="5"/>
      <c r="G416" s="6"/>
      <c r="H416" s="1" t="s">
        <v>34</v>
      </c>
      <c r="I416" s="1" t="s">
        <v>45</v>
      </c>
      <c r="J416" s="1" t="n">
        <f aca="false">K415</f>
        <v>151168</v>
      </c>
      <c r="K416" s="1" t="n">
        <f aca="false">J416+L416</f>
        <v>151195</v>
      </c>
      <c r="L416" s="1" t="n">
        <v>27</v>
      </c>
      <c r="M416" s="1" t="n">
        <f aca="false">(E416+M415)-N416</f>
        <v>36.91</v>
      </c>
      <c r="N416" s="1" t="n">
        <v>3.2</v>
      </c>
    </row>
    <row r="417" customFormat="false" ht="15" hidden="false" customHeight="true" outlineLevel="0" collapsed="false">
      <c r="D417" s="5"/>
      <c r="G417" s="6"/>
      <c r="H417" s="1" t="s">
        <v>45</v>
      </c>
      <c r="I417" s="1" t="s">
        <v>34</v>
      </c>
      <c r="J417" s="1" t="n">
        <f aca="false">K416</f>
        <v>151195</v>
      </c>
      <c r="K417" s="1" t="n">
        <f aca="false">J417+L417</f>
        <v>151222</v>
      </c>
      <c r="L417" s="1" t="n">
        <v>27</v>
      </c>
      <c r="M417" s="1" t="n">
        <f aca="false">(E417+M416)-N417</f>
        <v>33.71</v>
      </c>
      <c r="N417" s="1" t="n">
        <v>3.2</v>
      </c>
    </row>
    <row r="418" customFormat="false" ht="15" hidden="false" customHeight="true" outlineLevel="0" collapsed="false">
      <c r="D418" s="5" t="n">
        <v>44712</v>
      </c>
      <c r="H418" s="1" t="s">
        <v>34</v>
      </c>
      <c r="I418" s="1" t="s">
        <v>36</v>
      </c>
      <c r="J418" s="1" t="n">
        <f aca="false">K417</f>
        <v>151222</v>
      </c>
      <c r="K418" s="1" t="n">
        <f aca="false">J418+L418</f>
        <v>151237</v>
      </c>
      <c r="L418" s="1" t="n">
        <v>15</v>
      </c>
      <c r="M418" s="1" t="n">
        <f aca="false">(E418+M417)-N418</f>
        <v>31.91</v>
      </c>
      <c r="N418" s="1" t="n">
        <v>1.8</v>
      </c>
    </row>
    <row r="419" customFormat="false" ht="15" hidden="false" customHeight="true" outlineLevel="0" collapsed="false">
      <c r="D419" s="5"/>
      <c r="H419" s="1" t="s">
        <v>36</v>
      </c>
      <c r="I419" s="1" t="s">
        <v>34</v>
      </c>
      <c r="J419" s="1" t="n">
        <f aca="false">K418</f>
        <v>151237</v>
      </c>
      <c r="K419" s="1" t="n">
        <f aca="false">J419+L419</f>
        <v>151252</v>
      </c>
      <c r="L419" s="1" t="n">
        <v>15</v>
      </c>
      <c r="M419" s="1" t="n">
        <f aca="false">(E419+M418)-N419</f>
        <v>30.11</v>
      </c>
      <c r="N419" s="1" t="n">
        <v>1.8</v>
      </c>
    </row>
    <row r="420" customFormat="false" ht="15" hidden="false" customHeight="true" outlineLevel="0" collapsed="false">
      <c r="D420" s="5"/>
      <c r="H420" s="1" t="s">
        <v>34</v>
      </c>
      <c r="I420" s="1" t="s">
        <v>44</v>
      </c>
      <c r="J420" s="1" t="n">
        <f aca="false">K419</f>
        <v>151252</v>
      </c>
      <c r="K420" s="1" t="n">
        <f aca="false">J420+L420</f>
        <v>151292</v>
      </c>
      <c r="L420" s="1" t="n">
        <v>40</v>
      </c>
      <c r="M420" s="1" t="n">
        <f aca="false">(E420+M419)-N420</f>
        <v>25.31</v>
      </c>
      <c r="N420" s="1" t="n">
        <v>4.8</v>
      </c>
    </row>
    <row r="421" customFormat="false" ht="15" hidden="false" customHeight="true" outlineLevel="0" collapsed="false">
      <c r="D421" s="5"/>
      <c r="H421" s="1" t="s">
        <v>44</v>
      </c>
      <c r="I421" s="1" t="s">
        <v>34</v>
      </c>
      <c r="J421" s="1" t="n">
        <f aca="false">K420</f>
        <v>151292</v>
      </c>
      <c r="K421" s="1" t="n">
        <f aca="false">J421+L421</f>
        <v>151332</v>
      </c>
      <c r="L421" s="1" t="n">
        <v>40</v>
      </c>
      <c r="M421" s="1" t="n">
        <f aca="false">(E421+M420)-N421</f>
        <v>20.51</v>
      </c>
      <c r="N421" s="1" t="n">
        <v>4.8</v>
      </c>
    </row>
    <row r="422" customFormat="false" ht="15" hidden="false" customHeight="true" outlineLevel="0" collapsed="false">
      <c r="D422" s="5"/>
    </row>
    <row r="423" customFormat="false" ht="15" hidden="false" customHeight="true" outlineLevel="0" collapsed="false">
      <c r="D423" s="4" t="s">
        <v>46</v>
      </c>
      <c r="E423" s="4"/>
      <c r="F423" s="4"/>
      <c r="G423" s="4"/>
    </row>
    <row r="424" customFormat="false" ht="15" hidden="false" customHeight="true" outlineLevel="0" collapsed="false">
      <c r="D424" s="5" t="n">
        <v>44713</v>
      </c>
      <c r="H424" s="1" t="s">
        <v>34</v>
      </c>
      <c r="I424" s="1" t="s">
        <v>36</v>
      </c>
      <c r="J424" s="1" t="n">
        <f aca="false">K421</f>
        <v>151332</v>
      </c>
      <c r="K424" s="1" t="n">
        <f aca="false">J424+L424</f>
        <v>151347</v>
      </c>
      <c r="L424" s="1" t="n">
        <v>15</v>
      </c>
      <c r="M424" s="1" t="n">
        <f aca="false">(E424+M421)-N424</f>
        <v>18.71</v>
      </c>
      <c r="N424" s="1" t="n">
        <v>1.8</v>
      </c>
    </row>
    <row r="425" customFormat="false" ht="15" hidden="false" customHeight="true" outlineLevel="0" collapsed="false">
      <c r="D425" s="5"/>
      <c r="H425" s="1" t="s">
        <v>36</v>
      </c>
      <c r="I425" s="1" t="s">
        <v>34</v>
      </c>
      <c r="J425" s="1" t="n">
        <f aca="false">K424</f>
        <v>151347</v>
      </c>
      <c r="K425" s="1" t="n">
        <f aca="false">J425+L425</f>
        <v>151362</v>
      </c>
      <c r="L425" s="1" t="n">
        <v>15</v>
      </c>
      <c r="M425" s="1" t="n">
        <f aca="false">(E425+M424)-N425</f>
        <v>16.91</v>
      </c>
      <c r="N425" s="1" t="n">
        <v>1.8</v>
      </c>
    </row>
    <row r="426" customFormat="false" ht="15" hidden="false" customHeight="true" outlineLevel="0" collapsed="false">
      <c r="D426" s="5" t="n">
        <v>44714</v>
      </c>
      <c r="H426" s="1" t="s">
        <v>34</v>
      </c>
      <c r="I426" s="1" t="s">
        <v>39</v>
      </c>
      <c r="J426" s="1" t="n">
        <f aca="false">K425</f>
        <v>151362</v>
      </c>
      <c r="K426" s="1" t="n">
        <f aca="false">J426+L426</f>
        <v>151412</v>
      </c>
      <c r="L426" s="1" t="n">
        <v>50</v>
      </c>
      <c r="M426" s="1" t="n">
        <f aca="false">(E426+M425)-N426</f>
        <v>11.41</v>
      </c>
      <c r="N426" s="1" t="n">
        <v>5.5</v>
      </c>
    </row>
    <row r="427" customFormat="false" ht="15" hidden="false" customHeight="true" outlineLevel="0" collapsed="false">
      <c r="D427" s="5"/>
      <c r="H427" s="1" t="s">
        <v>39</v>
      </c>
      <c r="I427" s="1" t="s">
        <v>34</v>
      </c>
      <c r="J427" s="1" t="n">
        <f aca="false">K426</f>
        <v>151412</v>
      </c>
      <c r="K427" s="1" t="n">
        <f aca="false">J427+L427</f>
        <v>151462</v>
      </c>
      <c r="L427" s="1" t="n">
        <v>50</v>
      </c>
      <c r="M427" s="1" t="n">
        <f aca="false">(E427+M426)-N427</f>
        <v>5.90999999999998</v>
      </c>
      <c r="N427" s="1" t="n">
        <v>5.5</v>
      </c>
    </row>
    <row r="428" customFormat="false" ht="15" hidden="false" customHeight="true" outlineLevel="0" collapsed="false">
      <c r="D428" s="5" t="n">
        <v>44715</v>
      </c>
      <c r="H428" s="1" t="s">
        <v>34</v>
      </c>
      <c r="I428" s="1" t="s">
        <v>35</v>
      </c>
      <c r="J428" s="1" t="n">
        <f aca="false">K427</f>
        <v>151462</v>
      </c>
      <c r="K428" s="1" t="n">
        <f aca="false">J428+L428</f>
        <v>151474</v>
      </c>
      <c r="L428" s="1" t="n">
        <v>12</v>
      </c>
      <c r="M428" s="1" t="n">
        <f aca="false">(E428+M427)-N428</f>
        <v>4.65999999999998</v>
      </c>
      <c r="N428" s="1" t="n">
        <v>1.25</v>
      </c>
    </row>
    <row r="429" customFormat="false" ht="15" hidden="false" customHeight="true" outlineLevel="0" collapsed="false">
      <c r="D429" s="5"/>
      <c r="H429" s="1" t="s">
        <v>35</v>
      </c>
      <c r="I429" s="1" t="s">
        <v>34</v>
      </c>
      <c r="J429" s="1" t="n">
        <f aca="false">K428</f>
        <v>151474</v>
      </c>
      <c r="K429" s="1" t="n">
        <f aca="false">J429+L429</f>
        <v>151486</v>
      </c>
      <c r="L429" s="1" t="n">
        <v>12</v>
      </c>
      <c r="M429" s="1" t="n">
        <f aca="false">(E429+M428)-N429</f>
        <v>3.40999999999998</v>
      </c>
      <c r="N429" s="1" t="n">
        <v>1.25</v>
      </c>
    </row>
    <row r="430" customFormat="false" ht="15" hidden="false" customHeight="true" outlineLevel="0" collapsed="false">
      <c r="D430" s="5" t="n">
        <v>44718</v>
      </c>
      <c r="E430" s="0" t="n">
        <v>30.56</v>
      </c>
      <c r="F430" s="1" t="n">
        <v>51.9</v>
      </c>
      <c r="G430" s="6" t="n">
        <f aca="false">E430*F430</f>
        <v>1586.064</v>
      </c>
      <c r="H430" s="1" t="s">
        <v>34</v>
      </c>
      <c r="I430" s="1" t="s">
        <v>37</v>
      </c>
      <c r="J430" s="1" t="n">
        <f aca="false">K429</f>
        <v>151486</v>
      </c>
      <c r="K430" s="1" t="n">
        <f aca="false">J430+L430</f>
        <v>151526</v>
      </c>
      <c r="L430" s="1" t="n">
        <v>40</v>
      </c>
      <c r="M430" s="1" t="n">
        <f aca="false">(E430+M429)-N430</f>
        <v>29.17</v>
      </c>
      <c r="N430" s="1" t="n">
        <v>4.8</v>
      </c>
    </row>
    <row r="431" customFormat="false" ht="15" hidden="false" customHeight="true" outlineLevel="0" collapsed="false">
      <c r="D431" s="5"/>
      <c r="G431" s="6"/>
      <c r="H431" s="1" t="s">
        <v>37</v>
      </c>
      <c r="I431" s="1" t="s">
        <v>34</v>
      </c>
      <c r="J431" s="1" t="n">
        <f aca="false">K430</f>
        <v>151526</v>
      </c>
      <c r="K431" s="1" t="n">
        <f aca="false">J431+L431</f>
        <v>151566</v>
      </c>
      <c r="L431" s="1" t="n">
        <v>40</v>
      </c>
      <c r="M431" s="1" t="n">
        <f aca="false">(E431+M430)-N431</f>
        <v>24.37</v>
      </c>
      <c r="N431" s="1" t="n">
        <v>4.8</v>
      </c>
    </row>
    <row r="432" customFormat="false" ht="15" hidden="false" customHeight="true" outlineLevel="0" collapsed="false">
      <c r="D432" s="5" t="n">
        <v>44719</v>
      </c>
      <c r="H432" s="1" t="s">
        <v>34</v>
      </c>
      <c r="I432" s="1" t="s">
        <v>43</v>
      </c>
      <c r="J432" s="1" t="n">
        <f aca="false">K431</f>
        <v>151566</v>
      </c>
      <c r="K432" s="1" t="n">
        <f aca="false">J432+L432</f>
        <v>151578</v>
      </c>
      <c r="L432" s="1" t="n">
        <v>12</v>
      </c>
      <c r="M432" s="1" t="n">
        <f aca="false">(E432+M431)-N432</f>
        <v>23.12</v>
      </c>
      <c r="N432" s="1" t="n">
        <v>1.25</v>
      </c>
    </row>
    <row r="433" customFormat="false" ht="15" hidden="false" customHeight="true" outlineLevel="0" collapsed="false">
      <c r="D433" s="5"/>
      <c r="H433" s="1" t="s">
        <v>43</v>
      </c>
      <c r="I433" s="1" t="s">
        <v>34</v>
      </c>
      <c r="J433" s="1" t="n">
        <f aca="false">K432</f>
        <v>151578</v>
      </c>
      <c r="K433" s="1" t="n">
        <f aca="false">J433+L433</f>
        <v>151590</v>
      </c>
      <c r="L433" s="1" t="n">
        <v>12</v>
      </c>
      <c r="M433" s="1" t="n">
        <f aca="false">(E433+M432)-N433</f>
        <v>21.87</v>
      </c>
      <c r="N433" s="1" t="n">
        <v>1.25</v>
      </c>
    </row>
    <row r="434" customFormat="false" ht="15" hidden="false" customHeight="true" outlineLevel="0" collapsed="false">
      <c r="D434" s="5" t="n">
        <v>44720</v>
      </c>
      <c r="H434" s="1" t="s">
        <v>34</v>
      </c>
      <c r="I434" s="1" t="s">
        <v>24</v>
      </c>
      <c r="J434" s="1" t="n">
        <f aca="false">K433</f>
        <v>151590</v>
      </c>
      <c r="K434" s="1" t="n">
        <f aca="false">J434+L434</f>
        <v>151604</v>
      </c>
      <c r="L434" s="1" t="n">
        <v>14</v>
      </c>
      <c r="M434" s="1" t="n">
        <f aca="false">(E434+M433)-N434</f>
        <v>20.37</v>
      </c>
      <c r="N434" s="1" t="n">
        <v>1.5</v>
      </c>
    </row>
    <row r="435" customFormat="false" ht="15" hidden="false" customHeight="true" outlineLevel="0" collapsed="false">
      <c r="D435" s="5"/>
      <c r="H435" s="1" t="s">
        <v>24</v>
      </c>
      <c r="I435" s="1" t="s">
        <v>34</v>
      </c>
      <c r="J435" s="1" t="n">
        <f aca="false">K434</f>
        <v>151604</v>
      </c>
      <c r="K435" s="1" t="n">
        <f aca="false">J435+L435</f>
        <v>151618</v>
      </c>
      <c r="L435" s="1" t="n">
        <v>14</v>
      </c>
      <c r="M435" s="1" t="n">
        <f aca="false">(E435+M434)-N435</f>
        <v>18.87</v>
      </c>
      <c r="N435" s="1" t="n">
        <v>1.5</v>
      </c>
    </row>
    <row r="436" customFormat="false" ht="15" hidden="false" customHeight="true" outlineLevel="0" collapsed="false">
      <c r="D436" s="5" t="n">
        <v>44721</v>
      </c>
      <c r="H436" s="1" t="s">
        <v>34</v>
      </c>
      <c r="I436" s="1" t="s">
        <v>36</v>
      </c>
      <c r="J436" s="1" t="n">
        <f aca="false">K435</f>
        <v>151618</v>
      </c>
      <c r="K436" s="1" t="n">
        <f aca="false">J436+L436</f>
        <v>151633</v>
      </c>
      <c r="L436" s="1" t="n">
        <v>15</v>
      </c>
      <c r="M436" s="1" t="n">
        <f aca="false">(E436+M435)-N436</f>
        <v>17.07</v>
      </c>
      <c r="N436" s="1" t="n">
        <v>1.8</v>
      </c>
    </row>
    <row r="437" customFormat="false" ht="15" hidden="false" customHeight="true" outlineLevel="0" collapsed="false">
      <c r="D437" s="5"/>
      <c r="H437" s="1" t="s">
        <v>36</v>
      </c>
      <c r="I437" s="1" t="s">
        <v>34</v>
      </c>
      <c r="J437" s="1" t="n">
        <f aca="false">K436</f>
        <v>151633</v>
      </c>
      <c r="K437" s="1" t="n">
        <f aca="false">J437+L437</f>
        <v>151648</v>
      </c>
      <c r="L437" s="1" t="n">
        <v>15</v>
      </c>
      <c r="M437" s="1" t="n">
        <f aca="false">(E437+M436)-N437</f>
        <v>15.27</v>
      </c>
      <c r="N437" s="1" t="n">
        <v>1.8</v>
      </c>
    </row>
    <row r="438" customFormat="false" ht="15" hidden="false" customHeight="true" outlineLevel="0" collapsed="false">
      <c r="D438" s="5" t="n">
        <v>44722</v>
      </c>
      <c r="H438" s="1" t="s">
        <v>34</v>
      </c>
      <c r="I438" s="1" t="s">
        <v>35</v>
      </c>
      <c r="J438" s="1" t="n">
        <f aca="false">K437</f>
        <v>151648</v>
      </c>
      <c r="K438" s="1" t="n">
        <f aca="false">J438+L438</f>
        <v>151660</v>
      </c>
      <c r="L438" s="1" t="n">
        <v>12</v>
      </c>
      <c r="M438" s="1" t="n">
        <f aca="false">(E438+M437)-N438</f>
        <v>14.02</v>
      </c>
      <c r="N438" s="1" t="n">
        <v>1.25</v>
      </c>
    </row>
    <row r="439" customFormat="false" ht="15" hidden="false" customHeight="true" outlineLevel="0" collapsed="false">
      <c r="D439" s="5"/>
      <c r="H439" s="1" t="s">
        <v>35</v>
      </c>
      <c r="I439" s="1" t="s">
        <v>34</v>
      </c>
      <c r="J439" s="1" t="n">
        <f aca="false">K438</f>
        <v>151660</v>
      </c>
      <c r="K439" s="1" t="n">
        <f aca="false">J439+L439</f>
        <v>151672</v>
      </c>
      <c r="L439" s="1" t="n">
        <v>12</v>
      </c>
      <c r="M439" s="1" t="n">
        <f aca="false">(E439+M438)-N439</f>
        <v>12.77</v>
      </c>
      <c r="N439" s="1" t="n">
        <v>1.25</v>
      </c>
    </row>
    <row r="440" customFormat="false" ht="15" hidden="false" customHeight="true" outlineLevel="0" collapsed="false">
      <c r="D440" s="5" t="n">
        <v>44726</v>
      </c>
      <c r="H440" s="1" t="s">
        <v>34</v>
      </c>
      <c r="I440" s="1" t="s">
        <v>37</v>
      </c>
      <c r="J440" s="1" t="n">
        <f aca="false">K439</f>
        <v>151672</v>
      </c>
      <c r="K440" s="1" t="n">
        <f aca="false">J440+L440</f>
        <v>151712</v>
      </c>
      <c r="L440" s="1" t="n">
        <v>40</v>
      </c>
      <c r="M440" s="1" t="n">
        <f aca="false">(E440+M439)-N440</f>
        <v>7.96999999999997</v>
      </c>
      <c r="N440" s="1" t="n">
        <v>4.8</v>
      </c>
    </row>
    <row r="441" customFormat="false" ht="15" hidden="false" customHeight="true" outlineLevel="0" collapsed="false">
      <c r="D441" s="5"/>
      <c r="H441" s="1" t="s">
        <v>37</v>
      </c>
      <c r="I441" s="1" t="s">
        <v>34</v>
      </c>
      <c r="J441" s="1" t="n">
        <f aca="false">K440</f>
        <v>151712</v>
      </c>
      <c r="K441" s="1" t="n">
        <f aca="false">J441+L441</f>
        <v>151752</v>
      </c>
      <c r="L441" s="1" t="n">
        <v>40</v>
      </c>
      <c r="M441" s="1" t="n">
        <f aca="false">(E441+M440)-N441</f>
        <v>3.16999999999997</v>
      </c>
      <c r="N441" s="1" t="n">
        <v>4.8</v>
      </c>
    </row>
    <row r="442" customFormat="false" ht="15" hidden="false" customHeight="true" outlineLevel="0" collapsed="false">
      <c r="D442" s="5" t="n">
        <v>44727</v>
      </c>
      <c r="H442" s="1" t="s">
        <v>34</v>
      </c>
      <c r="I442" s="1" t="s">
        <v>35</v>
      </c>
      <c r="J442" s="1" t="n">
        <f aca="false">K441</f>
        <v>151752</v>
      </c>
      <c r="K442" s="1" t="n">
        <f aca="false">J442+L442</f>
        <v>151764</v>
      </c>
      <c r="L442" s="1" t="n">
        <v>12</v>
      </c>
      <c r="M442" s="1" t="n">
        <f aca="false">(E442+M441)-N442</f>
        <v>1.91999999999997</v>
      </c>
      <c r="N442" s="1" t="n">
        <v>1.25</v>
      </c>
    </row>
    <row r="443" customFormat="false" ht="15" hidden="false" customHeight="true" outlineLevel="0" collapsed="false">
      <c r="D443" s="5"/>
      <c r="H443" s="1" t="s">
        <v>35</v>
      </c>
      <c r="I443" s="1" t="s">
        <v>34</v>
      </c>
      <c r="J443" s="1" t="n">
        <f aca="false">K442</f>
        <v>151764</v>
      </c>
      <c r="K443" s="1" t="n">
        <f aca="false">J443+L443</f>
        <v>151776</v>
      </c>
      <c r="L443" s="1" t="n">
        <v>12</v>
      </c>
      <c r="M443" s="1" t="n">
        <f aca="false">(E443+M442)-N443</f>
        <v>0.669999999999968</v>
      </c>
      <c r="N443" s="1" t="n">
        <v>1.25</v>
      </c>
    </row>
    <row r="444" customFormat="false" ht="15" hidden="false" customHeight="true" outlineLevel="0" collapsed="false">
      <c r="D444" s="5" t="n">
        <v>44728</v>
      </c>
      <c r="E444" s="0" t="n">
        <v>19.74</v>
      </c>
      <c r="F444" s="1" t="n">
        <v>51.35</v>
      </c>
      <c r="G444" s="6" t="n">
        <f aca="false">E444*F444</f>
        <v>1013.649</v>
      </c>
      <c r="H444" s="1" t="s">
        <v>34</v>
      </c>
      <c r="I444" s="1" t="s">
        <v>39</v>
      </c>
      <c r="J444" s="1" t="n">
        <f aca="false">K443</f>
        <v>151776</v>
      </c>
      <c r="K444" s="1" t="n">
        <f aca="false">J444+L444</f>
        <v>151826</v>
      </c>
      <c r="L444" s="1" t="n">
        <v>50</v>
      </c>
      <c r="M444" s="1" t="n">
        <f aca="false">(E444+M443)-N444</f>
        <v>14.91</v>
      </c>
      <c r="N444" s="1" t="n">
        <v>5.5</v>
      </c>
    </row>
    <row r="445" customFormat="false" ht="15" hidden="false" customHeight="true" outlineLevel="0" collapsed="false">
      <c r="D445" s="5"/>
      <c r="G445" s="6"/>
      <c r="H445" s="1" t="s">
        <v>39</v>
      </c>
      <c r="I445" s="1" t="s">
        <v>34</v>
      </c>
      <c r="J445" s="1" t="n">
        <f aca="false">K444</f>
        <v>151826</v>
      </c>
      <c r="K445" s="1" t="n">
        <f aca="false">J445+L445</f>
        <v>151876</v>
      </c>
      <c r="L445" s="1" t="n">
        <v>50</v>
      </c>
      <c r="M445" s="1" t="n">
        <f aca="false">(E445+M444)-N445</f>
        <v>9.40999999999997</v>
      </c>
      <c r="N445" s="1" t="n">
        <v>5.5</v>
      </c>
    </row>
    <row r="446" customFormat="false" ht="15" hidden="false" customHeight="true" outlineLevel="0" collapsed="false">
      <c r="D446" s="5" t="n">
        <v>44729</v>
      </c>
      <c r="H446" s="1" t="s">
        <v>34</v>
      </c>
      <c r="I446" s="1" t="s">
        <v>36</v>
      </c>
      <c r="J446" s="1" t="n">
        <f aca="false">K445</f>
        <v>151876</v>
      </c>
      <c r="K446" s="1" t="n">
        <f aca="false">J446+L446</f>
        <v>151891</v>
      </c>
      <c r="L446" s="1" t="n">
        <v>15</v>
      </c>
      <c r="M446" s="1" t="n">
        <f aca="false">(E446+M445)-N446</f>
        <v>7.60999999999997</v>
      </c>
      <c r="N446" s="1" t="n">
        <v>1.8</v>
      </c>
    </row>
    <row r="447" customFormat="false" ht="15" hidden="false" customHeight="true" outlineLevel="0" collapsed="false">
      <c r="D447" s="5"/>
      <c r="H447" s="1" t="s">
        <v>36</v>
      </c>
      <c r="I447" s="1" t="s">
        <v>34</v>
      </c>
      <c r="J447" s="1" t="n">
        <f aca="false">K446</f>
        <v>151891</v>
      </c>
      <c r="K447" s="1" t="n">
        <f aca="false">J447+L447</f>
        <v>151906</v>
      </c>
      <c r="L447" s="1" t="n">
        <v>15</v>
      </c>
      <c r="M447" s="1" t="n">
        <f aca="false">(E447+M446)-N447</f>
        <v>5.80999999999997</v>
      </c>
      <c r="N447" s="1" t="n">
        <v>1.8</v>
      </c>
    </row>
    <row r="448" customFormat="false" ht="15" hidden="false" customHeight="true" outlineLevel="0" collapsed="false">
      <c r="D448" s="5" t="n">
        <v>44732</v>
      </c>
      <c r="H448" s="1" t="s">
        <v>34</v>
      </c>
      <c r="I448" s="1" t="s">
        <v>35</v>
      </c>
      <c r="J448" s="1" t="n">
        <f aca="false">K447</f>
        <v>151906</v>
      </c>
      <c r="K448" s="1" t="n">
        <f aca="false">J448+L448</f>
        <v>151918</v>
      </c>
      <c r="L448" s="1" t="n">
        <v>12</v>
      </c>
      <c r="M448" s="1" t="n">
        <f aca="false">(E448+M447)-N448</f>
        <v>4.55999999999997</v>
      </c>
      <c r="N448" s="1" t="n">
        <v>1.25</v>
      </c>
    </row>
    <row r="449" customFormat="false" ht="15" hidden="false" customHeight="true" outlineLevel="0" collapsed="false">
      <c r="D449" s="5"/>
      <c r="H449" s="1" t="s">
        <v>35</v>
      </c>
      <c r="I449" s="1" t="s">
        <v>34</v>
      </c>
      <c r="J449" s="1" t="n">
        <f aca="false">K448</f>
        <v>151918</v>
      </c>
      <c r="K449" s="1" t="n">
        <f aca="false">J449+L449</f>
        <v>151930</v>
      </c>
      <c r="L449" s="1" t="n">
        <v>12</v>
      </c>
      <c r="M449" s="1" t="n">
        <f aca="false">(E449+M448)-N449</f>
        <v>3.30999999999997</v>
      </c>
      <c r="N449" s="1" t="n">
        <v>1.25</v>
      </c>
    </row>
    <row r="450" customFormat="false" ht="15" hidden="false" customHeight="true" outlineLevel="0" collapsed="false">
      <c r="D450" s="5" t="n">
        <v>44733</v>
      </c>
      <c r="H450" s="1" t="s">
        <v>34</v>
      </c>
      <c r="I450" s="1" t="s">
        <v>35</v>
      </c>
      <c r="J450" s="1" t="n">
        <f aca="false">K449</f>
        <v>151930</v>
      </c>
      <c r="K450" s="1" t="n">
        <f aca="false">J450+L450</f>
        <v>151942</v>
      </c>
      <c r="L450" s="1" t="n">
        <v>12</v>
      </c>
      <c r="M450" s="1" t="n">
        <f aca="false">(E450+M449)-N450</f>
        <v>2.05999999999997</v>
      </c>
      <c r="N450" s="1" t="n">
        <v>1.25</v>
      </c>
    </row>
    <row r="451" customFormat="false" ht="15" hidden="false" customHeight="true" outlineLevel="0" collapsed="false">
      <c r="D451" s="5"/>
      <c r="H451" s="1" t="s">
        <v>35</v>
      </c>
      <c r="I451" s="1" t="s">
        <v>34</v>
      </c>
      <c r="J451" s="1" t="n">
        <f aca="false">K450</f>
        <v>151942</v>
      </c>
      <c r="K451" s="1" t="n">
        <f aca="false">J451+L451</f>
        <v>151954</v>
      </c>
      <c r="L451" s="1" t="n">
        <v>12</v>
      </c>
      <c r="M451" s="1" t="n">
        <f aca="false">(E451+M450)-N451</f>
        <v>0.809999999999969</v>
      </c>
      <c r="N451" s="1" t="n">
        <v>1.25</v>
      </c>
    </row>
    <row r="452" customFormat="false" ht="15" hidden="false" customHeight="true" outlineLevel="0" collapsed="false">
      <c r="D452" s="5" t="n">
        <v>44734</v>
      </c>
      <c r="E452" s="0" t="n">
        <v>5.64</v>
      </c>
      <c r="F452" s="1" t="n">
        <v>51.6</v>
      </c>
      <c r="G452" s="6" t="n">
        <f aca="false">E452*F452</f>
        <v>291.024</v>
      </c>
      <c r="H452" s="1" t="s">
        <v>34</v>
      </c>
      <c r="I452" s="1" t="s">
        <v>24</v>
      </c>
      <c r="J452" s="1" t="n">
        <f aca="false">K451</f>
        <v>151954</v>
      </c>
      <c r="K452" s="1" t="n">
        <f aca="false">J452+L452</f>
        <v>151968</v>
      </c>
      <c r="L452" s="1" t="n">
        <v>14</v>
      </c>
      <c r="M452" s="1" t="n">
        <f aca="false">(E452+M451)-N452</f>
        <v>4.94999999999997</v>
      </c>
      <c r="N452" s="1" t="n">
        <v>1.5</v>
      </c>
    </row>
    <row r="453" customFormat="false" ht="15" hidden="false" customHeight="true" outlineLevel="0" collapsed="false">
      <c r="D453" s="5"/>
      <c r="G453" s="6"/>
      <c r="H453" s="1" t="s">
        <v>24</v>
      </c>
      <c r="I453" s="1" t="s">
        <v>34</v>
      </c>
      <c r="J453" s="1" t="n">
        <f aca="false">K452</f>
        <v>151968</v>
      </c>
      <c r="K453" s="1" t="n">
        <f aca="false">J453+L453</f>
        <v>151982</v>
      </c>
      <c r="L453" s="1" t="n">
        <v>14</v>
      </c>
      <c r="M453" s="1" t="n">
        <f aca="false">(E453+M452)-N453</f>
        <v>3.44999999999997</v>
      </c>
      <c r="N453" s="1" t="n">
        <v>1.5</v>
      </c>
    </row>
    <row r="454" customFormat="false" ht="15" hidden="false" customHeight="true" outlineLevel="0" collapsed="false">
      <c r="D454" s="5" t="n">
        <v>44735</v>
      </c>
      <c r="H454" s="1" t="s">
        <v>34</v>
      </c>
      <c r="I454" s="1" t="s">
        <v>35</v>
      </c>
      <c r="J454" s="1" t="n">
        <f aca="false">K453</f>
        <v>151982</v>
      </c>
      <c r="K454" s="1" t="n">
        <f aca="false">J454+L454</f>
        <v>151994</v>
      </c>
      <c r="L454" s="1" t="n">
        <v>12</v>
      </c>
      <c r="M454" s="1" t="n">
        <f aca="false">(E454+M453)-N454</f>
        <v>2.19999999999997</v>
      </c>
      <c r="N454" s="1" t="n">
        <v>1.25</v>
      </c>
    </row>
    <row r="455" customFormat="false" ht="15" hidden="false" customHeight="true" outlineLevel="0" collapsed="false">
      <c r="D455" s="5"/>
      <c r="H455" s="1" t="s">
        <v>35</v>
      </c>
      <c r="I455" s="1" t="s">
        <v>34</v>
      </c>
      <c r="J455" s="1" t="n">
        <f aca="false">K454</f>
        <v>151994</v>
      </c>
      <c r="K455" s="1" t="n">
        <f aca="false">J455+L455</f>
        <v>152006</v>
      </c>
      <c r="L455" s="1" t="n">
        <v>12</v>
      </c>
      <c r="M455" s="1" t="n">
        <f aca="false">(E455+M454)-N455</f>
        <v>0.949999999999968</v>
      </c>
      <c r="N455" s="1" t="n">
        <v>1.25</v>
      </c>
    </row>
    <row r="456" customFormat="false" ht="15" hidden="false" customHeight="true" outlineLevel="0" collapsed="false">
      <c r="D456" s="5" t="n">
        <v>44736</v>
      </c>
      <c r="E456" s="0" t="n">
        <v>32.45</v>
      </c>
      <c r="F456" s="1" t="n">
        <v>51.9</v>
      </c>
      <c r="G456" s="6" t="n">
        <f aca="false">E456*F456</f>
        <v>1684.155</v>
      </c>
      <c r="H456" s="1" t="s">
        <v>34</v>
      </c>
      <c r="I456" s="1" t="s">
        <v>37</v>
      </c>
      <c r="J456" s="1" t="n">
        <f aca="false">K455</f>
        <v>152006</v>
      </c>
      <c r="K456" s="1" t="n">
        <f aca="false">J456+L456</f>
        <v>152046</v>
      </c>
      <c r="L456" s="1" t="n">
        <v>40</v>
      </c>
      <c r="M456" s="1" t="n">
        <f aca="false">(E456+M455)-N456</f>
        <v>28.6</v>
      </c>
      <c r="N456" s="1" t="n">
        <v>4.8</v>
      </c>
    </row>
    <row r="457" customFormat="false" ht="15" hidden="false" customHeight="true" outlineLevel="0" collapsed="false">
      <c r="D457" s="5"/>
      <c r="G457" s="6"/>
      <c r="H457" s="1" t="s">
        <v>37</v>
      </c>
      <c r="I457" s="1" t="s">
        <v>34</v>
      </c>
      <c r="J457" s="1" t="n">
        <f aca="false">K456</f>
        <v>152046</v>
      </c>
      <c r="K457" s="1" t="n">
        <f aca="false">J457+L457</f>
        <v>152086</v>
      </c>
      <c r="L457" s="1" t="n">
        <v>40</v>
      </c>
      <c r="M457" s="1" t="n">
        <f aca="false">(E457+M456)-N457</f>
        <v>23.8</v>
      </c>
      <c r="N457" s="1" t="n">
        <v>4.8</v>
      </c>
    </row>
    <row r="458" customFormat="false" ht="15" hidden="false" customHeight="true" outlineLevel="0" collapsed="false">
      <c r="D458" s="5" t="n">
        <v>44739</v>
      </c>
      <c r="H458" s="1" t="s">
        <v>34</v>
      </c>
      <c r="I458" s="1" t="s">
        <v>45</v>
      </c>
      <c r="J458" s="1" t="n">
        <f aca="false">K457</f>
        <v>152086</v>
      </c>
      <c r="K458" s="1" t="n">
        <f aca="false">J458+L458</f>
        <v>152113</v>
      </c>
      <c r="L458" s="1" t="n">
        <v>27</v>
      </c>
      <c r="M458" s="1" t="n">
        <f aca="false">(E458+M457)-N458</f>
        <v>20.6</v>
      </c>
      <c r="N458" s="1" t="n">
        <v>3.2</v>
      </c>
    </row>
    <row r="459" customFormat="false" ht="15" hidden="false" customHeight="true" outlineLevel="0" collapsed="false">
      <c r="D459" s="5"/>
      <c r="H459" s="1" t="s">
        <v>45</v>
      </c>
      <c r="I459" s="1" t="s">
        <v>34</v>
      </c>
      <c r="J459" s="1" t="n">
        <f aca="false">K458</f>
        <v>152113</v>
      </c>
      <c r="K459" s="1" t="n">
        <f aca="false">J459+L459</f>
        <v>152140</v>
      </c>
      <c r="L459" s="1" t="n">
        <v>27</v>
      </c>
      <c r="M459" s="1" t="n">
        <f aca="false">(E459+M458)-N459</f>
        <v>17.4</v>
      </c>
      <c r="N459" s="1" t="n">
        <v>3.2</v>
      </c>
    </row>
    <row r="460" customFormat="false" ht="15" hidden="false" customHeight="true" outlineLevel="0" collapsed="false">
      <c r="D460" s="5" t="n">
        <v>44740</v>
      </c>
      <c r="H460" s="1" t="s">
        <v>34</v>
      </c>
      <c r="I460" s="1" t="s">
        <v>43</v>
      </c>
      <c r="J460" s="1" t="n">
        <f aca="false">K459</f>
        <v>152140</v>
      </c>
      <c r="K460" s="1" t="n">
        <f aca="false">J460+L460</f>
        <v>152152</v>
      </c>
      <c r="L460" s="1" t="n">
        <v>12</v>
      </c>
      <c r="M460" s="1" t="n">
        <f aca="false">(E460+M459)-N460</f>
        <v>16.15</v>
      </c>
      <c r="N460" s="1" t="n">
        <v>1.25</v>
      </c>
    </row>
    <row r="461" customFormat="false" ht="15" hidden="false" customHeight="true" outlineLevel="0" collapsed="false">
      <c r="D461" s="5"/>
      <c r="H461" s="1" t="s">
        <v>43</v>
      </c>
      <c r="I461" s="1" t="s">
        <v>34</v>
      </c>
      <c r="J461" s="1" t="n">
        <f aca="false">K460</f>
        <v>152152</v>
      </c>
      <c r="K461" s="1" t="n">
        <f aca="false">J461+L461</f>
        <v>152164</v>
      </c>
      <c r="L461" s="1" t="n">
        <v>12</v>
      </c>
      <c r="M461" s="1" t="n">
        <f aca="false">(E461+M460)-N461</f>
        <v>14.9</v>
      </c>
      <c r="N461" s="1" t="n">
        <v>1.25</v>
      </c>
    </row>
    <row r="462" customFormat="false" ht="15" hidden="false" customHeight="true" outlineLevel="0" collapsed="false">
      <c r="D462" s="5"/>
      <c r="H462" s="1" t="s">
        <v>34</v>
      </c>
      <c r="I462" s="1" t="s">
        <v>36</v>
      </c>
      <c r="J462" s="1" t="n">
        <f aca="false">K461</f>
        <v>152164</v>
      </c>
      <c r="K462" s="1" t="n">
        <f aca="false">J462+L462</f>
        <v>152179</v>
      </c>
      <c r="L462" s="1" t="n">
        <v>15</v>
      </c>
      <c r="M462" s="1" t="n">
        <f aca="false">(E462+M461)-N462</f>
        <v>13.1</v>
      </c>
      <c r="N462" s="1" t="n">
        <v>1.8</v>
      </c>
    </row>
    <row r="463" customFormat="false" ht="15" hidden="false" customHeight="true" outlineLevel="0" collapsed="false">
      <c r="D463" s="5"/>
      <c r="H463" s="1" t="s">
        <v>36</v>
      </c>
      <c r="I463" s="1" t="s">
        <v>34</v>
      </c>
      <c r="J463" s="1" t="n">
        <f aca="false">K462</f>
        <v>152179</v>
      </c>
      <c r="K463" s="1" t="n">
        <f aca="false">J463+L463</f>
        <v>152194</v>
      </c>
      <c r="L463" s="1" t="n">
        <v>15</v>
      </c>
      <c r="M463" s="1" t="n">
        <f aca="false">(E463+M462)-N463</f>
        <v>11.3</v>
      </c>
      <c r="N463" s="1" t="n">
        <v>1.8</v>
      </c>
    </row>
    <row r="464" customFormat="false" ht="15" hidden="false" customHeight="true" outlineLevel="0" collapsed="false">
      <c r="D464" s="5" t="n">
        <v>44741</v>
      </c>
      <c r="E464" s="0" t="n">
        <v>23.22</v>
      </c>
      <c r="F464" s="1" t="n">
        <v>51.95</v>
      </c>
      <c r="G464" s="6" t="n">
        <f aca="false">E464*F464</f>
        <v>1206.279</v>
      </c>
      <c r="H464" s="1" t="s">
        <v>34</v>
      </c>
      <c r="I464" s="1" t="s">
        <v>39</v>
      </c>
      <c r="J464" s="1" t="n">
        <f aca="false">K463</f>
        <v>152194</v>
      </c>
      <c r="K464" s="1" t="n">
        <f aca="false">J464+L464</f>
        <v>152244</v>
      </c>
      <c r="L464" s="1" t="n">
        <v>50</v>
      </c>
      <c r="M464" s="1" t="n">
        <f aca="false">(E464+M463)-N464</f>
        <v>29.02</v>
      </c>
      <c r="N464" s="1" t="n">
        <v>5.5</v>
      </c>
    </row>
    <row r="465" customFormat="false" ht="15" hidden="false" customHeight="true" outlineLevel="0" collapsed="false">
      <c r="D465" s="5"/>
      <c r="G465" s="6"/>
      <c r="H465" s="1" t="s">
        <v>39</v>
      </c>
      <c r="I465" s="1" t="s">
        <v>34</v>
      </c>
      <c r="J465" s="1" t="n">
        <f aca="false">K464</f>
        <v>152244</v>
      </c>
      <c r="K465" s="1" t="n">
        <f aca="false">J465+L465</f>
        <v>152294</v>
      </c>
      <c r="L465" s="1" t="n">
        <v>50</v>
      </c>
      <c r="M465" s="1" t="n">
        <f aca="false">(E465+M464)-N465</f>
        <v>23.52</v>
      </c>
      <c r="N465" s="1" t="n">
        <v>5.5</v>
      </c>
    </row>
    <row r="466" customFormat="false" ht="15" hidden="false" customHeight="true" outlineLevel="0" collapsed="false">
      <c r="D466" s="5" t="n">
        <v>44742</v>
      </c>
      <c r="H466" s="1" t="s">
        <v>34</v>
      </c>
      <c r="I466" s="1" t="s">
        <v>35</v>
      </c>
      <c r="J466" s="1" t="n">
        <f aca="false">K465</f>
        <v>152294</v>
      </c>
      <c r="K466" s="1" t="n">
        <f aca="false">J466+L466</f>
        <v>152306</v>
      </c>
      <c r="L466" s="1" t="n">
        <v>12</v>
      </c>
      <c r="M466" s="1" t="n">
        <f aca="false">(E466+M465)-N466</f>
        <v>22.27</v>
      </c>
      <c r="N466" s="1" t="n">
        <v>1.25</v>
      </c>
    </row>
    <row r="467" customFormat="false" ht="15" hidden="false" customHeight="true" outlineLevel="0" collapsed="false">
      <c r="H467" s="1" t="s">
        <v>35</v>
      </c>
      <c r="I467" s="1" t="s">
        <v>34</v>
      </c>
      <c r="J467" s="1" t="n">
        <f aca="false">K466</f>
        <v>152306</v>
      </c>
      <c r="K467" s="1" t="n">
        <f aca="false">J467+L467</f>
        <v>152318</v>
      </c>
      <c r="L467" s="1" t="n">
        <v>12</v>
      </c>
      <c r="M467" s="1" t="n">
        <f aca="false">(E467+M466)-N467</f>
        <v>21.02</v>
      </c>
      <c r="N467" s="1" t="n">
        <v>1.25</v>
      </c>
    </row>
    <row r="468" customFormat="false" ht="15" hidden="false" customHeight="true" outlineLevel="0" collapsed="false">
      <c r="H468" s="1" t="s">
        <v>34</v>
      </c>
      <c r="I468" s="1" t="s">
        <v>43</v>
      </c>
      <c r="J468" s="1" t="n">
        <f aca="false">K467</f>
        <v>152318</v>
      </c>
      <c r="K468" s="1" t="n">
        <f aca="false">J468+L468</f>
        <v>152330</v>
      </c>
      <c r="L468" s="1" t="n">
        <v>12</v>
      </c>
      <c r="M468" s="1" t="n">
        <f aca="false">(E468+M467)-N468</f>
        <v>19.77</v>
      </c>
      <c r="N468" s="1" t="n">
        <v>1.25</v>
      </c>
    </row>
    <row r="469" customFormat="false" ht="15" hidden="false" customHeight="true" outlineLevel="0" collapsed="false">
      <c r="H469" s="1" t="s">
        <v>43</v>
      </c>
      <c r="I469" s="1" t="s">
        <v>34</v>
      </c>
      <c r="J469" s="1" t="n">
        <f aca="false">K468</f>
        <v>152330</v>
      </c>
      <c r="K469" s="1" t="n">
        <f aca="false">J469+L469</f>
        <v>152342</v>
      </c>
      <c r="L469" s="1" t="n">
        <v>12</v>
      </c>
      <c r="M469" s="1" t="n">
        <f aca="false">(E469+M468)-N469</f>
        <v>18.52</v>
      </c>
      <c r="N469" s="1" t="n">
        <v>1.25</v>
      </c>
    </row>
    <row r="470" customFormat="false" ht="15" hidden="false" customHeight="true" outlineLevel="0" collapsed="false">
      <c r="H470" s="1" t="s">
        <v>34</v>
      </c>
      <c r="I470" s="1" t="s">
        <v>36</v>
      </c>
      <c r="J470" s="1" t="n">
        <f aca="false">K469</f>
        <v>152342</v>
      </c>
      <c r="K470" s="1" t="n">
        <f aca="false">J470+L470</f>
        <v>152357</v>
      </c>
      <c r="L470" s="1" t="n">
        <v>15</v>
      </c>
      <c r="M470" s="1" t="n">
        <f aca="false">(E470+M469)-N470</f>
        <v>16.72</v>
      </c>
      <c r="N470" s="1" t="n">
        <v>1.8</v>
      </c>
    </row>
    <row r="471" customFormat="false" ht="15" hidden="false" customHeight="true" outlineLevel="0" collapsed="false">
      <c r="H471" s="1" t="s">
        <v>36</v>
      </c>
      <c r="I471" s="1" t="s">
        <v>34</v>
      </c>
      <c r="J471" s="1" t="n">
        <f aca="false">K470</f>
        <v>152357</v>
      </c>
      <c r="K471" s="1" t="n">
        <f aca="false">J471+L471</f>
        <v>152372</v>
      </c>
      <c r="L471" s="1" t="n">
        <v>15</v>
      </c>
      <c r="M471" s="1" t="n">
        <f aca="false">(E471+M470)-N471</f>
        <v>14.92</v>
      </c>
      <c r="N471" s="1" t="n">
        <v>1.8</v>
      </c>
    </row>
    <row r="473" customFormat="false" ht="15" hidden="false" customHeight="true" outlineLevel="0" collapsed="false">
      <c r="D473" s="4" t="s">
        <v>47</v>
      </c>
      <c r="E473" s="4"/>
      <c r="F473" s="4"/>
      <c r="G473" s="4"/>
    </row>
    <row r="474" customFormat="false" ht="15" hidden="false" customHeight="true" outlineLevel="0" collapsed="false">
      <c r="D474" s="5" t="n">
        <v>44743</v>
      </c>
      <c r="E474" s="0" t="n">
        <v>31.29</v>
      </c>
      <c r="F474" s="1" t="n">
        <v>51.6</v>
      </c>
      <c r="G474" s="6" t="n">
        <f aca="false">E474*F474</f>
        <v>1614.564</v>
      </c>
      <c r="H474" s="1" t="s">
        <v>34</v>
      </c>
      <c r="I474" s="1" t="s">
        <v>36</v>
      </c>
      <c r="J474" s="1" t="n">
        <f aca="false">K471</f>
        <v>152372</v>
      </c>
      <c r="K474" s="1" t="n">
        <f aca="false">J474+L474</f>
        <v>152387</v>
      </c>
      <c r="L474" s="1" t="n">
        <v>15</v>
      </c>
      <c r="M474" s="1" t="n">
        <f aca="false">(E474+M471)-N474</f>
        <v>44.41</v>
      </c>
      <c r="N474" s="1" t="n">
        <v>1.8</v>
      </c>
    </row>
    <row r="475" customFormat="false" ht="15" hidden="false" customHeight="true" outlineLevel="0" collapsed="false">
      <c r="D475" s="5"/>
      <c r="G475" s="6"/>
      <c r="H475" s="1" t="s">
        <v>36</v>
      </c>
      <c r="I475" s="1" t="s">
        <v>34</v>
      </c>
      <c r="J475" s="1" t="n">
        <f aca="false">K474</f>
        <v>152387</v>
      </c>
      <c r="K475" s="1" t="n">
        <f aca="false">J475+L475</f>
        <v>152402</v>
      </c>
      <c r="L475" s="1" t="n">
        <v>15</v>
      </c>
      <c r="M475" s="1" t="n">
        <f aca="false">(E475+M474)-N475</f>
        <v>42.61</v>
      </c>
      <c r="N475" s="1" t="n">
        <v>1.8</v>
      </c>
    </row>
    <row r="476" customFormat="false" ht="15" hidden="false" customHeight="true" outlineLevel="0" collapsed="false">
      <c r="D476" s="5"/>
      <c r="G476" s="6"/>
      <c r="H476" s="1" t="s">
        <v>34</v>
      </c>
      <c r="I476" s="1" t="s">
        <v>24</v>
      </c>
      <c r="J476" s="1" t="n">
        <f aca="false">K475</f>
        <v>152402</v>
      </c>
      <c r="K476" s="1" t="n">
        <f aca="false">J476+L476</f>
        <v>152416</v>
      </c>
      <c r="L476" s="1" t="n">
        <v>14</v>
      </c>
      <c r="M476" s="1" t="n">
        <f aca="false">(E476+M475)-N476</f>
        <v>41.11</v>
      </c>
      <c r="N476" s="1" t="n">
        <v>1.5</v>
      </c>
    </row>
    <row r="477" customFormat="false" ht="15" hidden="false" customHeight="true" outlineLevel="0" collapsed="false">
      <c r="D477" s="5"/>
      <c r="G477" s="6"/>
      <c r="H477" s="1" t="s">
        <v>24</v>
      </c>
      <c r="I477" s="1" t="s">
        <v>34</v>
      </c>
      <c r="J477" s="1" t="n">
        <f aca="false">K476</f>
        <v>152416</v>
      </c>
      <c r="K477" s="1" t="n">
        <f aca="false">J477+L477</f>
        <v>152430</v>
      </c>
      <c r="L477" s="1" t="n">
        <v>14</v>
      </c>
      <c r="M477" s="1" t="n">
        <f aca="false">(E477+M476)-N477</f>
        <v>39.61</v>
      </c>
      <c r="N477" s="1" t="n">
        <v>1.5</v>
      </c>
    </row>
    <row r="478" customFormat="false" ht="15" hidden="false" customHeight="true" outlineLevel="0" collapsed="false">
      <c r="D478" s="5"/>
      <c r="G478" s="6"/>
      <c r="H478" s="1" t="s">
        <v>34</v>
      </c>
      <c r="I478" s="1" t="s">
        <v>39</v>
      </c>
      <c r="J478" s="1" t="n">
        <f aca="false">K477</f>
        <v>152430</v>
      </c>
      <c r="K478" s="1" t="n">
        <f aca="false">J478+L478</f>
        <v>152480</v>
      </c>
      <c r="L478" s="1" t="n">
        <v>50</v>
      </c>
      <c r="M478" s="1" t="n">
        <f aca="false">(E478+M477)-N478</f>
        <v>34.11</v>
      </c>
      <c r="N478" s="1" t="n">
        <v>5.5</v>
      </c>
    </row>
    <row r="479" customFormat="false" ht="15" hidden="false" customHeight="true" outlineLevel="0" collapsed="false">
      <c r="D479" s="5"/>
      <c r="G479" s="6"/>
      <c r="H479" s="1" t="s">
        <v>39</v>
      </c>
      <c r="I479" s="1" t="s">
        <v>34</v>
      </c>
      <c r="J479" s="1" t="n">
        <f aca="false">K478</f>
        <v>152480</v>
      </c>
      <c r="K479" s="1" t="n">
        <f aca="false">J479+L479</f>
        <v>152530</v>
      </c>
      <c r="L479" s="1" t="n">
        <v>50</v>
      </c>
      <c r="M479" s="1" t="n">
        <f aca="false">(E479+M478)-N479</f>
        <v>28.61</v>
      </c>
      <c r="N479" s="1" t="n">
        <v>5.5</v>
      </c>
    </row>
    <row r="480" customFormat="false" ht="15" hidden="false" customHeight="true" outlineLevel="0" collapsed="false">
      <c r="D480" s="5" t="n">
        <v>44746</v>
      </c>
      <c r="E480" s="0" t="n">
        <v>5.78</v>
      </c>
      <c r="F480" s="1" t="n">
        <v>51.9</v>
      </c>
      <c r="G480" s="6" t="n">
        <f aca="false">E480*F480</f>
        <v>299.982</v>
      </c>
      <c r="H480" s="1" t="s">
        <v>34</v>
      </c>
      <c r="I480" s="1" t="s">
        <v>35</v>
      </c>
      <c r="J480" s="1" t="n">
        <f aca="false">K479</f>
        <v>152530</v>
      </c>
      <c r="K480" s="1" t="n">
        <f aca="false">J480+L480</f>
        <v>152542</v>
      </c>
      <c r="L480" s="1" t="n">
        <v>12</v>
      </c>
      <c r="M480" s="1" t="n">
        <f aca="false">(E480+M479)-N480</f>
        <v>33.14</v>
      </c>
      <c r="N480" s="1" t="n">
        <v>1.25</v>
      </c>
    </row>
    <row r="481" customFormat="false" ht="15" hidden="false" customHeight="true" outlineLevel="0" collapsed="false">
      <c r="D481" s="5"/>
      <c r="G481" s="6"/>
      <c r="H481" s="1" t="s">
        <v>35</v>
      </c>
      <c r="I481" s="1" t="s">
        <v>34</v>
      </c>
      <c r="J481" s="1" t="n">
        <f aca="false">K480</f>
        <v>152542</v>
      </c>
      <c r="K481" s="1" t="n">
        <f aca="false">J481+L481</f>
        <v>152554</v>
      </c>
      <c r="L481" s="1" t="n">
        <v>12</v>
      </c>
      <c r="M481" s="1" t="n">
        <f aca="false">(E481+M480)-N481</f>
        <v>31.89</v>
      </c>
      <c r="N481" s="1" t="n">
        <v>1.25</v>
      </c>
    </row>
    <row r="482" customFormat="false" ht="15" hidden="false" customHeight="true" outlineLevel="0" collapsed="false">
      <c r="D482" s="5" t="n">
        <v>44747</v>
      </c>
      <c r="H482" s="1" t="s">
        <v>34</v>
      </c>
      <c r="I482" s="1" t="s">
        <v>35</v>
      </c>
      <c r="J482" s="1" t="n">
        <f aca="false">K481</f>
        <v>152554</v>
      </c>
      <c r="K482" s="1" t="n">
        <f aca="false">J482+L482</f>
        <v>152566</v>
      </c>
      <c r="L482" s="1" t="n">
        <v>12</v>
      </c>
      <c r="M482" s="1" t="n">
        <f aca="false">(E482+M481)-N482</f>
        <v>30.64</v>
      </c>
      <c r="N482" s="1" t="n">
        <v>1.25</v>
      </c>
    </row>
    <row r="483" customFormat="false" ht="15" hidden="false" customHeight="true" outlineLevel="0" collapsed="false">
      <c r="D483" s="5"/>
      <c r="H483" s="1" t="s">
        <v>35</v>
      </c>
      <c r="I483" s="1" t="s">
        <v>34</v>
      </c>
      <c r="J483" s="1" t="n">
        <f aca="false">K482</f>
        <v>152566</v>
      </c>
      <c r="K483" s="1" t="n">
        <f aca="false">J483+L483</f>
        <v>152578</v>
      </c>
      <c r="L483" s="1" t="n">
        <v>12</v>
      </c>
      <c r="M483" s="1" t="n">
        <f aca="false">(E483+M482)-N483</f>
        <v>29.39</v>
      </c>
      <c r="N483" s="1" t="n">
        <v>1.25</v>
      </c>
    </row>
    <row r="484" customFormat="false" ht="15" hidden="false" customHeight="true" outlineLevel="0" collapsed="false">
      <c r="D484" s="5" t="n">
        <v>44748</v>
      </c>
      <c r="H484" s="1" t="s">
        <v>34</v>
      </c>
      <c r="I484" s="1" t="s">
        <v>36</v>
      </c>
      <c r="J484" s="1" t="n">
        <f aca="false">K483</f>
        <v>152578</v>
      </c>
      <c r="K484" s="1" t="n">
        <f aca="false">J484+L484</f>
        <v>152593</v>
      </c>
      <c r="L484" s="1" t="n">
        <v>15</v>
      </c>
      <c r="M484" s="1" t="n">
        <f aca="false">(E484+M483)-N484</f>
        <v>27.59</v>
      </c>
      <c r="N484" s="1" t="n">
        <v>1.8</v>
      </c>
    </row>
    <row r="485" customFormat="false" ht="15" hidden="false" customHeight="true" outlineLevel="0" collapsed="false">
      <c r="D485" s="5"/>
      <c r="H485" s="1" t="s">
        <v>36</v>
      </c>
      <c r="I485" s="1" t="s">
        <v>34</v>
      </c>
      <c r="J485" s="1" t="n">
        <f aca="false">K484</f>
        <v>152593</v>
      </c>
      <c r="K485" s="1" t="n">
        <f aca="false">J485+L485</f>
        <v>152608</v>
      </c>
      <c r="L485" s="1" t="n">
        <v>15</v>
      </c>
      <c r="M485" s="1" t="n">
        <f aca="false">(E485+M484)-N485</f>
        <v>25.79</v>
      </c>
      <c r="N485" s="1" t="n">
        <v>1.8</v>
      </c>
    </row>
    <row r="486" customFormat="false" ht="15" hidden="false" customHeight="true" outlineLevel="0" collapsed="false">
      <c r="D486" s="5"/>
      <c r="H486" s="1" t="s">
        <v>34</v>
      </c>
      <c r="I486" s="1" t="s">
        <v>43</v>
      </c>
      <c r="J486" s="1" t="n">
        <f aca="false">K485</f>
        <v>152608</v>
      </c>
      <c r="K486" s="1" t="n">
        <f aca="false">J486+L486</f>
        <v>152620</v>
      </c>
      <c r="L486" s="1" t="n">
        <v>12</v>
      </c>
      <c r="M486" s="1" t="n">
        <f aca="false">(E486+M485)-N486</f>
        <v>24.54</v>
      </c>
      <c r="N486" s="1" t="n">
        <v>1.25</v>
      </c>
    </row>
    <row r="487" customFormat="false" ht="15" hidden="false" customHeight="true" outlineLevel="0" collapsed="false">
      <c r="D487" s="5"/>
      <c r="H487" s="1" t="s">
        <v>43</v>
      </c>
      <c r="I487" s="1" t="s">
        <v>34</v>
      </c>
      <c r="J487" s="1" t="n">
        <f aca="false">K486</f>
        <v>152620</v>
      </c>
      <c r="K487" s="1" t="n">
        <f aca="false">J487+L487</f>
        <v>152632</v>
      </c>
      <c r="L487" s="1" t="n">
        <v>12</v>
      </c>
      <c r="M487" s="1" t="n">
        <f aca="false">(E487+M486)-N487</f>
        <v>23.29</v>
      </c>
      <c r="N487" s="1" t="n">
        <v>1.25</v>
      </c>
    </row>
    <row r="488" customFormat="false" ht="15" hidden="false" customHeight="true" outlineLevel="0" collapsed="false">
      <c r="D488" s="5"/>
      <c r="H488" s="1" t="s">
        <v>34</v>
      </c>
      <c r="I488" s="1" t="s">
        <v>37</v>
      </c>
      <c r="J488" s="1" t="n">
        <f aca="false">K487</f>
        <v>152632</v>
      </c>
      <c r="K488" s="1" t="n">
        <f aca="false">J488+L488</f>
        <v>152672</v>
      </c>
      <c r="L488" s="1" t="n">
        <v>40</v>
      </c>
      <c r="M488" s="1" t="n">
        <f aca="false">(E488+M487)-N488</f>
        <v>18.49</v>
      </c>
      <c r="N488" s="1" t="n">
        <v>4.8</v>
      </c>
    </row>
    <row r="489" customFormat="false" ht="15" hidden="false" customHeight="true" outlineLevel="0" collapsed="false">
      <c r="D489" s="5"/>
      <c r="H489" s="1" t="s">
        <v>37</v>
      </c>
      <c r="I489" s="1" t="s">
        <v>34</v>
      </c>
      <c r="J489" s="1" t="n">
        <f aca="false">K488</f>
        <v>152672</v>
      </c>
      <c r="K489" s="1" t="n">
        <f aca="false">J489+L489</f>
        <v>152712</v>
      </c>
      <c r="L489" s="1" t="n">
        <v>40</v>
      </c>
      <c r="M489" s="1" t="n">
        <f aca="false">(E489+M488)-N489</f>
        <v>13.69</v>
      </c>
      <c r="N489" s="1" t="n">
        <v>4.8</v>
      </c>
    </row>
    <row r="490" customFormat="false" ht="15" hidden="false" customHeight="true" outlineLevel="0" collapsed="false">
      <c r="D490" s="5" t="n">
        <v>44749</v>
      </c>
      <c r="H490" s="1" t="s">
        <v>34</v>
      </c>
      <c r="I490" s="1" t="s">
        <v>24</v>
      </c>
      <c r="J490" s="1" t="n">
        <f aca="false">K489</f>
        <v>152712</v>
      </c>
      <c r="K490" s="1" t="n">
        <f aca="false">J490+L490</f>
        <v>152726</v>
      </c>
      <c r="L490" s="1" t="n">
        <v>14</v>
      </c>
      <c r="M490" s="1" t="n">
        <f aca="false">(E490+M489)-N490</f>
        <v>12.19</v>
      </c>
      <c r="N490" s="1" t="n">
        <v>1.5</v>
      </c>
    </row>
    <row r="491" customFormat="false" ht="15" hidden="false" customHeight="true" outlineLevel="0" collapsed="false">
      <c r="D491" s="5"/>
      <c r="H491" s="1" t="s">
        <v>24</v>
      </c>
      <c r="I491" s="1" t="s">
        <v>34</v>
      </c>
      <c r="J491" s="1" t="n">
        <f aca="false">K490</f>
        <v>152726</v>
      </c>
      <c r="K491" s="1" t="n">
        <f aca="false">J491+L491</f>
        <v>152740</v>
      </c>
      <c r="L491" s="1" t="n">
        <v>14</v>
      </c>
      <c r="M491" s="1" t="n">
        <f aca="false">(E491+M490)-N491</f>
        <v>10.69</v>
      </c>
      <c r="N491" s="1" t="n">
        <v>1.5</v>
      </c>
    </row>
    <row r="492" customFormat="false" ht="15" hidden="false" customHeight="true" outlineLevel="0" collapsed="false">
      <c r="D492" s="5" t="n">
        <v>44750</v>
      </c>
      <c r="H492" s="1" t="s">
        <v>34</v>
      </c>
      <c r="I492" s="1" t="s">
        <v>36</v>
      </c>
      <c r="J492" s="1" t="n">
        <f aca="false">K491</f>
        <v>152740</v>
      </c>
      <c r="K492" s="1" t="n">
        <f aca="false">J492+L492</f>
        <v>152755</v>
      </c>
      <c r="L492" s="1" t="n">
        <v>15</v>
      </c>
      <c r="M492" s="1" t="n">
        <f aca="false">(E492+M491)-N492</f>
        <v>8.88999999999997</v>
      </c>
      <c r="N492" s="1" t="n">
        <v>1.8</v>
      </c>
    </row>
    <row r="493" customFormat="false" ht="15" hidden="false" customHeight="true" outlineLevel="0" collapsed="false">
      <c r="D493" s="5"/>
      <c r="H493" s="1" t="s">
        <v>36</v>
      </c>
      <c r="I493" s="1" t="s">
        <v>34</v>
      </c>
      <c r="J493" s="1" t="n">
        <f aca="false">K492</f>
        <v>152755</v>
      </c>
      <c r="K493" s="1" t="n">
        <f aca="false">J493+L493</f>
        <v>152770</v>
      </c>
      <c r="L493" s="1" t="n">
        <v>15</v>
      </c>
      <c r="M493" s="1" t="n">
        <f aca="false">(E493+M492)-N493</f>
        <v>7.08999999999997</v>
      </c>
      <c r="N493" s="1" t="n">
        <v>1.8</v>
      </c>
    </row>
    <row r="494" customFormat="false" ht="15" hidden="false" customHeight="true" outlineLevel="0" collapsed="false">
      <c r="D494" s="5"/>
      <c r="H494" s="1" t="s">
        <v>34</v>
      </c>
      <c r="I494" s="1" t="s">
        <v>43</v>
      </c>
      <c r="J494" s="1" t="n">
        <f aca="false">K493</f>
        <v>152770</v>
      </c>
      <c r="K494" s="1" t="n">
        <f aca="false">J494+L494</f>
        <v>152782</v>
      </c>
      <c r="L494" s="1" t="n">
        <v>12</v>
      </c>
      <c r="M494" s="1" t="n">
        <f aca="false">(E494+M493)-N494</f>
        <v>5.83999999999997</v>
      </c>
      <c r="N494" s="1" t="n">
        <v>1.25</v>
      </c>
    </row>
    <row r="495" customFormat="false" ht="15" hidden="false" customHeight="true" outlineLevel="0" collapsed="false">
      <c r="D495" s="5"/>
      <c r="H495" s="1" t="s">
        <v>43</v>
      </c>
      <c r="I495" s="1" t="s">
        <v>34</v>
      </c>
      <c r="J495" s="1" t="n">
        <f aca="false">K494</f>
        <v>152782</v>
      </c>
      <c r="K495" s="1" t="n">
        <f aca="false">J495+L495</f>
        <v>152794</v>
      </c>
      <c r="L495" s="1" t="n">
        <v>12</v>
      </c>
      <c r="M495" s="1" t="n">
        <f aca="false">(E495+M494)-N495</f>
        <v>4.58999999999997</v>
      </c>
      <c r="N495" s="1" t="n">
        <v>1.25</v>
      </c>
    </row>
    <row r="496" customFormat="false" ht="15" hidden="false" customHeight="true" outlineLevel="0" collapsed="false">
      <c r="D496" s="5" t="n">
        <v>44753</v>
      </c>
      <c r="E496" s="0" t="n">
        <v>27.07</v>
      </c>
      <c r="F496" s="1" t="n">
        <v>51.9</v>
      </c>
      <c r="G496" s="6" t="n">
        <f aca="false">E496*F496</f>
        <v>1404.933</v>
      </c>
      <c r="H496" s="1" t="s">
        <v>34</v>
      </c>
      <c r="I496" s="1" t="s">
        <v>45</v>
      </c>
      <c r="J496" s="1" t="n">
        <f aca="false">K495</f>
        <v>152794</v>
      </c>
      <c r="K496" s="1" t="n">
        <f aca="false">J496+L496</f>
        <v>152821</v>
      </c>
      <c r="L496" s="1" t="n">
        <v>27</v>
      </c>
      <c r="M496" s="1" t="n">
        <f aca="false">(E496+M495)-N496</f>
        <v>28.46</v>
      </c>
      <c r="N496" s="1" t="n">
        <v>3.2</v>
      </c>
    </row>
    <row r="497" customFormat="false" ht="15" hidden="false" customHeight="true" outlineLevel="0" collapsed="false">
      <c r="D497" s="5"/>
      <c r="G497" s="6"/>
      <c r="H497" s="1" t="s">
        <v>45</v>
      </c>
      <c r="I497" s="1" t="s">
        <v>34</v>
      </c>
      <c r="J497" s="1" t="n">
        <f aca="false">K496</f>
        <v>152821</v>
      </c>
      <c r="K497" s="1" t="n">
        <f aca="false">J497+L497</f>
        <v>152848</v>
      </c>
      <c r="L497" s="1" t="n">
        <v>27</v>
      </c>
      <c r="M497" s="1" t="n">
        <f aca="false">(E497+M496)-N497</f>
        <v>25.26</v>
      </c>
      <c r="N497" s="1" t="n">
        <v>3.2</v>
      </c>
    </row>
    <row r="498" customFormat="false" ht="15" hidden="false" customHeight="true" outlineLevel="0" collapsed="false">
      <c r="D498" s="5" t="n">
        <v>44754</v>
      </c>
      <c r="H498" s="1" t="s">
        <v>34</v>
      </c>
      <c r="I498" s="1" t="s">
        <v>36</v>
      </c>
      <c r="J498" s="1" t="n">
        <f aca="false">K497</f>
        <v>152848</v>
      </c>
      <c r="K498" s="1" t="n">
        <f aca="false">J498+L498</f>
        <v>152863</v>
      </c>
      <c r="L498" s="1" t="n">
        <v>15</v>
      </c>
      <c r="M498" s="1" t="n">
        <f aca="false">(E498+M497)-N498</f>
        <v>23.46</v>
      </c>
      <c r="N498" s="1" t="n">
        <v>1.8</v>
      </c>
    </row>
    <row r="499" customFormat="false" ht="15" hidden="false" customHeight="true" outlineLevel="0" collapsed="false">
      <c r="D499" s="5"/>
      <c r="H499" s="1" t="s">
        <v>36</v>
      </c>
      <c r="I499" s="1" t="s">
        <v>34</v>
      </c>
      <c r="J499" s="1" t="n">
        <f aca="false">K498</f>
        <v>152863</v>
      </c>
      <c r="K499" s="1" t="n">
        <f aca="false">J499+L499</f>
        <v>152878</v>
      </c>
      <c r="L499" s="1" t="n">
        <v>15</v>
      </c>
      <c r="M499" s="1" t="n">
        <f aca="false">(E499+M498)-N499</f>
        <v>21.66</v>
      </c>
      <c r="N499" s="1" t="n">
        <v>1.8</v>
      </c>
    </row>
    <row r="500" customFormat="false" ht="15" hidden="false" customHeight="true" outlineLevel="0" collapsed="false">
      <c r="D500" s="5"/>
      <c r="H500" s="1" t="s">
        <v>34</v>
      </c>
      <c r="I500" s="1" t="s">
        <v>35</v>
      </c>
      <c r="J500" s="1" t="n">
        <f aca="false">K499</f>
        <v>152878</v>
      </c>
      <c r="K500" s="1" t="n">
        <f aca="false">J500+L500</f>
        <v>152890</v>
      </c>
      <c r="L500" s="1" t="n">
        <v>12</v>
      </c>
      <c r="M500" s="1" t="n">
        <f aca="false">(E500+M499)-N500</f>
        <v>20.41</v>
      </c>
      <c r="N500" s="1" t="n">
        <v>1.25</v>
      </c>
    </row>
    <row r="501" customFormat="false" ht="15" hidden="false" customHeight="true" outlineLevel="0" collapsed="false">
      <c r="D501" s="5"/>
      <c r="H501" s="1" t="s">
        <v>35</v>
      </c>
      <c r="I501" s="1" t="s">
        <v>34</v>
      </c>
      <c r="J501" s="1" t="n">
        <f aca="false">K500</f>
        <v>152890</v>
      </c>
      <c r="K501" s="1" t="n">
        <f aca="false">J501+L501</f>
        <v>152902</v>
      </c>
      <c r="L501" s="1" t="n">
        <v>12</v>
      </c>
      <c r="M501" s="1" t="n">
        <f aca="false">(E501+M500)-N501</f>
        <v>19.16</v>
      </c>
      <c r="N501" s="1" t="n">
        <v>1.25</v>
      </c>
    </row>
    <row r="502" customFormat="false" ht="15" hidden="false" customHeight="true" outlineLevel="0" collapsed="false">
      <c r="D502" s="5" t="n">
        <v>44755</v>
      </c>
      <c r="H502" s="1" t="s">
        <v>34</v>
      </c>
      <c r="I502" s="1" t="s">
        <v>44</v>
      </c>
      <c r="J502" s="1" t="n">
        <f aca="false">K501</f>
        <v>152902</v>
      </c>
      <c r="K502" s="1" t="n">
        <f aca="false">J502+L502</f>
        <v>152942</v>
      </c>
      <c r="L502" s="1" t="n">
        <v>40</v>
      </c>
      <c r="M502" s="1" t="n">
        <f aca="false">(E502+M501)-N502</f>
        <v>14.36</v>
      </c>
      <c r="N502" s="1" t="n">
        <v>4.8</v>
      </c>
    </row>
    <row r="503" customFormat="false" ht="15" hidden="false" customHeight="true" outlineLevel="0" collapsed="false">
      <c r="D503" s="5"/>
      <c r="H503" s="1" t="s">
        <v>44</v>
      </c>
      <c r="I503" s="1" t="s">
        <v>34</v>
      </c>
      <c r="J503" s="1" t="n">
        <f aca="false">K502</f>
        <v>152942</v>
      </c>
      <c r="K503" s="1" t="n">
        <f aca="false">J503+L503</f>
        <v>152982</v>
      </c>
      <c r="L503" s="1" t="n">
        <v>40</v>
      </c>
      <c r="M503" s="1" t="n">
        <f aca="false">(E503+M502)-N503</f>
        <v>9.55999999999997</v>
      </c>
      <c r="N503" s="1" t="n">
        <v>4.8</v>
      </c>
    </row>
    <row r="504" customFormat="false" ht="15" hidden="false" customHeight="true" outlineLevel="0" collapsed="false">
      <c r="D504" s="5" t="n">
        <v>44756</v>
      </c>
      <c r="E504" s="8"/>
      <c r="F504" s="9"/>
      <c r="G504" s="10"/>
      <c r="H504" s="1" t="s">
        <v>34</v>
      </c>
      <c r="I504" s="1" t="s">
        <v>35</v>
      </c>
      <c r="J504" s="1" t="n">
        <f aca="false">K503</f>
        <v>152982</v>
      </c>
      <c r="K504" s="1" t="n">
        <f aca="false">J504+L504</f>
        <v>152994</v>
      </c>
      <c r="L504" s="1" t="n">
        <v>12</v>
      </c>
      <c r="M504" s="1" t="n">
        <f aca="false">(E504+M503)-N504</f>
        <v>8.30999999999997</v>
      </c>
      <c r="N504" s="1" t="n">
        <v>1.25</v>
      </c>
    </row>
    <row r="505" customFormat="false" ht="15" hidden="false" customHeight="true" outlineLevel="0" collapsed="false">
      <c r="D505" s="5"/>
      <c r="E505" s="8"/>
      <c r="F505" s="9"/>
      <c r="G505" s="10"/>
      <c r="H505" s="1" t="s">
        <v>35</v>
      </c>
      <c r="I505" s="1" t="s">
        <v>34</v>
      </c>
      <c r="J505" s="1" t="n">
        <f aca="false">K504</f>
        <v>152994</v>
      </c>
      <c r="K505" s="1" t="n">
        <f aca="false">J505+L505</f>
        <v>153006</v>
      </c>
      <c r="L505" s="1" t="n">
        <v>12</v>
      </c>
      <c r="M505" s="1" t="n">
        <f aca="false">(E505+M504)-N505</f>
        <v>7.05999999999997</v>
      </c>
      <c r="N505" s="1" t="n">
        <v>1.25</v>
      </c>
    </row>
    <row r="506" customFormat="false" ht="15" hidden="false" customHeight="true" outlineLevel="0" collapsed="false">
      <c r="D506" s="5" t="n">
        <v>44757</v>
      </c>
      <c r="H506" s="1" t="s">
        <v>34</v>
      </c>
      <c r="I506" s="1" t="s">
        <v>36</v>
      </c>
      <c r="J506" s="1" t="n">
        <f aca="false">K505</f>
        <v>153006</v>
      </c>
      <c r="K506" s="1" t="n">
        <f aca="false">J506+L506</f>
        <v>153021</v>
      </c>
      <c r="L506" s="1" t="n">
        <v>15</v>
      </c>
      <c r="M506" s="1" t="n">
        <f aca="false">(E506+M505)-N506</f>
        <v>5.25999999999997</v>
      </c>
      <c r="N506" s="1" t="n">
        <v>1.8</v>
      </c>
    </row>
    <row r="507" customFormat="false" ht="15" hidden="false" customHeight="true" outlineLevel="0" collapsed="false">
      <c r="D507" s="5"/>
      <c r="H507" s="1" t="s">
        <v>36</v>
      </c>
      <c r="I507" s="1" t="s">
        <v>34</v>
      </c>
      <c r="J507" s="1" t="n">
        <f aca="false">K506</f>
        <v>153021</v>
      </c>
      <c r="K507" s="1" t="n">
        <f aca="false">J507+L507</f>
        <v>153036</v>
      </c>
      <c r="L507" s="1" t="n">
        <v>15</v>
      </c>
      <c r="M507" s="1" t="n">
        <f aca="false">(E507+M506)-N507</f>
        <v>3.45999999999997</v>
      </c>
      <c r="N507" s="1" t="n">
        <v>1.8</v>
      </c>
    </row>
    <row r="508" customFormat="false" ht="15" hidden="false" customHeight="true" outlineLevel="0" collapsed="false">
      <c r="D508" s="5" t="n">
        <v>44760</v>
      </c>
      <c r="H508" s="1" t="s">
        <v>34</v>
      </c>
      <c r="I508" s="1" t="s">
        <v>35</v>
      </c>
      <c r="J508" s="1" t="n">
        <f aca="false">K507</f>
        <v>153036</v>
      </c>
      <c r="K508" s="1" t="n">
        <f aca="false">J508+L508</f>
        <v>153048</v>
      </c>
      <c r="L508" s="1" t="n">
        <v>12</v>
      </c>
      <c r="M508" s="1" t="n">
        <f aca="false">(E508+M507)-N508</f>
        <v>2.20999999999997</v>
      </c>
      <c r="N508" s="1" t="n">
        <v>1.25</v>
      </c>
    </row>
    <row r="509" customFormat="false" ht="15" hidden="false" customHeight="true" outlineLevel="0" collapsed="false">
      <c r="D509" s="5"/>
      <c r="H509" s="1" t="s">
        <v>35</v>
      </c>
      <c r="I509" s="1" t="s">
        <v>34</v>
      </c>
      <c r="J509" s="1" t="n">
        <f aca="false">K508</f>
        <v>153048</v>
      </c>
      <c r="K509" s="1" t="n">
        <f aca="false">J509+L509</f>
        <v>153060</v>
      </c>
      <c r="L509" s="1" t="n">
        <v>12</v>
      </c>
      <c r="M509" s="1" t="n">
        <f aca="false">(E509+M508)-N509</f>
        <v>0.959999999999967</v>
      </c>
      <c r="N509" s="1" t="n">
        <v>1.25</v>
      </c>
    </row>
    <row r="510" customFormat="false" ht="15" hidden="false" customHeight="true" outlineLevel="0" collapsed="false">
      <c r="D510" s="5" t="n">
        <v>44761</v>
      </c>
      <c r="E510" s="0" t="n">
        <v>29.73</v>
      </c>
      <c r="F510" s="1" t="n">
        <v>51.6</v>
      </c>
      <c r="G510" s="6" t="n">
        <f aca="false">E510*F510</f>
        <v>1534.068</v>
      </c>
      <c r="H510" s="1" t="s">
        <v>34</v>
      </c>
      <c r="I510" s="1" t="s">
        <v>43</v>
      </c>
      <c r="J510" s="1" t="n">
        <f aca="false">K509</f>
        <v>153060</v>
      </c>
      <c r="K510" s="1" t="n">
        <f aca="false">J510+L510</f>
        <v>153072</v>
      </c>
      <c r="L510" s="1" t="n">
        <v>12</v>
      </c>
      <c r="M510" s="1" t="n">
        <f aca="false">(E510+M509)-N510</f>
        <v>29.44</v>
      </c>
      <c r="N510" s="1" t="n">
        <v>1.25</v>
      </c>
    </row>
    <row r="511" customFormat="false" ht="15" hidden="false" customHeight="true" outlineLevel="0" collapsed="false">
      <c r="D511" s="5"/>
      <c r="G511" s="6"/>
      <c r="H511" s="1" t="s">
        <v>43</v>
      </c>
      <c r="I511" s="1" t="s">
        <v>34</v>
      </c>
      <c r="J511" s="1" t="n">
        <f aca="false">K510</f>
        <v>153072</v>
      </c>
      <c r="K511" s="1" t="n">
        <f aca="false">J511+L511</f>
        <v>153084</v>
      </c>
      <c r="L511" s="1" t="n">
        <v>12</v>
      </c>
      <c r="M511" s="1" t="n">
        <f aca="false">(E511+M510)-N511</f>
        <v>28.19</v>
      </c>
      <c r="N511" s="1" t="n">
        <v>1.25</v>
      </c>
    </row>
    <row r="512" customFormat="false" ht="15" hidden="false" customHeight="true" outlineLevel="0" collapsed="false">
      <c r="D512" s="5" t="n">
        <v>44762</v>
      </c>
      <c r="H512" s="1" t="s">
        <v>34</v>
      </c>
      <c r="I512" s="1" t="s">
        <v>35</v>
      </c>
      <c r="J512" s="1" t="n">
        <f aca="false">K511</f>
        <v>153084</v>
      </c>
      <c r="K512" s="1" t="n">
        <f aca="false">J512+L512</f>
        <v>153096</v>
      </c>
      <c r="L512" s="1" t="n">
        <v>12</v>
      </c>
      <c r="M512" s="1" t="n">
        <f aca="false">(E512+M511)-N512</f>
        <v>26.94</v>
      </c>
      <c r="N512" s="1" t="n">
        <v>1.25</v>
      </c>
    </row>
    <row r="513" customFormat="false" ht="15" hidden="false" customHeight="true" outlineLevel="0" collapsed="false">
      <c r="D513" s="5"/>
      <c r="H513" s="1" t="s">
        <v>35</v>
      </c>
      <c r="I513" s="1" t="s">
        <v>34</v>
      </c>
      <c r="J513" s="1" t="n">
        <f aca="false">K512</f>
        <v>153096</v>
      </c>
      <c r="K513" s="1" t="n">
        <f aca="false">J513+L513</f>
        <v>153108</v>
      </c>
      <c r="L513" s="1" t="n">
        <v>12</v>
      </c>
      <c r="M513" s="1" t="n">
        <f aca="false">(E513+M512)-N513</f>
        <v>25.69</v>
      </c>
      <c r="N513" s="1" t="n">
        <v>1.25</v>
      </c>
    </row>
    <row r="514" customFormat="false" ht="15" hidden="false" customHeight="true" outlineLevel="0" collapsed="false">
      <c r="D514" s="5"/>
      <c r="H514" s="1" t="s">
        <v>34</v>
      </c>
      <c r="I514" s="1" t="s">
        <v>36</v>
      </c>
      <c r="J514" s="1" t="n">
        <f aca="false">K513</f>
        <v>153108</v>
      </c>
      <c r="K514" s="1" t="n">
        <f aca="false">J514+L514</f>
        <v>153123</v>
      </c>
      <c r="L514" s="1" t="n">
        <v>15</v>
      </c>
      <c r="M514" s="1" t="n">
        <f aca="false">(E514+M513)-N514</f>
        <v>23.89</v>
      </c>
      <c r="N514" s="1" t="n">
        <v>1.8</v>
      </c>
    </row>
    <row r="515" customFormat="false" ht="15" hidden="false" customHeight="true" outlineLevel="0" collapsed="false">
      <c r="D515" s="5"/>
      <c r="H515" s="1" t="s">
        <v>36</v>
      </c>
      <c r="I515" s="1" t="s">
        <v>34</v>
      </c>
      <c r="J515" s="1" t="n">
        <f aca="false">K514</f>
        <v>153123</v>
      </c>
      <c r="K515" s="1" t="n">
        <f aca="false">J515+L515</f>
        <v>153138</v>
      </c>
      <c r="L515" s="1" t="n">
        <v>15</v>
      </c>
      <c r="M515" s="1" t="n">
        <f aca="false">(E515+M514)-N515</f>
        <v>22.09</v>
      </c>
      <c r="N515" s="1" t="n">
        <v>1.8</v>
      </c>
    </row>
    <row r="516" customFormat="false" ht="15" hidden="false" customHeight="true" outlineLevel="0" collapsed="false">
      <c r="D516" s="5" t="n">
        <v>44763</v>
      </c>
      <c r="H516" s="1" t="s">
        <v>34</v>
      </c>
      <c r="I516" s="1" t="s">
        <v>44</v>
      </c>
      <c r="J516" s="1" t="n">
        <f aca="false">K515</f>
        <v>153138</v>
      </c>
      <c r="K516" s="1" t="n">
        <f aca="false">J516+L516</f>
        <v>153178</v>
      </c>
      <c r="L516" s="1" t="n">
        <v>40</v>
      </c>
      <c r="M516" s="1" t="n">
        <f aca="false">(E516+M515)-N516</f>
        <v>17.29</v>
      </c>
      <c r="N516" s="1" t="n">
        <v>4.8</v>
      </c>
    </row>
    <row r="517" customFormat="false" ht="15" hidden="false" customHeight="true" outlineLevel="0" collapsed="false">
      <c r="D517" s="5"/>
      <c r="H517" s="1" t="s">
        <v>44</v>
      </c>
      <c r="I517" s="1" t="s">
        <v>34</v>
      </c>
      <c r="J517" s="1" t="n">
        <f aca="false">K516</f>
        <v>153178</v>
      </c>
      <c r="K517" s="1" t="n">
        <f aca="false">J517+L517</f>
        <v>153218</v>
      </c>
      <c r="L517" s="1" t="n">
        <v>40</v>
      </c>
      <c r="M517" s="1" t="n">
        <f aca="false">(E517+M516)-N517</f>
        <v>12.49</v>
      </c>
      <c r="N517" s="1" t="n">
        <v>4.8</v>
      </c>
    </row>
    <row r="518" customFormat="false" ht="15" hidden="false" customHeight="true" outlineLevel="0" collapsed="false">
      <c r="D518" s="5" t="n">
        <v>44764</v>
      </c>
      <c r="H518" s="1" t="s">
        <v>34</v>
      </c>
      <c r="I518" s="1" t="s">
        <v>37</v>
      </c>
      <c r="J518" s="1" t="n">
        <f aca="false">K517</f>
        <v>153218</v>
      </c>
      <c r="K518" s="1" t="n">
        <f aca="false">J518+L518</f>
        <v>153258</v>
      </c>
      <c r="L518" s="1" t="n">
        <v>40</v>
      </c>
      <c r="M518" s="1" t="n">
        <f aca="false">(E518+M517)-N518</f>
        <v>7.68999999999997</v>
      </c>
      <c r="N518" s="1" t="n">
        <v>4.8</v>
      </c>
    </row>
    <row r="519" customFormat="false" ht="15" hidden="false" customHeight="true" outlineLevel="0" collapsed="false">
      <c r="D519" s="5"/>
      <c r="H519" s="1" t="s">
        <v>37</v>
      </c>
      <c r="I519" s="1" t="s">
        <v>34</v>
      </c>
      <c r="J519" s="1" t="n">
        <f aca="false">K518</f>
        <v>153258</v>
      </c>
      <c r="K519" s="1" t="n">
        <f aca="false">J519+L519</f>
        <v>153298</v>
      </c>
      <c r="L519" s="1" t="n">
        <v>40</v>
      </c>
      <c r="M519" s="1" t="n">
        <f aca="false">(E519+M518)-N519</f>
        <v>2.88999999999997</v>
      </c>
      <c r="N519" s="1" t="n">
        <v>4.8</v>
      </c>
    </row>
    <row r="520" customFormat="false" ht="15" hidden="false" customHeight="true" outlineLevel="0" collapsed="false">
      <c r="D520" s="5" t="n">
        <v>44767</v>
      </c>
      <c r="H520" s="1" t="s">
        <v>34</v>
      </c>
      <c r="I520" s="1" t="s">
        <v>35</v>
      </c>
      <c r="J520" s="1" t="n">
        <f aca="false">K519</f>
        <v>153298</v>
      </c>
      <c r="K520" s="1" t="n">
        <f aca="false">J520+L520</f>
        <v>153310</v>
      </c>
      <c r="L520" s="1" t="n">
        <v>12</v>
      </c>
      <c r="M520" s="1" t="n">
        <f aca="false">(E520+M519)-N520</f>
        <v>1.63999999999997</v>
      </c>
      <c r="N520" s="1" t="n">
        <v>1.25</v>
      </c>
    </row>
    <row r="521" customFormat="false" ht="15" hidden="false" customHeight="true" outlineLevel="0" collapsed="false">
      <c r="D521" s="5"/>
      <c r="H521" s="1" t="s">
        <v>35</v>
      </c>
      <c r="I521" s="1" t="s">
        <v>34</v>
      </c>
      <c r="J521" s="1" t="n">
        <f aca="false">K520</f>
        <v>153310</v>
      </c>
      <c r="K521" s="1" t="n">
        <f aca="false">J521+L521</f>
        <v>153322</v>
      </c>
      <c r="L521" s="1" t="n">
        <v>12</v>
      </c>
      <c r="M521" s="1" t="n">
        <f aca="false">(E521+M520)-N521</f>
        <v>0.389999999999967</v>
      </c>
      <c r="N521" s="1" t="n">
        <v>1.25</v>
      </c>
    </row>
    <row r="522" customFormat="false" ht="15" hidden="false" customHeight="true" outlineLevel="0" collapsed="false">
      <c r="D522" s="5" t="n">
        <v>44768</v>
      </c>
      <c r="E522" s="0" t="n">
        <v>29.48</v>
      </c>
      <c r="F522" s="1" t="n">
        <v>51.9</v>
      </c>
      <c r="G522" s="6" t="n">
        <f aca="false">E522*F522</f>
        <v>1530.012</v>
      </c>
      <c r="H522" s="1" t="s">
        <v>34</v>
      </c>
      <c r="I522" s="1" t="s">
        <v>35</v>
      </c>
      <c r="J522" s="1" t="n">
        <f aca="false">K521</f>
        <v>153322</v>
      </c>
      <c r="K522" s="1" t="n">
        <f aca="false">J522+L522</f>
        <v>153334</v>
      </c>
      <c r="L522" s="1" t="n">
        <v>12</v>
      </c>
      <c r="M522" s="1" t="n">
        <f aca="false">(E522+M521)-N522</f>
        <v>28.62</v>
      </c>
      <c r="N522" s="1" t="n">
        <v>1.25</v>
      </c>
    </row>
    <row r="523" customFormat="false" ht="15" hidden="false" customHeight="true" outlineLevel="0" collapsed="false">
      <c r="D523" s="5"/>
      <c r="G523" s="6"/>
      <c r="H523" s="1" t="s">
        <v>35</v>
      </c>
      <c r="I523" s="1" t="s">
        <v>34</v>
      </c>
      <c r="J523" s="1" t="n">
        <f aca="false">K522</f>
        <v>153334</v>
      </c>
      <c r="K523" s="1" t="n">
        <f aca="false">J523+L523</f>
        <v>153346</v>
      </c>
      <c r="L523" s="1" t="n">
        <v>12</v>
      </c>
      <c r="M523" s="1" t="n">
        <f aca="false">(E523+M522)-N523</f>
        <v>27.37</v>
      </c>
      <c r="N523" s="1" t="n">
        <v>1.25</v>
      </c>
    </row>
    <row r="524" customFormat="false" ht="15" hidden="false" customHeight="true" outlineLevel="0" collapsed="false">
      <c r="D524" s="5"/>
      <c r="G524" s="6"/>
      <c r="H524" s="1" t="s">
        <v>34</v>
      </c>
      <c r="I524" s="1" t="s">
        <v>44</v>
      </c>
      <c r="J524" s="1" t="n">
        <f aca="false">K523</f>
        <v>153346</v>
      </c>
      <c r="K524" s="1" t="n">
        <f aca="false">J524+L524</f>
        <v>153386</v>
      </c>
      <c r="L524" s="1" t="n">
        <v>40</v>
      </c>
      <c r="M524" s="1" t="n">
        <f aca="false">(E524+M523)-N524</f>
        <v>22.57</v>
      </c>
      <c r="N524" s="1" t="n">
        <v>4.8</v>
      </c>
    </row>
    <row r="525" customFormat="false" ht="15" hidden="false" customHeight="true" outlineLevel="0" collapsed="false">
      <c r="D525" s="5"/>
      <c r="G525" s="6"/>
      <c r="H525" s="1" t="s">
        <v>44</v>
      </c>
      <c r="I525" s="1" t="s">
        <v>34</v>
      </c>
      <c r="J525" s="1" t="n">
        <f aca="false">K524</f>
        <v>153386</v>
      </c>
      <c r="K525" s="1" t="n">
        <f aca="false">J525+L525</f>
        <v>153426</v>
      </c>
      <c r="L525" s="1" t="n">
        <v>40</v>
      </c>
      <c r="M525" s="1" t="n">
        <f aca="false">(E525+M524)-N525</f>
        <v>17.77</v>
      </c>
      <c r="N525" s="1" t="n">
        <v>4.8</v>
      </c>
    </row>
    <row r="526" customFormat="false" ht="15" hidden="false" customHeight="true" outlineLevel="0" collapsed="false">
      <c r="D526" s="5" t="n">
        <v>44769</v>
      </c>
      <c r="H526" s="1" t="s">
        <v>34</v>
      </c>
      <c r="I526" s="1" t="s">
        <v>35</v>
      </c>
      <c r="J526" s="1" t="n">
        <f aca="false">K525</f>
        <v>153426</v>
      </c>
      <c r="K526" s="1" t="n">
        <f aca="false">J526+L526</f>
        <v>153438</v>
      </c>
      <c r="L526" s="1" t="n">
        <v>12</v>
      </c>
      <c r="M526" s="1" t="n">
        <f aca="false">(E526+M525)-N526</f>
        <v>16.52</v>
      </c>
      <c r="N526" s="1" t="n">
        <v>1.25</v>
      </c>
    </row>
    <row r="527" customFormat="false" ht="15" hidden="false" customHeight="true" outlineLevel="0" collapsed="false">
      <c r="D527" s="5"/>
      <c r="H527" s="1" t="s">
        <v>35</v>
      </c>
      <c r="I527" s="1" t="s">
        <v>34</v>
      </c>
      <c r="J527" s="1" t="n">
        <f aca="false">K526</f>
        <v>153438</v>
      </c>
      <c r="K527" s="1" t="n">
        <f aca="false">J527+L527</f>
        <v>153450</v>
      </c>
      <c r="L527" s="1" t="n">
        <v>12</v>
      </c>
      <c r="M527" s="1" t="n">
        <f aca="false">(E527+M526)-N527</f>
        <v>15.27</v>
      </c>
      <c r="N527" s="1" t="n">
        <v>1.25</v>
      </c>
    </row>
    <row r="528" customFormat="false" ht="15" hidden="false" customHeight="true" outlineLevel="0" collapsed="false">
      <c r="D528" s="5" t="n">
        <v>44770</v>
      </c>
      <c r="H528" s="1" t="s">
        <v>34</v>
      </c>
      <c r="I528" s="1" t="s">
        <v>43</v>
      </c>
      <c r="J528" s="1" t="n">
        <f aca="false">K527</f>
        <v>153450</v>
      </c>
      <c r="K528" s="1" t="n">
        <f aca="false">J528+L528</f>
        <v>153462</v>
      </c>
      <c r="L528" s="1" t="n">
        <v>12</v>
      </c>
      <c r="M528" s="1" t="n">
        <f aca="false">(E528+M527)-N528</f>
        <v>14.02</v>
      </c>
      <c r="N528" s="1" t="n">
        <v>1.25</v>
      </c>
    </row>
    <row r="529" customFormat="false" ht="15" hidden="false" customHeight="true" outlineLevel="0" collapsed="false">
      <c r="D529" s="5"/>
      <c r="H529" s="1" t="s">
        <v>43</v>
      </c>
      <c r="I529" s="1" t="s">
        <v>34</v>
      </c>
      <c r="J529" s="1" t="n">
        <f aca="false">K528</f>
        <v>153462</v>
      </c>
      <c r="K529" s="1" t="n">
        <f aca="false">J529+L529</f>
        <v>153474</v>
      </c>
      <c r="L529" s="1" t="n">
        <v>12</v>
      </c>
      <c r="M529" s="1" t="n">
        <f aca="false">(E529+M528)-N529</f>
        <v>12.77</v>
      </c>
      <c r="N529" s="1" t="n">
        <v>1.25</v>
      </c>
    </row>
    <row r="530" customFormat="false" ht="15" hidden="false" customHeight="true" outlineLevel="0" collapsed="false">
      <c r="D530" s="5"/>
      <c r="H530" s="1" t="s">
        <v>34</v>
      </c>
      <c r="I530" s="1" t="s">
        <v>24</v>
      </c>
      <c r="J530" s="1" t="n">
        <f aca="false">K529</f>
        <v>153474</v>
      </c>
      <c r="K530" s="1" t="n">
        <f aca="false">J530+L530</f>
        <v>153488</v>
      </c>
      <c r="L530" s="1" t="n">
        <v>14</v>
      </c>
      <c r="M530" s="1" t="n">
        <f aca="false">(E530+M529)-N530</f>
        <v>11.27</v>
      </c>
      <c r="N530" s="1" t="n">
        <v>1.5</v>
      </c>
    </row>
    <row r="531" customFormat="false" ht="15" hidden="false" customHeight="true" outlineLevel="0" collapsed="false">
      <c r="D531" s="5"/>
      <c r="H531" s="1" t="s">
        <v>24</v>
      </c>
      <c r="I531" s="1" t="s">
        <v>34</v>
      </c>
      <c r="J531" s="1" t="n">
        <f aca="false">K530</f>
        <v>153488</v>
      </c>
      <c r="K531" s="1" t="n">
        <f aca="false">J531+L531</f>
        <v>153502</v>
      </c>
      <c r="L531" s="1" t="n">
        <v>14</v>
      </c>
      <c r="M531" s="1" t="n">
        <f aca="false">(E531+M530)-N531</f>
        <v>9.76999999999997</v>
      </c>
      <c r="N531" s="1" t="n">
        <v>1.5</v>
      </c>
    </row>
    <row r="532" customFormat="false" ht="15" hidden="false" customHeight="true" outlineLevel="0" collapsed="false">
      <c r="D532" s="5" t="n">
        <v>44771</v>
      </c>
      <c r="E532" s="0" t="n">
        <v>30.64</v>
      </c>
      <c r="F532" s="1" t="n">
        <v>51.6</v>
      </c>
      <c r="G532" s="6" t="n">
        <f aca="false">E532*F532</f>
        <v>1581.024</v>
      </c>
      <c r="H532" s="1" t="s">
        <v>34</v>
      </c>
      <c r="I532" s="1" t="s">
        <v>36</v>
      </c>
      <c r="J532" s="1" t="n">
        <f aca="false">K531</f>
        <v>153502</v>
      </c>
      <c r="K532" s="1" t="n">
        <f aca="false">J532+L532</f>
        <v>153517</v>
      </c>
      <c r="L532" s="1" t="n">
        <v>15</v>
      </c>
      <c r="M532" s="1" t="n">
        <f aca="false">(E532+M531)-N532</f>
        <v>38.61</v>
      </c>
      <c r="N532" s="1" t="n">
        <v>1.8</v>
      </c>
    </row>
    <row r="533" customFormat="false" ht="15" hidden="false" customHeight="true" outlineLevel="0" collapsed="false">
      <c r="D533" s="5"/>
      <c r="G533" s="6"/>
      <c r="H533" s="1" t="s">
        <v>36</v>
      </c>
      <c r="I533" s="1" t="s">
        <v>34</v>
      </c>
      <c r="J533" s="1" t="n">
        <f aca="false">K532</f>
        <v>153517</v>
      </c>
      <c r="K533" s="1" t="n">
        <f aca="false">J533+L533</f>
        <v>153532</v>
      </c>
      <c r="L533" s="1" t="n">
        <v>15</v>
      </c>
      <c r="M533" s="1" t="n">
        <f aca="false">(E533+M532)-N533</f>
        <v>36.81</v>
      </c>
      <c r="N533" s="1" t="n">
        <v>1.8</v>
      </c>
    </row>
    <row r="534" customFormat="false" ht="15" hidden="false" customHeight="true" outlineLevel="0" collapsed="false">
      <c r="D534" s="5"/>
      <c r="G534" s="6"/>
      <c r="H534" s="1" t="s">
        <v>34</v>
      </c>
      <c r="I534" s="1" t="s">
        <v>44</v>
      </c>
      <c r="J534" s="1" t="n">
        <f aca="false">K533</f>
        <v>153532</v>
      </c>
      <c r="K534" s="1" t="n">
        <f aca="false">J534+L534</f>
        <v>153572</v>
      </c>
      <c r="L534" s="1" t="n">
        <v>40</v>
      </c>
      <c r="M534" s="1" t="n">
        <f aca="false">(E534+M533)-N534</f>
        <v>32.01</v>
      </c>
      <c r="N534" s="1" t="n">
        <v>4.8</v>
      </c>
    </row>
    <row r="535" customFormat="false" ht="15" hidden="false" customHeight="true" outlineLevel="0" collapsed="false">
      <c r="D535" s="5"/>
      <c r="G535" s="6"/>
      <c r="H535" s="1" t="s">
        <v>44</v>
      </c>
      <c r="I535" s="1" t="s">
        <v>34</v>
      </c>
      <c r="J535" s="1" t="n">
        <f aca="false">K534</f>
        <v>153572</v>
      </c>
      <c r="K535" s="1" t="n">
        <f aca="false">J535+L535</f>
        <v>153612</v>
      </c>
      <c r="L535" s="1" t="n">
        <v>40</v>
      </c>
      <c r="M535" s="1" t="n">
        <f aca="false">(E535+M534)-N535</f>
        <v>27.21</v>
      </c>
      <c r="N535" s="1" t="n">
        <v>4.8</v>
      </c>
    </row>
    <row r="536" customFormat="false" ht="15" hidden="false" customHeight="true" outlineLevel="0" collapsed="false">
      <c r="D536" s="5"/>
      <c r="G536" s="6"/>
      <c r="H536" s="1" t="s">
        <v>34</v>
      </c>
      <c r="I536" s="1" t="s">
        <v>45</v>
      </c>
      <c r="J536" s="1" t="n">
        <f aca="false">K535</f>
        <v>153612</v>
      </c>
      <c r="K536" s="1" t="n">
        <f aca="false">J536+L536</f>
        <v>153639</v>
      </c>
      <c r="L536" s="1" t="n">
        <v>27</v>
      </c>
      <c r="M536" s="1" t="n">
        <f aca="false">(E536+M535)-N536</f>
        <v>24.01</v>
      </c>
      <c r="N536" s="1" t="n">
        <v>3.2</v>
      </c>
    </row>
    <row r="537" customFormat="false" ht="15" hidden="false" customHeight="true" outlineLevel="0" collapsed="false">
      <c r="D537" s="5"/>
      <c r="H537" s="1" t="s">
        <v>45</v>
      </c>
      <c r="I537" s="1" t="s">
        <v>34</v>
      </c>
      <c r="J537" s="1" t="n">
        <f aca="false">K536</f>
        <v>153639</v>
      </c>
      <c r="K537" s="1" t="n">
        <f aca="false">J537+L537</f>
        <v>153666</v>
      </c>
      <c r="L537" s="1" t="n">
        <v>27</v>
      </c>
      <c r="M537" s="1" t="n">
        <f aca="false">(E537+M536)-N537</f>
        <v>20.81</v>
      </c>
      <c r="N537" s="1" t="n">
        <v>3.2</v>
      </c>
    </row>
    <row r="538" customFormat="false" ht="15" hidden="false" customHeight="true" outlineLevel="0" collapsed="false">
      <c r="D538" s="4" t="s">
        <v>48</v>
      </c>
      <c r="E538" s="4"/>
      <c r="F538" s="4"/>
      <c r="G538" s="4"/>
    </row>
    <row r="539" customFormat="false" ht="15" hidden="false" customHeight="true" outlineLevel="0" collapsed="false">
      <c r="D539" s="11" t="n">
        <v>44774</v>
      </c>
      <c r="E539" s="0" t="n">
        <v>9.61</v>
      </c>
      <c r="F539" s="1" t="n">
        <v>51.9</v>
      </c>
      <c r="G539" s="6" t="n">
        <f aca="false">E539*F539</f>
        <v>498.759</v>
      </c>
      <c r="H539" s="1" t="s">
        <v>34</v>
      </c>
      <c r="I539" s="1" t="s">
        <v>35</v>
      </c>
      <c r="J539" s="1" t="n">
        <f aca="false">K537</f>
        <v>153666</v>
      </c>
      <c r="K539" s="1" t="n">
        <f aca="false">J539+L539</f>
        <v>153678</v>
      </c>
      <c r="L539" s="1" t="n">
        <v>12</v>
      </c>
      <c r="M539" s="1" t="n">
        <f aca="false">(E539+M537)-N539</f>
        <v>29.17</v>
      </c>
      <c r="N539" s="1" t="n">
        <v>1.25</v>
      </c>
    </row>
    <row r="540" customFormat="false" ht="15" hidden="false" customHeight="true" outlineLevel="0" collapsed="false">
      <c r="H540" s="1" t="s">
        <v>35</v>
      </c>
      <c r="I540" s="1" t="s">
        <v>34</v>
      </c>
      <c r="J540" s="1" t="n">
        <f aca="false">K539</f>
        <v>153678</v>
      </c>
      <c r="K540" s="1" t="n">
        <f aca="false">J540+L540</f>
        <v>153690</v>
      </c>
      <c r="L540" s="1" t="n">
        <v>12</v>
      </c>
      <c r="M540" s="1" t="n">
        <f aca="false">(E540+M539)-N540</f>
        <v>27.92</v>
      </c>
      <c r="N540" s="1" t="n">
        <v>1.25</v>
      </c>
    </row>
    <row r="541" customFormat="false" ht="15" hidden="false" customHeight="true" outlineLevel="0" collapsed="false">
      <c r="H541" s="1" t="s">
        <v>34</v>
      </c>
      <c r="I541" s="1" t="s">
        <v>37</v>
      </c>
      <c r="J541" s="1" t="n">
        <f aca="false">K540</f>
        <v>153690</v>
      </c>
      <c r="K541" s="1" t="n">
        <f aca="false">J541+L541</f>
        <v>153730</v>
      </c>
      <c r="L541" s="1" t="n">
        <v>40</v>
      </c>
      <c r="M541" s="1" t="n">
        <f aca="false">(E541+M540)-N541</f>
        <v>23.12</v>
      </c>
      <c r="N541" s="1" t="n">
        <v>4.8</v>
      </c>
    </row>
    <row r="542" customFormat="false" ht="15" hidden="false" customHeight="true" outlineLevel="0" collapsed="false">
      <c r="H542" s="1" t="s">
        <v>37</v>
      </c>
      <c r="I542" s="1" t="s">
        <v>34</v>
      </c>
      <c r="J542" s="1" t="n">
        <f aca="false">K541</f>
        <v>153730</v>
      </c>
      <c r="K542" s="1" t="n">
        <f aca="false">J542+L542</f>
        <v>153770</v>
      </c>
      <c r="L542" s="1" t="n">
        <v>40</v>
      </c>
      <c r="M542" s="1" t="n">
        <f aca="false">(E542+M541)-N542</f>
        <v>18.32</v>
      </c>
      <c r="N542" s="1" t="n">
        <v>4.8</v>
      </c>
    </row>
    <row r="543" customFormat="false" ht="15" hidden="false" customHeight="true" outlineLevel="0" collapsed="false">
      <c r="D543" s="11" t="n">
        <v>44775</v>
      </c>
      <c r="H543" s="1" t="s">
        <v>34</v>
      </c>
      <c r="I543" s="1" t="s">
        <v>36</v>
      </c>
      <c r="J543" s="1" t="n">
        <f aca="false">K542</f>
        <v>153770</v>
      </c>
      <c r="K543" s="1" t="n">
        <f aca="false">J543+L543</f>
        <v>153785</v>
      </c>
      <c r="L543" s="1" t="n">
        <v>15</v>
      </c>
      <c r="M543" s="1" t="n">
        <f aca="false">(E543+M542)-N543</f>
        <v>16.52</v>
      </c>
      <c r="N543" s="1" t="n">
        <v>1.8</v>
      </c>
    </row>
    <row r="544" customFormat="false" ht="15" hidden="false" customHeight="true" outlineLevel="0" collapsed="false">
      <c r="D544" s="11"/>
      <c r="H544" s="1" t="s">
        <v>36</v>
      </c>
      <c r="I544" s="1" t="s">
        <v>34</v>
      </c>
      <c r="J544" s="1" t="n">
        <f aca="false">K543</f>
        <v>153785</v>
      </c>
      <c r="K544" s="1" t="n">
        <f aca="false">J544+L544</f>
        <v>153800</v>
      </c>
      <c r="L544" s="1" t="n">
        <v>15</v>
      </c>
      <c r="M544" s="1" t="n">
        <f aca="false">(E544+M543)-N544</f>
        <v>14.72</v>
      </c>
      <c r="N544" s="1" t="n">
        <v>1.8</v>
      </c>
    </row>
    <row r="545" customFormat="false" ht="15" hidden="false" customHeight="true" outlineLevel="0" collapsed="false">
      <c r="D545" s="11"/>
      <c r="H545" s="1" t="s">
        <v>34</v>
      </c>
      <c r="I545" s="1" t="s">
        <v>44</v>
      </c>
      <c r="J545" s="1" t="n">
        <f aca="false">K544</f>
        <v>153800</v>
      </c>
      <c r="K545" s="1" t="n">
        <f aca="false">J545+L545</f>
        <v>153840</v>
      </c>
      <c r="L545" s="1" t="n">
        <v>40</v>
      </c>
      <c r="M545" s="1" t="n">
        <f aca="false">(E545+M544)-N545</f>
        <v>9.91999999999997</v>
      </c>
      <c r="N545" s="1" t="n">
        <v>4.8</v>
      </c>
    </row>
    <row r="546" customFormat="false" ht="15" hidden="false" customHeight="true" outlineLevel="0" collapsed="false">
      <c r="D546" s="11"/>
      <c r="H546" s="1" t="s">
        <v>44</v>
      </c>
      <c r="I546" s="1" t="s">
        <v>34</v>
      </c>
      <c r="J546" s="1" t="n">
        <f aca="false">K545</f>
        <v>153840</v>
      </c>
      <c r="K546" s="1" t="n">
        <f aca="false">J546+L546</f>
        <v>153880</v>
      </c>
      <c r="L546" s="1" t="n">
        <v>40</v>
      </c>
      <c r="M546" s="1" t="n">
        <f aca="false">(E546+M545)-N546</f>
        <v>5.11999999999997</v>
      </c>
      <c r="N546" s="1" t="n">
        <v>4.8</v>
      </c>
    </row>
    <row r="547" customFormat="false" ht="15" hidden="false" customHeight="true" outlineLevel="0" collapsed="false">
      <c r="D547" s="11" t="n">
        <v>44776</v>
      </c>
      <c r="E547" s="0" t="n">
        <v>31.04</v>
      </c>
      <c r="F547" s="1" t="n">
        <v>51.9</v>
      </c>
      <c r="G547" s="6" t="n">
        <f aca="false">E547*F547</f>
        <v>1610.976</v>
      </c>
      <c r="H547" s="1" t="s">
        <v>34</v>
      </c>
      <c r="I547" s="1" t="s">
        <v>39</v>
      </c>
      <c r="J547" s="1" t="n">
        <f aca="false">K546</f>
        <v>153880</v>
      </c>
      <c r="K547" s="1" t="n">
        <f aca="false">J547+L547</f>
        <v>153930</v>
      </c>
      <c r="L547" s="1" t="n">
        <v>50</v>
      </c>
      <c r="M547" s="1" t="n">
        <f aca="false">(E547+M546)-N547</f>
        <v>30.66</v>
      </c>
      <c r="N547" s="1" t="n">
        <v>5.5</v>
      </c>
    </row>
    <row r="548" customFormat="false" ht="15" hidden="false" customHeight="true" outlineLevel="0" collapsed="false">
      <c r="D548" s="11"/>
      <c r="G548" s="6"/>
      <c r="H548" s="1" t="s">
        <v>39</v>
      </c>
      <c r="I548" s="1" t="s">
        <v>34</v>
      </c>
      <c r="J548" s="1" t="n">
        <f aca="false">K547</f>
        <v>153930</v>
      </c>
      <c r="K548" s="1" t="n">
        <f aca="false">J548+L548</f>
        <v>153980</v>
      </c>
      <c r="L548" s="1" t="n">
        <v>50</v>
      </c>
      <c r="M548" s="1" t="n">
        <f aca="false">(E548+M547)-N548</f>
        <v>25.16</v>
      </c>
      <c r="N548" s="1" t="n">
        <v>5.5</v>
      </c>
    </row>
    <row r="549" customFormat="false" ht="15" hidden="false" customHeight="true" outlineLevel="0" collapsed="false">
      <c r="D549" s="11" t="n">
        <v>44777</v>
      </c>
      <c r="H549" s="1" t="s">
        <v>34</v>
      </c>
      <c r="I549" s="1" t="s">
        <v>49</v>
      </c>
      <c r="J549" s="1" t="n">
        <f aca="false">K548</f>
        <v>153980</v>
      </c>
      <c r="K549" s="1" t="n">
        <f aca="false">J549+L549</f>
        <v>154007</v>
      </c>
      <c r="L549" s="1" t="n">
        <v>27</v>
      </c>
      <c r="M549" s="1" t="n">
        <f aca="false">(E549+M548)-N549</f>
        <v>21.96</v>
      </c>
      <c r="N549" s="1" t="n">
        <v>3.2</v>
      </c>
    </row>
    <row r="550" customFormat="false" ht="15" hidden="false" customHeight="true" outlineLevel="0" collapsed="false">
      <c r="D550" s="11"/>
      <c r="H550" s="1" t="s">
        <v>49</v>
      </c>
      <c r="I550" s="1" t="s">
        <v>34</v>
      </c>
      <c r="J550" s="1" t="n">
        <f aca="false">K549</f>
        <v>154007</v>
      </c>
      <c r="K550" s="1" t="n">
        <f aca="false">J550+L550</f>
        <v>154034</v>
      </c>
      <c r="L550" s="1" t="n">
        <v>27</v>
      </c>
      <c r="M550" s="1" t="n">
        <f aca="false">(E550+M549)-N550</f>
        <v>18.76</v>
      </c>
      <c r="N550" s="1" t="n">
        <v>3.2</v>
      </c>
    </row>
    <row r="551" customFormat="false" ht="15" hidden="false" customHeight="true" outlineLevel="0" collapsed="false">
      <c r="D551" s="11"/>
      <c r="H551" s="1" t="s">
        <v>34</v>
      </c>
      <c r="I551" s="1" t="s">
        <v>36</v>
      </c>
      <c r="J551" s="1" t="n">
        <f aca="false">K550</f>
        <v>154034</v>
      </c>
      <c r="K551" s="1" t="n">
        <f aca="false">J551+L551</f>
        <v>154049</v>
      </c>
      <c r="L551" s="1" t="n">
        <v>15</v>
      </c>
      <c r="M551" s="1" t="n">
        <f aca="false">(E551+M550)-N551</f>
        <v>16.96</v>
      </c>
      <c r="N551" s="1" t="n">
        <v>1.8</v>
      </c>
    </row>
    <row r="552" customFormat="false" ht="15" hidden="false" customHeight="true" outlineLevel="0" collapsed="false">
      <c r="D552" s="11"/>
      <c r="H552" s="1" t="s">
        <v>36</v>
      </c>
      <c r="I552" s="1" t="s">
        <v>34</v>
      </c>
      <c r="J552" s="1" t="n">
        <f aca="false">K551</f>
        <v>154049</v>
      </c>
      <c r="K552" s="1" t="n">
        <f aca="false">J552+L552</f>
        <v>154064</v>
      </c>
      <c r="L552" s="1" t="n">
        <v>15</v>
      </c>
      <c r="M552" s="1" t="n">
        <f aca="false">(E552+M551)-N552</f>
        <v>15.16</v>
      </c>
      <c r="N552" s="1" t="n">
        <v>1.8</v>
      </c>
    </row>
    <row r="553" customFormat="false" ht="15" hidden="false" customHeight="true" outlineLevel="0" collapsed="false">
      <c r="D553" s="11"/>
      <c r="H553" s="1" t="s">
        <v>34</v>
      </c>
      <c r="I553" s="1" t="s">
        <v>24</v>
      </c>
      <c r="J553" s="1" t="n">
        <f aca="false">K552</f>
        <v>154064</v>
      </c>
      <c r="K553" s="1" t="n">
        <f aca="false">J553+L553</f>
        <v>154078</v>
      </c>
      <c r="L553" s="1" t="n">
        <v>14</v>
      </c>
      <c r="M553" s="1" t="n">
        <f aca="false">(E553+M552)-N553</f>
        <v>13.66</v>
      </c>
      <c r="N553" s="1" t="n">
        <v>1.5</v>
      </c>
    </row>
    <row r="554" customFormat="false" ht="15" hidden="false" customHeight="true" outlineLevel="0" collapsed="false">
      <c r="D554" s="11"/>
      <c r="H554" s="1" t="s">
        <v>24</v>
      </c>
      <c r="I554" s="1" t="s">
        <v>34</v>
      </c>
      <c r="J554" s="1" t="n">
        <f aca="false">K553</f>
        <v>154078</v>
      </c>
      <c r="K554" s="1" t="n">
        <f aca="false">J554+L554</f>
        <v>154092</v>
      </c>
      <c r="L554" s="1" t="n">
        <v>14</v>
      </c>
      <c r="M554" s="1" t="n">
        <f aca="false">(E554+M553)-N554</f>
        <v>12.16</v>
      </c>
      <c r="N554" s="1" t="n">
        <v>1.5</v>
      </c>
    </row>
    <row r="555" customFormat="false" ht="15" hidden="false" customHeight="true" outlineLevel="0" collapsed="false">
      <c r="D555" s="11" t="n">
        <v>44778</v>
      </c>
      <c r="E555" s="0" t="n">
        <v>31.39</v>
      </c>
      <c r="F555" s="1" t="n">
        <v>51.9</v>
      </c>
      <c r="G555" s="6" t="n">
        <f aca="false">E555*F555</f>
        <v>1629.141</v>
      </c>
      <c r="H555" s="1" t="s">
        <v>34</v>
      </c>
      <c r="I555" s="1" t="s">
        <v>35</v>
      </c>
      <c r="J555" s="1" t="n">
        <f aca="false">K554</f>
        <v>154092</v>
      </c>
      <c r="K555" s="1" t="n">
        <f aca="false">J555+L555</f>
        <v>154104</v>
      </c>
      <c r="L555" s="1" t="n">
        <v>12</v>
      </c>
      <c r="M555" s="1" t="n">
        <f aca="false">(E555+M554)-N555</f>
        <v>42.3</v>
      </c>
      <c r="N555" s="1" t="n">
        <v>1.25</v>
      </c>
    </row>
    <row r="556" customFormat="false" ht="15" hidden="false" customHeight="true" outlineLevel="0" collapsed="false">
      <c r="D556" s="11"/>
      <c r="G556" s="6"/>
      <c r="H556" s="1" t="s">
        <v>35</v>
      </c>
      <c r="I556" s="1" t="s">
        <v>34</v>
      </c>
      <c r="J556" s="1" t="n">
        <f aca="false">K555</f>
        <v>154104</v>
      </c>
      <c r="K556" s="1" t="n">
        <f aca="false">J556+L556</f>
        <v>154116</v>
      </c>
      <c r="L556" s="1" t="n">
        <v>12</v>
      </c>
      <c r="M556" s="1" t="n">
        <f aca="false">(E556+M555)-N556</f>
        <v>41.05</v>
      </c>
      <c r="N556" s="1" t="n">
        <v>1.25</v>
      </c>
    </row>
    <row r="557" customFormat="false" ht="15" hidden="false" customHeight="true" outlineLevel="0" collapsed="false">
      <c r="D557" s="11"/>
      <c r="G557" s="6"/>
      <c r="H557" s="1" t="s">
        <v>34</v>
      </c>
      <c r="I557" s="1" t="s">
        <v>44</v>
      </c>
      <c r="J557" s="1" t="n">
        <f aca="false">K556</f>
        <v>154116</v>
      </c>
      <c r="K557" s="1" t="n">
        <f aca="false">J557+L557</f>
        <v>154156</v>
      </c>
      <c r="L557" s="1" t="n">
        <v>40</v>
      </c>
      <c r="M557" s="1" t="n">
        <f aca="false">(E557+M556)-N557</f>
        <v>36.25</v>
      </c>
      <c r="N557" s="1" t="n">
        <v>4.8</v>
      </c>
    </row>
    <row r="558" customFormat="false" ht="15" hidden="false" customHeight="true" outlineLevel="0" collapsed="false">
      <c r="D558" s="11"/>
      <c r="G558" s="6"/>
      <c r="H558" s="1" t="s">
        <v>44</v>
      </c>
      <c r="I558" s="1" t="s">
        <v>34</v>
      </c>
      <c r="J558" s="1" t="n">
        <f aca="false">K557</f>
        <v>154156</v>
      </c>
      <c r="K558" s="1" t="n">
        <f aca="false">J558+L558</f>
        <v>154196</v>
      </c>
      <c r="L558" s="1" t="n">
        <v>40</v>
      </c>
      <c r="M558" s="1" t="n">
        <f aca="false">(E558+M557)-N558</f>
        <v>31.45</v>
      </c>
      <c r="N558" s="1" t="n">
        <v>4.8</v>
      </c>
    </row>
    <row r="559" customFormat="false" ht="15" hidden="false" customHeight="true" outlineLevel="0" collapsed="false">
      <c r="D559" s="11"/>
      <c r="G559" s="6"/>
      <c r="H559" s="1" t="s">
        <v>34</v>
      </c>
      <c r="I559" s="1" t="s">
        <v>36</v>
      </c>
      <c r="J559" s="1" t="n">
        <f aca="false">K558</f>
        <v>154196</v>
      </c>
      <c r="K559" s="1" t="n">
        <f aca="false">J559+L559</f>
        <v>154211</v>
      </c>
      <c r="L559" s="1" t="n">
        <v>15</v>
      </c>
      <c r="M559" s="1" t="n">
        <f aca="false">(E559+M558)-N559</f>
        <v>29.65</v>
      </c>
      <c r="N559" s="1" t="n">
        <v>1.8</v>
      </c>
    </row>
    <row r="560" customFormat="false" ht="15" hidden="false" customHeight="true" outlineLevel="0" collapsed="false">
      <c r="D560" s="11"/>
      <c r="G560" s="6"/>
      <c r="H560" s="1" t="s">
        <v>36</v>
      </c>
      <c r="I560" s="1" t="s">
        <v>34</v>
      </c>
      <c r="J560" s="1" t="n">
        <f aca="false">K559</f>
        <v>154211</v>
      </c>
      <c r="K560" s="1" t="n">
        <f aca="false">J560+L560</f>
        <v>154226</v>
      </c>
      <c r="L560" s="1" t="n">
        <v>15</v>
      </c>
      <c r="M560" s="1" t="n">
        <f aca="false">(E560+M559)-N560</f>
        <v>27.85</v>
      </c>
      <c r="N560" s="1" t="n">
        <v>1.8</v>
      </c>
    </row>
    <row r="561" customFormat="false" ht="15" hidden="false" customHeight="true" outlineLevel="0" collapsed="false">
      <c r="D561" s="11" t="n">
        <v>44781</v>
      </c>
      <c r="H561" s="1" t="s">
        <v>34</v>
      </c>
      <c r="I561" s="1" t="s">
        <v>37</v>
      </c>
      <c r="J561" s="1" t="n">
        <f aca="false">K560</f>
        <v>154226</v>
      </c>
      <c r="K561" s="1" t="n">
        <f aca="false">J561+L561</f>
        <v>154266</v>
      </c>
      <c r="L561" s="1" t="n">
        <v>40</v>
      </c>
      <c r="M561" s="1" t="n">
        <f aca="false">(E561+M560)-N561</f>
        <v>23.05</v>
      </c>
      <c r="N561" s="1" t="n">
        <v>4.8</v>
      </c>
    </row>
    <row r="562" customFormat="false" ht="15" hidden="false" customHeight="true" outlineLevel="0" collapsed="false">
      <c r="D562" s="11"/>
      <c r="H562" s="1" t="s">
        <v>37</v>
      </c>
      <c r="I562" s="1" t="s">
        <v>34</v>
      </c>
      <c r="J562" s="1" t="n">
        <f aca="false">K561</f>
        <v>154266</v>
      </c>
      <c r="K562" s="1" t="n">
        <f aca="false">J562+L562</f>
        <v>154306</v>
      </c>
      <c r="L562" s="1" t="n">
        <v>40</v>
      </c>
      <c r="M562" s="1" t="n">
        <f aca="false">(E562+M561)-N562</f>
        <v>18.25</v>
      </c>
      <c r="N562" s="1" t="n">
        <v>4.8</v>
      </c>
    </row>
    <row r="563" customFormat="false" ht="15" hidden="false" customHeight="true" outlineLevel="0" collapsed="false">
      <c r="D563" s="11"/>
      <c r="H563" s="1" t="s">
        <v>34</v>
      </c>
      <c r="I563" s="1" t="s">
        <v>24</v>
      </c>
      <c r="J563" s="1" t="n">
        <f aca="false">K562</f>
        <v>154306</v>
      </c>
      <c r="K563" s="1" t="n">
        <f aca="false">J563+L563</f>
        <v>154320</v>
      </c>
      <c r="L563" s="1" t="n">
        <v>14</v>
      </c>
      <c r="M563" s="1" t="n">
        <f aca="false">(E563+M562)-N563</f>
        <v>16.75</v>
      </c>
      <c r="N563" s="1" t="n">
        <v>1.5</v>
      </c>
    </row>
    <row r="564" customFormat="false" ht="15" hidden="false" customHeight="true" outlineLevel="0" collapsed="false">
      <c r="D564" s="11"/>
      <c r="H564" s="1" t="s">
        <v>24</v>
      </c>
      <c r="I564" s="1" t="s">
        <v>34</v>
      </c>
      <c r="J564" s="1" t="n">
        <f aca="false">K563</f>
        <v>154320</v>
      </c>
      <c r="K564" s="1" t="n">
        <f aca="false">J564+L564</f>
        <v>154334</v>
      </c>
      <c r="L564" s="1" t="n">
        <v>14</v>
      </c>
      <c r="M564" s="1" t="n">
        <f aca="false">(E564+M563)-N564</f>
        <v>15.25</v>
      </c>
      <c r="N564" s="1" t="n">
        <v>1.5</v>
      </c>
    </row>
    <row r="565" customFormat="false" ht="15" hidden="false" customHeight="true" outlineLevel="0" collapsed="false">
      <c r="D565" s="11"/>
      <c r="H565" s="1" t="s">
        <v>34</v>
      </c>
      <c r="I565" s="1" t="s">
        <v>36</v>
      </c>
      <c r="J565" s="1" t="n">
        <f aca="false">K564</f>
        <v>154334</v>
      </c>
      <c r="K565" s="1" t="n">
        <f aca="false">J565+L565</f>
        <v>154349</v>
      </c>
      <c r="L565" s="1" t="n">
        <v>15</v>
      </c>
      <c r="M565" s="1" t="n">
        <f aca="false">(E565+M564)-N565</f>
        <v>13.45</v>
      </c>
      <c r="N565" s="1" t="n">
        <v>1.8</v>
      </c>
    </row>
    <row r="566" customFormat="false" ht="15" hidden="false" customHeight="true" outlineLevel="0" collapsed="false">
      <c r="D566" s="11"/>
      <c r="H566" s="1" t="s">
        <v>36</v>
      </c>
      <c r="I566" s="1" t="s">
        <v>34</v>
      </c>
      <c r="J566" s="1" t="n">
        <f aca="false">K565</f>
        <v>154349</v>
      </c>
      <c r="K566" s="1" t="n">
        <f aca="false">J566+L566</f>
        <v>154364</v>
      </c>
      <c r="L566" s="1" t="n">
        <v>15</v>
      </c>
      <c r="M566" s="1" t="n">
        <f aca="false">(E566+M565)-N566</f>
        <v>11.65</v>
      </c>
      <c r="N566" s="1" t="n">
        <v>1.8</v>
      </c>
    </row>
    <row r="567" customFormat="false" ht="15" hidden="false" customHeight="true" outlineLevel="0" collapsed="false">
      <c r="D567" s="11" t="n">
        <v>44782</v>
      </c>
      <c r="E567" s="0" t="n">
        <v>31.78</v>
      </c>
      <c r="F567" s="1" t="n">
        <v>51.45</v>
      </c>
      <c r="G567" s="6" t="n">
        <f aca="false">E567*F567</f>
        <v>1635.081</v>
      </c>
      <c r="H567" s="1" t="s">
        <v>34</v>
      </c>
      <c r="I567" s="1" t="s">
        <v>35</v>
      </c>
      <c r="J567" s="1" t="n">
        <f aca="false">K566</f>
        <v>154364</v>
      </c>
      <c r="K567" s="1" t="n">
        <f aca="false">J567+L567</f>
        <v>154376</v>
      </c>
      <c r="L567" s="1" t="n">
        <v>12</v>
      </c>
      <c r="M567" s="1" t="n">
        <f aca="false">(E567+M566)-N567</f>
        <v>42.18</v>
      </c>
      <c r="N567" s="1" t="n">
        <v>1.25</v>
      </c>
    </row>
    <row r="568" customFormat="false" ht="15" hidden="false" customHeight="true" outlineLevel="0" collapsed="false">
      <c r="D568" s="11"/>
      <c r="G568" s="6"/>
      <c r="H568" s="1" t="s">
        <v>35</v>
      </c>
      <c r="I568" s="1" t="s">
        <v>34</v>
      </c>
      <c r="J568" s="1" t="n">
        <f aca="false">K567</f>
        <v>154376</v>
      </c>
      <c r="K568" s="1" t="n">
        <f aca="false">J568+L568</f>
        <v>154388</v>
      </c>
      <c r="L568" s="1" t="n">
        <v>12</v>
      </c>
      <c r="M568" s="1" t="n">
        <f aca="false">(E568+M567)-N568</f>
        <v>40.93</v>
      </c>
      <c r="N568" s="1" t="n">
        <v>1.25</v>
      </c>
    </row>
    <row r="569" customFormat="false" ht="15" hidden="false" customHeight="true" outlineLevel="0" collapsed="false">
      <c r="D569" s="11"/>
      <c r="G569" s="6"/>
      <c r="H569" s="1" t="s">
        <v>34</v>
      </c>
      <c r="I569" s="1" t="s">
        <v>44</v>
      </c>
      <c r="J569" s="1" t="n">
        <f aca="false">K568</f>
        <v>154388</v>
      </c>
      <c r="K569" s="1" t="n">
        <f aca="false">J569+L569</f>
        <v>154428</v>
      </c>
      <c r="L569" s="1" t="n">
        <v>40</v>
      </c>
      <c r="M569" s="1" t="n">
        <f aca="false">(E569+M568)-N569</f>
        <v>36.13</v>
      </c>
      <c r="N569" s="1" t="n">
        <v>4.8</v>
      </c>
    </row>
    <row r="570" customFormat="false" ht="15" hidden="false" customHeight="true" outlineLevel="0" collapsed="false">
      <c r="D570" s="11"/>
      <c r="G570" s="6"/>
      <c r="H570" s="1" t="s">
        <v>44</v>
      </c>
      <c r="I570" s="1" t="s">
        <v>34</v>
      </c>
      <c r="J570" s="1" t="n">
        <f aca="false">K569</f>
        <v>154428</v>
      </c>
      <c r="K570" s="1" t="n">
        <f aca="false">J570+L570</f>
        <v>154468</v>
      </c>
      <c r="L570" s="1" t="n">
        <v>40</v>
      </c>
      <c r="M570" s="1" t="n">
        <f aca="false">(E570+M569)-N570</f>
        <v>31.33</v>
      </c>
      <c r="N570" s="1" t="n">
        <v>4.8</v>
      </c>
    </row>
    <row r="571" customFormat="false" ht="15" hidden="false" customHeight="true" outlineLevel="0" collapsed="false">
      <c r="D571" s="11" t="n">
        <v>44783</v>
      </c>
      <c r="H571" s="1" t="s">
        <v>34</v>
      </c>
      <c r="I571" s="1" t="s">
        <v>35</v>
      </c>
      <c r="J571" s="1" t="n">
        <f aca="false">K570</f>
        <v>154468</v>
      </c>
      <c r="K571" s="1" t="n">
        <f aca="false">J571+L571</f>
        <v>154480</v>
      </c>
      <c r="L571" s="1" t="n">
        <v>12</v>
      </c>
      <c r="M571" s="1" t="n">
        <f aca="false">(E571+M570)-N571</f>
        <v>30.08</v>
      </c>
      <c r="N571" s="1" t="n">
        <v>1.25</v>
      </c>
    </row>
    <row r="572" customFormat="false" ht="15" hidden="false" customHeight="true" outlineLevel="0" collapsed="false">
      <c r="D572" s="11"/>
      <c r="H572" s="1" t="s">
        <v>35</v>
      </c>
      <c r="I572" s="1" t="s">
        <v>34</v>
      </c>
      <c r="J572" s="1" t="n">
        <f aca="false">K571</f>
        <v>154480</v>
      </c>
      <c r="K572" s="1" t="n">
        <f aca="false">J572+L572</f>
        <v>154492</v>
      </c>
      <c r="L572" s="1" t="n">
        <v>12</v>
      </c>
      <c r="M572" s="1" t="n">
        <f aca="false">(E572+M571)-N572</f>
        <v>28.83</v>
      </c>
      <c r="N572" s="1" t="n">
        <v>1.25</v>
      </c>
    </row>
    <row r="573" customFormat="false" ht="15" hidden="false" customHeight="true" outlineLevel="0" collapsed="false">
      <c r="D573" s="11" t="n">
        <v>44784</v>
      </c>
      <c r="H573" s="1" t="s">
        <v>34</v>
      </c>
      <c r="I573" s="1" t="s">
        <v>35</v>
      </c>
      <c r="J573" s="1" t="n">
        <f aca="false">K572</f>
        <v>154492</v>
      </c>
      <c r="K573" s="1" t="n">
        <f aca="false">J573+L573</f>
        <v>154504</v>
      </c>
      <c r="L573" s="1" t="n">
        <v>12</v>
      </c>
      <c r="M573" s="1" t="n">
        <f aca="false">(E573+M572)-N573</f>
        <v>27.58</v>
      </c>
      <c r="N573" s="1" t="n">
        <v>1.25</v>
      </c>
    </row>
    <row r="574" customFormat="false" ht="15" hidden="false" customHeight="true" outlineLevel="0" collapsed="false">
      <c r="D574" s="11"/>
      <c r="H574" s="1" t="s">
        <v>35</v>
      </c>
      <c r="I574" s="1" t="s">
        <v>34</v>
      </c>
      <c r="J574" s="1" t="n">
        <f aca="false">K573</f>
        <v>154504</v>
      </c>
      <c r="K574" s="1" t="n">
        <f aca="false">J574+L574</f>
        <v>154516</v>
      </c>
      <c r="L574" s="1" t="n">
        <v>12</v>
      </c>
      <c r="M574" s="1" t="n">
        <f aca="false">(E574+M573)-N574</f>
        <v>26.33</v>
      </c>
      <c r="N574" s="1" t="n">
        <v>1.25</v>
      </c>
    </row>
    <row r="575" customFormat="false" ht="15" hidden="false" customHeight="true" outlineLevel="0" collapsed="false">
      <c r="D575" s="11" t="n">
        <v>44785</v>
      </c>
      <c r="H575" s="1" t="s">
        <v>34</v>
      </c>
      <c r="I575" s="1" t="s">
        <v>36</v>
      </c>
      <c r="J575" s="1" t="n">
        <f aca="false">K574</f>
        <v>154516</v>
      </c>
      <c r="K575" s="1" t="n">
        <f aca="false">J575+L575</f>
        <v>154531</v>
      </c>
      <c r="L575" s="1" t="n">
        <v>15</v>
      </c>
      <c r="M575" s="1" t="n">
        <f aca="false">(E575+M574)-N575</f>
        <v>24.53</v>
      </c>
      <c r="N575" s="1" t="n">
        <v>1.8</v>
      </c>
    </row>
    <row r="576" customFormat="false" ht="15" hidden="false" customHeight="true" outlineLevel="0" collapsed="false">
      <c r="D576" s="11"/>
      <c r="H576" s="1" t="s">
        <v>36</v>
      </c>
      <c r="I576" s="1" t="s">
        <v>34</v>
      </c>
      <c r="J576" s="1" t="n">
        <f aca="false">K575</f>
        <v>154531</v>
      </c>
      <c r="K576" s="1" t="n">
        <f aca="false">J576+L576</f>
        <v>154546</v>
      </c>
      <c r="L576" s="1" t="n">
        <v>15</v>
      </c>
      <c r="M576" s="1" t="n">
        <f aca="false">(E576+M575)-N576</f>
        <v>22.73</v>
      </c>
      <c r="N576" s="1" t="n">
        <v>1.8</v>
      </c>
    </row>
    <row r="577" customFormat="false" ht="15" hidden="false" customHeight="true" outlineLevel="0" collapsed="false">
      <c r="D577" s="11" t="n">
        <v>44788</v>
      </c>
      <c r="H577" s="1" t="s">
        <v>34</v>
      </c>
      <c r="I577" s="1" t="s">
        <v>44</v>
      </c>
      <c r="J577" s="1" t="n">
        <f aca="false">K576</f>
        <v>154546</v>
      </c>
      <c r="K577" s="1" t="n">
        <f aca="false">J577+L577</f>
        <v>154586</v>
      </c>
      <c r="L577" s="1" t="n">
        <v>40</v>
      </c>
      <c r="M577" s="1" t="n">
        <f aca="false">(E577+M576)-N577</f>
        <v>17.93</v>
      </c>
      <c r="N577" s="1" t="n">
        <v>4.8</v>
      </c>
    </row>
    <row r="578" customFormat="false" ht="15" hidden="false" customHeight="true" outlineLevel="0" collapsed="false">
      <c r="D578" s="11"/>
      <c r="H578" s="1" t="s">
        <v>44</v>
      </c>
      <c r="I578" s="1" t="s">
        <v>34</v>
      </c>
      <c r="J578" s="1" t="n">
        <f aca="false">K577</f>
        <v>154586</v>
      </c>
      <c r="K578" s="1" t="n">
        <f aca="false">J578+L578</f>
        <v>154626</v>
      </c>
      <c r="L578" s="1" t="n">
        <v>40</v>
      </c>
      <c r="M578" s="1" t="n">
        <f aca="false">(E578+M577)-N578</f>
        <v>13.13</v>
      </c>
      <c r="N578" s="1" t="n">
        <v>4.8</v>
      </c>
    </row>
    <row r="579" customFormat="false" ht="15" hidden="false" customHeight="true" outlineLevel="0" collapsed="false">
      <c r="D579" s="11" t="n">
        <v>44789</v>
      </c>
      <c r="H579" s="1" t="s">
        <v>34</v>
      </c>
      <c r="I579" s="1" t="s">
        <v>35</v>
      </c>
      <c r="J579" s="1" t="n">
        <f aca="false">K578</f>
        <v>154626</v>
      </c>
      <c r="K579" s="1" t="n">
        <f aca="false">J579+L579</f>
        <v>154638</v>
      </c>
      <c r="L579" s="1" t="n">
        <v>12</v>
      </c>
      <c r="M579" s="1" t="n">
        <f aca="false">(E579+M578)-N579</f>
        <v>11.88</v>
      </c>
      <c r="N579" s="1" t="n">
        <v>1.25</v>
      </c>
    </row>
    <row r="580" customFormat="false" ht="15" hidden="false" customHeight="true" outlineLevel="0" collapsed="false">
      <c r="D580" s="11"/>
      <c r="H580" s="1" t="s">
        <v>35</v>
      </c>
      <c r="I580" s="1" t="s">
        <v>34</v>
      </c>
      <c r="J580" s="1" t="n">
        <f aca="false">K579</f>
        <v>154638</v>
      </c>
      <c r="K580" s="1" t="n">
        <f aca="false">J580+L580</f>
        <v>154650</v>
      </c>
      <c r="L580" s="1" t="n">
        <v>12</v>
      </c>
      <c r="M580" s="1" t="n">
        <f aca="false">(E580+M579)-N580</f>
        <v>10.63</v>
      </c>
      <c r="N580" s="1" t="n">
        <v>1.25</v>
      </c>
    </row>
    <row r="581" customFormat="false" ht="15" hidden="false" customHeight="true" outlineLevel="0" collapsed="false">
      <c r="D581" s="11"/>
      <c r="H581" s="1" t="s">
        <v>34</v>
      </c>
      <c r="I581" s="1" t="s">
        <v>37</v>
      </c>
      <c r="J581" s="1" t="n">
        <f aca="false">K580</f>
        <v>154650</v>
      </c>
      <c r="K581" s="1" t="n">
        <f aca="false">J581+L581</f>
        <v>154690</v>
      </c>
      <c r="L581" s="1" t="n">
        <v>40</v>
      </c>
      <c r="M581" s="1" t="n">
        <f aca="false">(E581+M580)-N581</f>
        <v>5.82999999999998</v>
      </c>
      <c r="N581" s="1" t="n">
        <v>4.8</v>
      </c>
    </row>
    <row r="582" customFormat="false" ht="15" hidden="false" customHeight="true" outlineLevel="0" collapsed="false">
      <c r="D582" s="11"/>
      <c r="H582" s="1" t="s">
        <v>37</v>
      </c>
      <c r="I582" s="1" t="s">
        <v>34</v>
      </c>
      <c r="J582" s="1" t="n">
        <f aca="false">K581</f>
        <v>154690</v>
      </c>
      <c r="K582" s="1" t="n">
        <f aca="false">J582+L582</f>
        <v>154730</v>
      </c>
      <c r="L582" s="1" t="n">
        <v>40</v>
      </c>
      <c r="M582" s="1" t="n">
        <f aca="false">(E582+M581)-N582</f>
        <v>1.02999999999998</v>
      </c>
      <c r="N582" s="1" t="n">
        <v>4.8</v>
      </c>
    </row>
    <row r="583" customFormat="false" ht="15" hidden="false" customHeight="true" outlineLevel="0" collapsed="false">
      <c r="D583" s="11" t="n">
        <v>44790</v>
      </c>
      <c r="E583" s="0" t="n">
        <v>30.86</v>
      </c>
      <c r="F583" s="1" t="n">
        <v>51.6</v>
      </c>
      <c r="G583" s="6" t="n">
        <f aca="false">E583*F583</f>
        <v>1592.376</v>
      </c>
      <c r="H583" s="1" t="s">
        <v>34</v>
      </c>
      <c r="I583" s="1" t="s">
        <v>35</v>
      </c>
      <c r="J583" s="1" t="n">
        <f aca="false">K582</f>
        <v>154730</v>
      </c>
      <c r="K583" s="1" t="n">
        <f aca="false">J583+L583</f>
        <v>154742</v>
      </c>
      <c r="L583" s="1" t="n">
        <v>12</v>
      </c>
      <c r="M583" s="1" t="n">
        <f aca="false">(E583+M582)-N583</f>
        <v>30.64</v>
      </c>
      <c r="N583" s="1" t="n">
        <v>1.25</v>
      </c>
    </row>
    <row r="584" customFormat="false" ht="15" hidden="false" customHeight="true" outlineLevel="0" collapsed="false">
      <c r="D584" s="11"/>
      <c r="G584" s="6"/>
      <c r="H584" s="1" t="s">
        <v>35</v>
      </c>
      <c r="I584" s="1" t="s">
        <v>34</v>
      </c>
      <c r="J584" s="1" t="n">
        <f aca="false">K583</f>
        <v>154742</v>
      </c>
      <c r="K584" s="1" t="n">
        <f aca="false">J584+L584</f>
        <v>154754</v>
      </c>
      <c r="L584" s="1" t="n">
        <v>12</v>
      </c>
      <c r="M584" s="1" t="n">
        <f aca="false">(E584+M583)-N584</f>
        <v>29.39</v>
      </c>
      <c r="N584" s="1" t="n">
        <v>1.25</v>
      </c>
    </row>
    <row r="585" customFormat="false" ht="15" hidden="false" customHeight="true" outlineLevel="0" collapsed="false">
      <c r="D585" s="11" t="n">
        <v>44791</v>
      </c>
      <c r="H585" s="1" t="s">
        <v>34</v>
      </c>
      <c r="I585" s="1" t="s">
        <v>35</v>
      </c>
      <c r="J585" s="1" t="n">
        <f aca="false">K584</f>
        <v>154754</v>
      </c>
      <c r="K585" s="1" t="n">
        <f aca="false">J585+L585</f>
        <v>154766</v>
      </c>
      <c r="L585" s="1" t="n">
        <v>12</v>
      </c>
      <c r="M585" s="1" t="n">
        <f aca="false">(E585+M584)-N585</f>
        <v>28.14</v>
      </c>
      <c r="N585" s="1" t="n">
        <v>1.25</v>
      </c>
    </row>
    <row r="586" customFormat="false" ht="15" hidden="false" customHeight="true" outlineLevel="0" collapsed="false">
      <c r="D586" s="11"/>
      <c r="H586" s="1" t="s">
        <v>35</v>
      </c>
      <c r="I586" s="1" t="s">
        <v>34</v>
      </c>
      <c r="J586" s="1" t="n">
        <f aca="false">K585</f>
        <v>154766</v>
      </c>
      <c r="K586" s="1" t="n">
        <f aca="false">J586+L586</f>
        <v>154778</v>
      </c>
      <c r="L586" s="1" t="n">
        <v>12</v>
      </c>
      <c r="M586" s="1" t="n">
        <f aca="false">(E586+M585)-N586</f>
        <v>26.89</v>
      </c>
      <c r="N586" s="1" t="n">
        <v>1.25</v>
      </c>
    </row>
    <row r="587" customFormat="false" ht="15" hidden="false" customHeight="true" outlineLevel="0" collapsed="false">
      <c r="D587" s="11" t="n">
        <v>44792</v>
      </c>
      <c r="H587" s="1" t="s">
        <v>34</v>
      </c>
      <c r="I587" s="1" t="s">
        <v>24</v>
      </c>
      <c r="J587" s="1" t="n">
        <f aca="false">K586</f>
        <v>154778</v>
      </c>
      <c r="K587" s="1" t="n">
        <f aca="false">J587+L587</f>
        <v>154792</v>
      </c>
      <c r="L587" s="1" t="n">
        <v>14</v>
      </c>
      <c r="M587" s="1" t="n">
        <f aca="false">(E587+M586)-N587</f>
        <v>25.39</v>
      </c>
      <c r="N587" s="1" t="n">
        <v>1.5</v>
      </c>
    </row>
    <row r="588" customFormat="false" ht="15" hidden="false" customHeight="true" outlineLevel="0" collapsed="false">
      <c r="D588" s="11"/>
      <c r="H588" s="1" t="s">
        <v>24</v>
      </c>
      <c r="I588" s="1" t="s">
        <v>34</v>
      </c>
      <c r="J588" s="1" t="n">
        <f aca="false">K587</f>
        <v>154792</v>
      </c>
      <c r="K588" s="1" t="n">
        <f aca="false">J588+L588</f>
        <v>154806</v>
      </c>
      <c r="L588" s="1" t="n">
        <v>14</v>
      </c>
      <c r="M588" s="1" t="n">
        <f aca="false">(E588+M587)-N588</f>
        <v>23.89</v>
      </c>
      <c r="N588" s="1" t="n">
        <v>1.5</v>
      </c>
    </row>
    <row r="589" customFormat="false" ht="15" hidden="false" customHeight="true" outlineLevel="0" collapsed="false">
      <c r="D589" s="11" t="n">
        <v>44795</v>
      </c>
      <c r="H589" s="1" t="s">
        <v>34</v>
      </c>
      <c r="I589" s="1" t="s">
        <v>35</v>
      </c>
      <c r="J589" s="1" t="n">
        <f aca="false">K588</f>
        <v>154806</v>
      </c>
      <c r="K589" s="1" t="n">
        <f aca="false">J589+L589</f>
        <v>154818</v>
      </c>
      <c r="L589" s="1" t="n">
        <v>12</v>
      </c>
      <c r="M589" s="1" t="n">
        <f aca="false">(E589+M588)-N589</f>
        <v>22.64</v>
      </c>
      <c r="N589" s="1" t="n">
        <v>1.25</v>
      </c>
    </row>
    <row r="590" customFormat="false" ht="15" hidden="false" customHeight="true" outlineLevel="0" collapsed="false">
      <c r="D590" s="11"/>
      <c r="H590" s="1" t="s">
        <v>35</v>
      </c>
      <c r="I590" s="1" t="s">
        <v>34</v>
      </c>
      <c r="J590" s="1" t="n">
        <f aca="false">K589</f>
        <v>154818</v>
      </c>
      <c r="K590" s="1" t="n">
        <f aca="false">J590+L590</f>
        <v>154830</v>
      </c>
      <c r="L590" s="1" t="n">
        <v>12</v>
      </c>
      <c r="M590" s="1" t="n">
        <f aca="false">(E590+M589)-N590</f>
        <v>21.39</v>
      </c>
      <c r="N590" s="1" t="n">
        <v>1.25</v>
      </c>
    </row>
    <row r="591" customFormat="false" ht="15" hidden="false" customHeight="true" outlineLevel="0" collapsed="false">
      <c r="D591" s="11"/>
      <c r="H591" s="1" t="s">
        <v>34</v>
      </c>
      <c r="I591" s="1" t="s">
        <v>44</v>
      </c>
      <c r="J591" s="1" t="n">
        <f aca="false">K590</f>
        <v>154830</v>
      </c>
      <c r="K591" s="1" t="n">
        <f aca="false">J591+L591</f>
        <v>154870</v>
      </c>
      <c r="L591" s="1" t="n">
        <v>40</v>
      </c>
      <c r="M591" s="1" t="n">
        <f aca="false">(E591+M590)-N591</f>
        <v>16.59</v>
      </c>
      <c r="N591" s="1" t="n">
        <v>4.8</v>
      </c>
    </row>
    <row r="592" customFormat="false" ht="15" hidden="false" customHeight="true" outlineLevel="0" collapsed="false">
      <c r="D592" s="11"/>
      <c r="H592" s="1" t="s">
        <v>44</v>
      </c>
      <c r="I592" s="1" t="s">
        <v>34</v>
      </c>
      <c r="J592" s="1" t="n">
        <f aca="false">K591</f>
        <v>154870</v>
      </c>
      <c r="K592" s="1" t="n">
        <f aca="false">J592+L592</f>
        <v>154910</v>
      </c>
      <c r="L592" s="1" t="n">
        <v>40</v>
      </c>
      <c r="M592" s="1" t="n">
        <f aca="false">(E592+M591)-N592</f>
        <v>11.79</v>
      </c>
      <c r="N592" s="1" t="n">
        <v>4.8</v>
      </c>
    </row>
    <row r="593" customFormat="false" ht="15" hidden="false" customHeight="true" outlineLevel="0" collapsed="false">
      <c r="D593" s="11" t="n">
        <v>44796</v>
      </c>
      <c r="E593" s="0" t="n">
        <v>31.27</v>
      </c>
      <c r="F593" s="1" t="n">
        <v>51.35</v>
      </c>
      <c r="G593" s="6" t="n">
        <f aca="false">E593*F593</f>
        <v>1605.7145</v>
      </c>
      <c r="H593" s="1" t="s">
        <v>34</v>
      </c>
      <c r="I593" s="1" t="s">
        <v>37</v>
      </c>
      <c r="J593" s="1" t="n">
        <f aca="false">K592</f>
        <v>154910</v>
      </c>
      <c r="K593" s="1" t="n">
        <f aca="false">J593+L593</f>
        <v>154950</v>
      </c>
      <c r="L593" s="1" t="n">
        <v>40</v>
      </c>
      <c r="M593" s="1" t="n">
        <f aca="false">(E593+M592)-N593</f>
        <v>38.26</v>
      </c>
      <c r="N593" s="1" t="n">
        <v>4.8</v>
      </c>
    </row>
    <row r="594" customFormat="false" ht="15" hidden="false" customHeight="true" outlineLevel="0" collapsed="false">
      <c r="D594" s="11"/>
      <c r="G594" s="6"/>
      <c r="H594" s="1" t="s">
        <v>37</v>
      </c>
      <c r="I594" s="1" t="s">
        <v>34</v>
      </c>
      <c r="J594" s="1" t="n">
        <f aca="false">K593</f>
        <v>154950</v>
      </c>
      <c r="K594" s="1" t="n">
        <f aca="false">J594+L594</f>
        <v>154990</v>
      </c>
      <c r="L594" s="1" t="n">
        <v>40</v>
      </c>
      <c r="M594" s="1" t="n">
        <f aca="false">(E594+M593)-N594</f>
        <v>33.46</v>
      </c>
      <c r="N594" s="1" t="n">
        <v>4.8</v>
      </c>
    </row>
    <row r="595" customFormat="false" ht="15" hidden="false" customHeight="true" outlineLevel="0" collapsed="false">
      <c r="D595" s="11" t="n">
        <v>44797</v>
      </c>
      <c r="H595" s="1" t="s">
        <v>34</v>
      </c>
      <c r="I595" s="1" t="s">
        <v>36</v>
      </c>
      <c r="J595" s="1" t="n">
        <f aca="false">K594</f>
        <v>154990</v>
      </c>
      <c r="K595" s="1" t="n">
        <f aca="false">J595+L595</f>
        <v>155005</v>
      </c>
      <c r="L595" s="1" t="n">
        <v>15</v>
      </c>
      <c r="M595" s="1" t="n">
        <f aca="false">(E595+M594)-N595</f>
        <v>31.66</v>
      </c>
      <c r="N595" s="1" t="n">
        <v>1.8</v>
      </c>
    </row>
    <row r="596" customFormat="false" ht="15" hidden="false" customHeight="true" outlineLevel="0" collapsed="false">
      <c r="D596" s="11"/>
      <c r="H596" s="1" t="s">
        <v>36</v>
      </c>
      <c r="I596" s="1" t="s">
        <v>34</v>
      </c>
      <c r="J596" s="1" t="n">
        <f aca="false">K595</f>
        <v>155005</v>
      </c>
      <c r="K596" s="1" t="n">
        <f aca="false">J596+L596</f>
        <v>155020</v>
      </c>
      <c r="L596" s="1" t="n">
        <v>15</v>
      </c>
      <c r="M596" s="1" t="n">
        <f aca="false">(E596+M595)-N596</f>
        <v>29.86</v>
      </c>
      <c r="N596" s="1" t="n">
        <v>1.8</v>
      </c>
    </row>
    <row r="597" customFormat="false" ht="15" hidden="false" customHeight="true" outlineLevel="0" collapsed="false">
      <c r="D597" s="11" t="n">
        <v>44798</v>
      </c>
      <c r="H597" s="1" t="s">
        <v>34</v>
      </c>
      <c r="I597" s="1" t="s">
        <v>35</v>
      </c>
      <c r="J597" s="1" t="n">
        <f aca="false">K596</f>
        <v>155020</v>
      </c>
      <c r="K597" s="1" t="n">
        <f aca="false">J597+L597</f>
        <v>155032</v>
      </c>
      <c r="L597" s="1" t="n">
        <v>12</v>
      </c>
      <c r="M597" s="1" t="n">
        <f aca="false">(E597+M596)-N597</f>
        <v>28.61</v>
      </c>
      <c r="N597" s="1" t="n">
        <v>1.25</v>
      </c>
    </row>
    <row r="598" customFormat="false" ht="15" hidden="false" customHeight="true" outlineLevel="0" collapsed="false">
      <c r="D598" s="11"/>
      <c r="H598" s="1" t="s">
        <v>35</v>
      </c>
      <c r="I598" s="1" t="s">
        <v>34</v>
      </c>
      <c r="J598" s="1" t="n">
        <f aca="false">K597</f>
        <v>155032</v>
      </c>
      <c r="K598" s="1" t="n">
        <f aca="false">J598+L598</f>
        <v>155044</v>
      </c>
      <c r="L598" s="1" t="n">
        <v>12</v>
      </c>
      <c r="M598" s="1" t="n">
        <f aca="false">(E598+M597)-N598</f>
        <v>27.36</v>
      </c>
      <c r="N598" s="1" t="n">
        <v>1.25</v>
      </c>
    </row>
    <row r="599" customFormat="false" ht="15" hidden="false" customHeight="true" outlineLevel="0" collapsed="false">
      <c r="D599" s="11"/>
      <c r="H599" s="1" t="s">
        <v>34</v>
      </c>
      <c r="I599" s="1" t="s">
        <v>44</v>
      </c>
      <c r="J599" s="1" t="n">
        <f aca="false">K598</f>
        <v>155044</v>
      </c>
      <c r="K599" s="1" t="n">
        <f aca="false">J599+L599</f>
        <v>155084</v>
      </c>
      <c r="L599" s="1" t="n">
        <v>40</v>
      </c>
      <c r="M599" s="1" t="n">
        <f aca="false">(E599+M598)-N599</f>
        <v>22.56</v>
      </c>
      <c r="N599" s="1" t="n">
        <v>4.8</v>
      </c>
    </row>
    <row r="600" customFormat="false" ht="15" hidden="false" customHeight="true" outlineLevel="0" collapsed="false">
      <c r="D600" s="11"/>
      <c r="H600" s="1" t="s">
        <v>44</v>
      </c>
      <c r="I600" s="1" t="s">
        <v>34</v>
      </c>
      <c r="J600" s="1" t="n">
        <f aca="false">K599</f>
        <v>155084</v>
      </c>
      <c r="K600" s="1" t="n">
        <f aca="false">J600+L600</f>
        <v>155124</v>
      </c>
      <c r="L600" s="1" t="n">
        <v>40</v>
      </c>
      <c r="M600" s="1" t="n">
        <f aca="false">(E600+M599)-N600</f>
        <v>17.76</v>
      </c>
      <c r="N600" s="1" t="n">
        <v>4.8</v>
      </c>
    </row>
    <row r="601" customFormat="false" ht="15" hidden="false" customHeight="true" outlineLevel="0" collapsed="false">
      <c r="D601" s="11" t="n">
        <v>44799</v>
      </c>
      <c r="H601" s="1" t="s">
        <v>34</v>
      </c>
      <c r="I601" s="1" t="s">
        <v>49</v>
      </c>
      <c r="J601" s="1" t="n">
        <f aca="false">K600</f>
        <v>155124</v>
      </c>
      <c r="K601" s="1" t="n">
        <f aca="false">J601+L601</f>
        <v>155151</v>
      </c>
      <c r="L601" s="1" t="n">
        <v>27</v>
      </c>
      <c r="M601" s="1" t="n">
        <f aca="false">(E601+M600)-N601</f>
        <v>14.56</v>
      </c>
      <c r="N601" s="1" t="n">
        <v>3.2</v>
      </c>
    </row>
    <row r="602" customFormat="false" ht="15" hidden="false" customHeight="true" outlineLevel="0" collapsed="false">
      <c r="D602" s="11"/>
      <c r="H602" s="1" t="s">
        <v>49</v>
      </c>
      <c r="I602" s="1" t="s">
        <v>34</v>
      </c>
      <c r="J602" s="1" t="n">
        <f aca="false">K601</f>
        <v>155151</v>
      </c>
      <c r="K602" s="1" t="n">
        <f aca="false">J602+L602</f>
        <v>155178</v>
      </c>
      <c r="L602" s="1" t="n">
        <v>27</v>
      </c>
      <c r="M602" s="1" t="n">
        <f aca="false">(E602+M601)-N602</f>
        <v>11.36</v>
      </c>
      <c r="N602" s="1" t="n">
        <v>3.2</v>
      </c>
    </row>
    <row r="603" customFormat="false" ht="15" hidden="false" customHeight="true" outlineLevel="0" collapsed="false">
      <c r="D603" s="11" t="n">
        <v>44802</v>
      </c>
      <c r="E603" s="12" t="s">
        <v>50</v>
      </c>
    </row>
    <row r="604" customFormat="false" ht="15" hidden="false" customHeight="true" outlineLevel="0" collapsed="false">
      <c r="D604" s="11" t="n">
        <v>44803</v>
      </c>
      <c r="E604" s="12" t="s">
        <v>50</v>
      </c>
    </row>
    <row r="605" customFormat="false" ht="15" hidden="false" customHeight="true" outlineLevel="0" collapsed="false">
      <c r="D605" s="11" t="n">
        <v>44804</v>
      </c>
      <c r="E605" s="12" t="s">
        <v>50</v>
      </c>
    </row>
    <row r="606" customFormat="false" ht="15" hidden="false" customHeight="true" outlineLevel="0" collapsed="false">
      <c r="D606" s="11"/>
    </row>
    <row r="607" customFormat="false" ht="15" hidden="false" customHeight="true" outlineLevel="0" collapsed="false">
      <c r="D607" s="4" t="s">
        <v>51</v>
      </c>
      <c r="E607" s="4"/>
      <c r="F607" s="4"/>
      <c r="G607" s="4"/>
    </row>
    <row r="608" customFormat="false" ht="15" hidden="false" customHeight="true" outlineLevel="0" collapsed="false">
      <c r="D608" s="11" t="n">
        <v>44805</v>
      </c>
      <c r="E608" s="12" t="s">
        <v>50</v>
      </c>
    </row>
    <row r="609" customFormat="false" ht="15" hidden="false" customHeight="true" outlineLevel="0" collapsed="false">
      <c r="D609" s="11" t="n">
        <v>44806</v>
      </c>
      <c r="E609" s="12" t="s">
        <v>50</v>
      </c>
    </row>
    <row r="610" customFormat="false" ht="15" hidden="false" customHeight="true" outlineLevel="0" collapsed="false">
      <c r="D610" s="11" t="n">
        <v>44809</v>
      </c>
      <c r="E610" s="12" t="s">
        <v>50</v>
      </c>
    </row>
    <row r="611" customFormat="false" ht="15" hidden="false" customHeight="true" outlineLevel="0" collapsed="false">
      <c r="D611" s="11" t="n">
        <v>44810</v>
      </c>
      <c r="E611" s="12" t="s">
        <v>50</v>
      </c>
    </row>
    <row r="612" customFormat="false" ht="15" hidden="false" customHeight="true" outlineLevel="0" collapsed="false">
      <c r="D612" s="11" t="n">
        <v>44811</v>
      </c>
      <c r="E612" s="12" t="s">
        <v>50</v>
      </c>
    </row>
    <row r="613" customFormat="false" ht="15" hidden="false" customHeight="true" outlineLevel="0" collapsed="false">
      <c r="D613" s="11" t="n">
        <v>44812</v>
      </c>
      <c r="E613" s="12" t="s">
        <v>50</v>
      </c>
    </row>
    <row r="614" customFormat="false" ht="15" hidden="false" customHeight="true" outlineLevel="0" collapsed="false">
      <c r="D614" s="11" t="n">
        <v>44813</v>
      </c>
      <c r="E614" s="12" t="s">
        <v>50</v>
      </c>
    </row>
    <row r="615" customFormat="false" ht="15" hidden="false" customHeight="true" outlineLevel="0" collapsed="false">
      <c r="D615" s="11" t="n">
        <v>44816</v>
      </c>
      <c r="E615" s="12"/>
      <c r="H615" s="1" t="s">
        <v>34</v>
      </c>
      <c r="I615" s="1" t="s">
        <v>35</v>
      </c>
      <c r="J615" s="1" t="n">
        <v>165200</v>
      </c>
      <c r="K615" s="1" t="n">
        <f aca="false">J615+L615</f>
        <v>165212</v>
      </c>
      <c r="L615" s="1" t="n">
        <v>12</v>
      </c>
      <c r="M615" s="1" t="n">
        <f aca="false">(E615+M602)-N615</f>
        <v>10.11</v>
      </c>
      <c r="N615" s="1" t="n">
        <v>1.25</v>
      </c>
    </row>
    <row r="616" customFormat="false" ht="15" hidden="false" customHeight="true" outlineLevel="0" collapsed="false">
      <c r="D616" s="11"/>
      <c r="E616" s="12"/>
      <c r="H616" s="1" t="s">
        <v>35</v>
      </c>
      <c r="I616" s="1" t="s">
        <v>34</v>
      </c>
      <c r="J616" s="1" t="n">
        <f aca="false">K615</f>
        <v>165212</v>
      </c>
      <c r="K616" s="1" t="n">
        <f aca="false">J616+L616</f>
        <v>165224</v>
      </c>
      <c r="L616" s="1" t="n">
        <v>12</v>
      </c>
      <c r="M616" s="1" t="n">
        <f aca="false">(E616+M615)-N616</f>
        <v>8.85999999999998</v>
      </c>
      <c r="N616" s="1" t="n">
        <v>1.25</v>
      </c>
    </row>
    <row r="617" customFormat="false" ht="15" hidden="false" customHeight="true" outlineLevel="0" collapsed="false">
      <c r="D617" s="11" t="n">
        <v>44817</v>
      </c>
      <c r="H617" s="1" t="s">
        <v>34</v>
      </c>
      <c r="I617" s="1" t="s">
        <v>36</v>
      </c>
      <c r="J617" s="1" t="n">
        <f aca="false">K616</f>
        <v>165224</v>
      </c>
      <c r="K617" s="1" t="n">
        <f aca="false">J617+L617</f>
        <v>165239</v>
      </c>
      <c r="L617" s="1" t="n">
        <v>15</v>
      </c>
      <c r="M617" s="1" t="n">
        <f aca="false">(E617+M616)-N617</f>
        <v>7.05999999999998</v>
      </c>
      <c r="N617" s="1" t="n">
        <v>1.8</v>
      </c>
    </row>
    <row r="618" customFormat="false" ht="15" hidden="false" customHeight="true" outlineLevel="0" collapsed="false">
      <c r="D618" s="11"/>
      <c r="H618" s="1" t="s">
        <v>36</v>
      </c>
      <c r="I618" s="1" t="s">
        <v>34</v>
      </c>
      <c r="J618" s="1" t="n">
        <f aca="false">K617</f>
        <v>165239</v>
      </c>
      <c r="K618" s="1" t="n">
        <f aca="false">J618+L618</f>
        <v>165254</v>
      </c>
      <c r="L618" s="1" t="n">
        <v>15</v>
      </c>
      <c r="M618" s="1" t="n">
        <f aca="false">(E618+M617)-N618</f>
        <v>5.25999999999998</v>
      </c>
      <c r="N618" s="1" t="n">
        <v>1.8</v>
      </c>
    </row>
    <row r="619" customFormat="false" ht="15" hidden="false" customHeight="true" outlineLevel="0" collapsed="false">
      <c r="D619" s="11" t="n">
        <v>44818</v>
      </c>
      <c r="H619" s="1" t="s">
        <v>34</v>
      </c>
      <c r="I619" s="1" t="s">
        <v>35</v>
      </c>
      <c r="J619" s="1" t="n">
        <f aca="false">K618</f>
        <v>165254</v>
      </c>
      <c r="K619" s="1" t="n">
        <f aca="false">J619+L619</f>
        <v>165266</v>
      </c>
      <c r="L619" s="1" t="n">
        <v>12</v>
      </c>
      <c r="M619" s="1" t="n">
        <f aca="false">(E619+M618)-N619</f>
        <v>4.00999999999998</v>
      </c>
      <c r="N619" s="1" t="n">
        <v>1.25</v>
      </c>
    </row>
    <row r="620" customFormat="false" ht="15" hidden="false" customHeight="true" outlineLevel="0" collapsed="false">
      <c r="D620" s="11"/>
      <c r="H620" s="1" t="s">
        <v>35</v>
      </c>
      <c r="I620" s="1" t="s">
        <v>34</v>
      </c>
      <c r="J620" s="1" t="n">
        <f aca="false">K619</f>
        <v>165266</v>
      </c>
      <c r="K620" s="1" t="n">
        <f aca="false">J620+L620</f>
        <v>165278</v>
      </c>
      <c r="L620" s="1" t="n">
        <v>12</v>
      </c>
      <c r="M620" s="1" t="n">
        <f aca="false">(E620+M619)-N620</f>
        <v>2.75999999999998</v>
      </c>
      <c r="N620" s="1" t="n">
        <v>1.25</v>
      </c>
    </row>
    <row r="621" customFormat="false" ht="15" hidden="false" customHeight="true" outlineLevel="0" collapsed="false">
      <c r="D621" s="11" t="n">
        <v>44819</v>
      </c>
      <c r="H621" s="1" t="s">
        <v>34</v>
      </c>
      <c r="I621" s="1" t="s">
        <v>35</v>
      </c>
      <c r="J621" s="1" t="n">
        <f aca="false">K620</f>
        <v>165278</v>
      </c>
      <c r="K621" s="1" t="n">
        <f aca="false">J621+L621</f>
        <v>165290</v>
      </c>
      <c r="L621" s="1" t="n">
        <v>12</v>
      </c>
      <c r="M621" s="1" t="n">
        <f aca="false">(E621+M620)-N621</f>
        <v>1.50999999999998</v>
      </c>
      <c r="N621" s="1" t="n">
        <v>1.25</v>
      </c>
    </row>
    <row r="622" customFormat="false" ht="15" hidden="false" customHeight="true" outlineLevel="0" collapsed="false">
      <c r="D622" s="11"/>
      <c r="H622" s="1" t="s">
        <v>35</v>
      </c>
      <c r="I622" s="1" t="s">
        <v>34</v>
      </c>
      <c r="J622" s="1" t="n">
        <f aca="false">K621</f>
        <v>165290</v>
      </c>
      <c r="K622" s="1" t="n">
        <f aca="false">J622+L622</f>
        <v>165302</v>
      </c>
      <c r="L622" s="1" t="n">
        <v>12</v>
      </c>
      <c r="M622" s="1" t="n">
        <f aca="false">(E622+M621)-N622</f>
        <v>0.259999999999978</v>
      </c>
      <c r="N622" s="1" t="n">
        <v>1.25</v>
      </c>
    </row>
    <row r="623" customFormat="false" ht="15" hidden="false" customHeight="true" outlineLevel="0" collapsed="false">
      <c r="D623" s="11" t="n">
        <v>44820</v>
      </c>
      <c r="E623" s="0" t="n">
        <v>33.4</v>
      </c>
      <c r="F623" s="1" t="n">
        <v>51.9</v>
      </c>
      <c r="G623" s="6" t="n">
        <f aca="false">E623*F623</f>
        <v>1733.46</v>
      </c>
      <c r="H623" s="1" t="s">
        <v>34</v>
      </c>
      <c r="I623" s="1" t="s">
        <v>49</v>
      </c>
      <c r="J623" s="1" t="n">
        <f aca="false">K622</f>
        <v>165302</v>
      </c>
      <c r="K623" s="1" t="n">
        <f aca="false">J623+L623</f>
        <v>165329</v>
      </c>
      <c r="L623" s="1" t="n">
        <v>27</v>
      </c>
      <c r="M623" s="1" t="n">
        <f aca="false">(E623+M622)-N623</f>
        <v>30.46</v>
      </c>
      <c r="N623" s="1" t="n">
        <v>3.2</v>
      </c>
    </row>
    <row r="624" customFormat="false" ht="15" hidden="false" customHeight="true" outlineLevel="0" collapsed="false">
      <c r="D624" s="11"/>
      <c r="G624" s="6"/>
      <c r="H624" s="1" t="s">
        <v>49</v>
      </c>
      <c r="I624" s="1" t="s">
        <v>34</v>
      </c>
      <c r="J624" s="1" t="n">
        <f aca="false">K623</f>
        <v>165329</v>
      </c>
      <c r="K624" s="1" t="n">
        <f aca="false">J624+L624</f>
        <v>165356</v>
      </c>
      <c r="L624" s="1" t="n">
        <v>27</v>
      </c>
      <c r="M624" s="1" t="n">
        <f aca="false">(E624+M623)-N624</f>
        <v>27.26</v>
      </c>
      <c r="N624" s="1" t="n">
        <v>3.2</v>
      </c>
    </row>
    <row r="625" customFormat="false" ht="15" hidden="false" customHeight="true" outlineLevel="0" collapsed="false">
      <c r="D625" s="11"/>
      <c r="G625" s="6"/>
      <c r="H625" s="1" t="s">
        <v>34</v>
      </c>
      <c r="I625" s="1" t="s">
        <v>37</v>
      </c>
      <c r="J625" s="1" t="n">
        <f aca="false">K624</f>
        <v>165356</v>
      </c>
      <c r="K625" s="1" t="n">
        <f aca="false">J625+L625</f>
        <v>165396</v>
      </c>
      <c r="L625" s="1" t="n">
        <v>40</v>
      </c>
      <c r="M625" s="1" t="n">
        <f aca="false">(E625+M624)-N625</f>
        <v>22.46</v>
      </c>
      <c r="N625" s="1" t="n">
        <v>4.8</v>
      </c>
    </row>
    <row r="626" customFormat="false" ht="15" hidden="false" customHeight="true" outlineLevel="0" collapsed="false">
      <c r="D626" s="11"/>
      <c r="G626" s="6"/>
      <c r="H626" s="1" t="s">
        <v>37</v>
      </c>
      <c r="I626" s="1" t="s">
        <v>34</v>
      </c>
      <c r="J626" s="1" t="n">
        <f aca="false">K625</f>
        <v>165396</v>
      </c>
      <c r="K626" s="1" t="n">
        <f aca="false">J626+L626</f>
        <v>165436</v>
      </c>
      <c r="L626" s="1" t="n">
        <v>40</v>
      </c>
      <c r="M626" s="1" t="n">
        <f aca="false">(E626+M625)-N626</f>
        <v>17.66</v>
      </c>
      <c r="N626" s="1" t="n">
        <v>4.8</v>
      </c>
    </row>
    <row r="627" customFormat="false" ht="15" hidden="false" customHeight="true" outlineLevel="0" collapsed="false">
      <c r="D627" s="11" t="n">
        <v>44823</v>
      </c>
      <c r="H627" s="1" t="s">
        <v>34</v>
      </c>
      <c r="I627" s="1" t="s">
        <v>36</v>
      </c>
      <c r="J627" s="1" t="n">
        <f aca="false">K626</f>
        <v>165436</v>
      </c>
      <c r="K627" s="1" t="n">
        <f aca="false">J627+L627</f>
        <v>165451</v>
      </c>
      <c r="L627" s="1" t="n">
        <v>15</v>
      </c>
      <c r="M627" s="1" t="n">
        <f aca="false">(E627+M626)-N627</f>
        <v>15.86</v>
      </c>
      <c r="N627" s="1" t="n">
        <v>1.8</v>
      </c>
    </row>
    <row r="628" customFormat="false" ht="15" hidden="false" customHeight="true" outlineLevel="0" collapsed="false">
      <c r="D628" s="11"/>
      <c r="H628" s="1" t="s">
        <v>36</v>
      </c>
      <c r="I628" s="1" t="s">
        <v>34</v>
      </c>
      <c r="J628" s="1" t="n">
        <f aca="false">K627</f>
        <v>165451</v>
      </c>
      <c r="K628" s="1" t="n">
        <f aca="false">J628+L628</f>
        <v>165466</v>
      </c>
      <c r="L628" s="1" t="n">
        <v>15</v>
      </c>
      <c r="M628" s="1" t="n">
        <f aca="false">(E628+M627)-N628</f>
        <v>14.06</v>
      </c>
      <c r="N628" s="1" t="n">
        <v>1.8</v>
      </c>
    </row>
    <row r="629" customFormat="false" ht="15" hidden="false" customHeight="true" outlineLevel="0" collapsed="false">
      <c r="D629" s="11"/>
      <c r="H629" s="1" t="s">
        <v>34</v>
      </c>
      <c r="I629" s="1" t="s">
        <v>44</v>
      </c>
      <c r="J629" s="1" t="n">
        <f aca="false">K628</f>
        <v>165466</v>
      </c>
      <c r="K629" s="1" t="n">
        <f aca="false">J629+L629</f>
        <v>165506</v>
      </c>
      <c r="L629" s="1" t="n">
        <v>40</v>
      </c>
      <c r="M629" s="1" t="n">
        <f aca="false">(E629+M628)-N629</f>
        <v>9.25999999999997</v>
      </c>
      <c r="N629" s="1" t="n">
        <v>4.8</v>
      </c>
    </row>
    <row r="630" customFormat="false" ht="15" hidden="false" customHeight="true" outlineLevel="0" collapsed="false">
      <c r="D630" s="11"/>
      <c r="H630" s="1" t="s">
        <v>44</v>
      </c>
      <c r="I630" s="1" t="s">
        <v>34</v>
      </c>
      <c r="J630" s="1" t="n">
        <f aca="false">K629</f>
        <v>165506</v>
      </c>
      <c r="K630" s="1" t="n">
        <f aca="false">J630+L630</f>
        <v>165546</v>
      </c>
      <c r="L630" s="1" t="n">
        <v>40</v>
      </c>
      <c r="M630" s="1" t="n">
        <f aca="false">(E630+M629)-N630</f>
        <v>4.45999999999997</v>
      </c>
      <c r="N630" s="1" t="n">
        <v>4.8</v>
      </c>
    </row>
    <row r="631" customFormat="false" ht="15" hidden="false" customHeight="true" outlineLevel="0" collapsed="false">
      <c r="D631" s="11" t="n">
        <v>44824</v>
      </c>
      <c r="E631" s="0" t="n">
        <v>32.39</v>
      </c>
      <c r="F631" s="1" t="n">
        <v>51.55</v>
      </c>
      <c r="G631" s="6" t="n">
        <f aca="false">E631*F631</f>
        <v>1669.7045</v>
      </c>
      <c r="H631" s="1" t="s">
        <v>34</v>
      </c>
      <c r="I631" s="1" t="s">
        <v>35</v>
      </c>
      <c r="J631" s="1" t="n">
        <f aca="false">K630</f>
        <v>165546</v>
      </c>
      <c r="K631" s="1" t="n">
        <f aca="false">J631+L631</f>
        <v>165558</v>
      </c>
      <c r="L631" s="1" t="n">
        <v>12</v>
      </c>
      <c r="M631" s="1" t="n">
        <f aca="false">(E631+M630)-N631</f>
        <v>35.6</v>
      </c>
      <c r="N631" s="1" t="n">
        <v>1.25</v>
      </c>
    </row>
    <row r="632" customFormat="false" ht="15" hidden="false" customHeight="true" outlineLevel="0" collapsed="false">
      <c r="D632" s="11"/>
      <c r="G632" s="6"/>
      <c r="H632" s="1" t="s">
        <v>35</v>
      </c>
      <c r="I632" s="1" t="s">
        <v>34</v>
      </c>
      <c r="J632" s="1" t="n">
        <f aca="false">K631</f>
        <v>165558</v>
      </c>
      <c r="K632" s="1" t="n">
        <f aca="false">J632+L632</f>
        <v>165570</v>
      </c>
      <c r="L632" s="1" t="n">
        <v>12</v>
      </c>
      <c r="M632" s="1" t="n">
        <f aca="false">(E632+M631)-N632</f>
        <v>34.35</v>
      </c>
      <c r="N632" s="1" t="n">
        <v>1.25</v>
      </c>
    </row>
    <row r="633" customFormat="false" ht="15" hidden="false" customHeight="true" outlineLevel="0" collapsed="false">
      <c r="D633" s="11" t="n">
        <v>44825</v>
      </c>
      <c r="H633" s="1" t="s">
        <v>34</v>
      </c>
      <c r="I633" s="1" t="s">
        <v>49</v>
      </c>
      <c r="J633" s="1" t="n">
        <f aca="false">K632</f>
        <v>165570</v>
      </c>
      <c r="K633" s="1" t="n">
        <f aca="false">J633+L633</f>
        <v>165597</v>
      </c>
      <c r="L633" s="1" t="n">
        <v>27</v>
      </c>
      <c r="M633" s="1" t="n">
        <f aca="false">(E633+M632)-N633</f>
        <v>31.15</v>
      </c>
      <c r="N633" s="1" t="n">
        <v>3.2</v>
      </c>
    </row>
    <row r="634" customFormat="false" ht="15" hidden="false" customHeight="true" outlineLevel="0" collapsed="false">
      <c r="D634" s="11"/>
      <c r="H634" s="1" t="s">
        <v>49</v>
      </c>
      <c r="I634" s="1" t="s">
        <v>34</v>
      </c>
      <c r="J634" s="1" t="n">
        <f aca="false">K633</f>
        <v>165597</v>
      </c>
      <c r="K634" s="1" t="n">
        <f aca="false">J634+L634</f>
        <v>165624</v>
      </c>
      <c r="L634" s="1" t="n">
        <v>27</v>
      </c>
      <c r="M634" s="1" t="n">
        <f aca="false">(E634+M633)-N634</f>
        <v>27.95</v>
      </c>
      <c r="N634" s="1" t="n">
        <v>3.2</v>
      </c>
    </row>
    <row r="635" customFormat="false" ht="15" hidden="false" customHeight="true" outlineLevel="0" collapsed="false">
      <c r="D635" s="11" t="n">
        <v>44826</v>
      </c>
      <c r="H635" s="1" t="s">
        <v>34</v>
      </c>
      <c r="I635" s="1" t="s">
        <v>36</v>
      </c>
      <c r="J635" s="1" t="n">
        <f aca="false">K634</f>
        <v>165624</v>
      </c>
      <c r="K635" s="1" t="n">
        <f aca="false">J635+L635</f>
        <v>165639</v>
      </c>
      <c r="L635" s="1" t="n">
        <v>15</v>
      </c>
      <c r="M635" s="1" t="n">
        <f aca="false">(E635+M634)-N635</f>
        <v>26.15</v>
      </c>
      <c r="N635" s="1" t="n">
        <v>1.8</v>
      </c>
    </row>
    <row r="636" customFormat="false" ht="15" hidden="false" customHeight="true" outlineLevel="0" collapsed="false">
      <c r="D636" s="11"/>
      <c r="H636" s="1" t="s">
        <v>36</v>
      </c>
      <c r="I636" s="1" t="s">
        <v>34</v>
      </c>
      <c r="J636" s="1" t="n">
        <f aca="false">K635</f>
        <v>165639</v>
      </c>
      <c r="K636" s="1" t="n">
        <f aca="false">J636+L636</f>
        <v>165654</v>
      </c>
      <c r="L636" s="1" t="n">
        <v>15</v>
      </c>
      <c r="M636" s="1" t="n">
        <f aca="false">(E636+M635)-N636</f>
        <v>24.35</v>
      </c>
      <c r="N636" s="1" t="n">
        <v>1.8</v>
      </c>
    </row>
    <row r="637" customFormat="false" ht="15" hidden="false" customHeight="true" outlineLevel="0" collapsed="false">
      <c r="D637" s="11" t="n">
        <v>44827</v>
      </c>
      <c r="H637" s="1" t="s">
        <v>34</v>
      </c>
      <c r="I637" s="1" t="s">
        <v>44</v>
      </c>
      <c r="J637" s="1" t="n">
        <f aca="false">K636</f>
        <v>165654</v>
      </c>
      <c r="K637" s="1" t="n">
        <f aca="false">J637+L637</f>
        <v>165694</v>
      </c>
      <c r="L637" s="1" t="n">
        <v>40</v>
      </c>
      <c r="M637" s="1" t="n">
        <f aca="false">(E637+M636)-N637</f>
        <v>19.55</v>
      </c>
      <c r="N637" s="1" t="n">
        <v>4.8</v>
      </c>
    </row>
    <row r="638" customFormat="false" ht="15" hidden="false" customHeight="true" outlineLevel="0" collapsed="false">
      <c r="D638" s="11"/>
      <c r="H638" s="1" t="s">
        <v>44</v>
      </c>
      <c r="I638" s="1" t="s">
        <v>34</v>
      </c>
      <c r="J638" s="1" t="n">
        <f aca="false">K637</f>
        <v>165694</v>
      </c>
      <c r="K638" s="1" t="n">
        <f aca="false">J638+L638</f>
        <v>165734</v>
      </c>
      <c r="L638" s="1" t="n">
        <v>40</v>
      </c>
      <c r="M638" s="1" t="n">
        <f aca="false">(E638+M637)-N638</f>
        <v>14.75</v>
      </c>
      <c r="N638" s="1" t="n">
        <v>4.8</v>
      </c>
    </row>
    <row r="639" customFormat="false" ht="15" hidden="false" customHeight="true" outlineLevel="0" collapsed="false">
      <c r="D639" s="11" t="n">
        <v>44830</v>
      </c>
      <c r="H639" s="1" t="s">
        <v>34</v>
      </c>
      <c r="I639" s="1" t="s">
        <v>24</v>
      </c>
      <c r="J639" s="1" t="n">
        <f aca="false">K638</f>
        <v>165734</v>
      </c>
      <c r="K639" s="1" t="n">
        <f aca="false">J639+L639</f>
        <v>165748</v>
      </c>
      <c r="L639" s="1" t="n">
        <v>14</v>
      </c>
      <c r="M639" s="1" t="n">
        <f aca="false">(E639+M638)-N639</f>
        <v>13.25</v>
      </c>
      <c r="N639" s="1" t="n">
        <v>1.5</v>
      </c>
    </row>
    <row r="640" customFormat="false" ht="15" hidden="false" customHeight="true" outlineLevel="0" collapsed="false">
      <c r="D640" s="11"/>
      <c r="H640" s="1" t="s">
        <v>24</v>
      </c>
      <c r="I640" s="1" t="s">
        <v>34</v>
      </c>
      <c r="J640" s="1" t="n">
        <f aca="false">K639</f>
        <v>165748</v>
      </c>
      <c r="K640" s="1" t="n">
        <f aca="false">J640+L640</f>
        <v>165762</v>
      </c>
      <c r="L640" s="1" t="n">
        <v>14</v>
      </c>
      <c r="M640" s="1" t="n">
        <f aca="false">(E640+M639)-N640</f>
        <v>11.75</v>
      </c>
      <c r="N640" s="1" t="n">
        <v>1.5</v>
      </c>
    </row>
    <row r="641" customFormat="false" ht="15" hidden="false" customHeight="true" outlineLevel="0" collapsed="false">
      <c r="D641" s="11" t="n">
        <v>44831</v>
      </c>
      <c r="H641" s="1" t="s">
        <v>34</v>
      </c>
      <c r="I641" s="1" t="s">
        <v>35</v>
      </c>
      <c r="J641" s="1" t="n">
        <f aca="false">K640</f>
        <v>165762</v>
      </c>
      <c r="K641" s="1" t="n">
        <f aca="false">J641+L641</f>
        <v>165774</v>
      </c>
      <c r="L641" s="1" t="n">
        <v>12</v>
      </c>
      <c r="M641" s="1" t="n">
        <f aca="false">(E641+M640)-N641</f>
        <v>10.5</v>
      </c>
      <c r="N641" s="1" t="n">
        <v>1.25</v>
      </c>
    </row>
    <row r="642" customFormat="false" ht="15" hidden="false" customHeight="true" outlineLevel="0" collapsed="false">
      <c r="D642" s="11"/>
      <c r="H642" s="1" t="s">
        <v>35</v>
      </c>
      <c r="I642" s="1" t="s">
        <v>34</v>
      </c>
      <c r="J642" s="1" t="n">
        <f aca="false">K641</f>
        <v>165774</v>
      </c>
      <c r="K642" s="1" t="n">
        <f aca="false">J642+L642</f>
        <v>165786</v>
      </c>
      <c r="L642" s="1" t="n">
        <v>12</v>
      </c>
      <c r="M642" s="1" t="n">
        <f aca="false">(E642+M641)-N642</f>
        <v>9.24999999999997</v>
      </c>
      <c r="N642" s="1" t="n">
        <v>1.25</v>
      </c>
    </row>
    <row r="643" customFormat="false" ht="15" hidden="false" customHeight="true" outlineLevel="0" collapsed="false">
      <c r="D643" s="11" t="n">
        <v>44832</v>
      </c>
      <c r="E643" s="0" t="n">
        <v>31</v>
      </c>
      <c r="F643" s="1" t="n">
        <v>51.6</v>
      </c>
      <c r="G643" s="6" t="n">
        <f aca="false">E643*F643</f>
        <v>1599.6</v>
      </c>
      <c r="H643" s="1" t="s">
        <v>34</v>
      </c>
      <c r="I643" s="1" t="s">
        <v>49</v>
      </c>
      <c r="J643" s="1" t="n">
        <f aca="false">K642</f>
        <v>165786</v>
      </c>
      <c r="K643" s="1" t="n">
        <f aca="false">J643+L643</f>
        <v>165813</v>
      </c>
      <c r="L643" s="1" t="n">
        <v>27</v>
      </c>
      <c r="M643" s="1" t="n">
        <f aca="false">(E643+M642)-N643</f>
        <v>37.05</v>
      </c>
      <c r="N643" s="1" t="n">
        <v>3.2</v>
      </c>
    </row>
    <row r="644" customFormat="false" ht="15" hidden="false" customHeight="true" outlineLevel="0" collapsed="false">
      <c r="D644" s="11"/>
      <c r="G644" s="6"/>
      <c r="H644" s="1" t="s">
        <v>49</v>
      </c>
      <c r="I644" s="1" t="s">
        <v>34</v>
      </c>
      <c r="J644" s="1" t="n">
        <f aca="false">K643</f>
        <v>165813</v>
      </c>
      <c r="K644" s="1" t="n">
        <f aca="false">J644+L644</f>
        <v>165840</v>
      </c>
      <c r="L644" s="1" t="n">
        <v>27</v>
      </c>
      <c r="M644" s="1" t="n">
        <f aca="false">(E644+M643)-N644</f>
        <v>33.85</v>
      </c>
      <c r="N644" s="1" t="n">
        <v>3.2</v>
      </c>
    </row>
    <row r="645" customFormat="false" ht="15" hidden="false" customHeight="true" outlineLevel="0" collapsed="false">
      <c r="D645" s="11" t="n">
        <v>44833</v>
      </c>
      <c r="H645" s="1" t="s">
        <v>34</v>
      </c>
      <c r="I645" s="1" t="s">
        <v>44</v>
      </c>
      <c r="J645" s="1" t="n">
        <f aca="false">K644</f>
        <v>165840</v>
      </c>
      <c r="K645" s="1" t="n">
        <f aca="false">J645+L645</f>
        <v>165880</v>
      </c>
      <c r="L645" s="1" t="n">
        <v>40</v>
      </c>
      <c r="M645" s="1" t="n">
        <f aca="false">(E645+M644)-N645</f>
        <v>29.05</v>
      </c>
      <c r="N645" s="1" t="n">
        <v>4.8</v>
      </c>
    </row>
    <row r="646" customFormat="false" ht="15" hidden="false" customHeight="true" outlineLevel="0" collapsed="false">
      <c r="D646" s="11"/>
      <c r="H646" s="1" t="s">
        <v>44</v>
      </c>
      <c r="I646" s="1" t="s">
        <v>34</v>
      </c>
      <c r="J646" s="1" t="n">
        <f aca="false">K645</f>
        <v>165880</v>
      </c>
      <c r="K646" s="1" t="n">
        <f aca="false">J646+L646</f>
        <v>165920</v>
      </c>
      <c r="L646" s="1" t="n">
        <v>40</v>
      </c>
      <c r="M646" s="1" t="n">
        <f aca="false">(E646+M645)-N646</f>
        <v>24.25</v>
      </c>
      <c r="N646" s="1" t="n">
        <v>4.8</v>
      </c>
    </row>
    <row r="647" customFormat="false" ht="15" hidden="false" customHeight="true" outlineLevel="0" collapsed="false">
      <c r="D647" s="11"/>
      <c r="H647" s="1" t="s">
        <v>34</v>
      </c>
      <c r="I647" s="1" t="s">
        <v>36</v>
      </c>
      <c r="J647" s="1" t="n">
        <f aca="false">K646</f>
        <v>165920</v>
      </c>
      <c r="K647" s="1" t="n">
        <f aca="false">J647+L647</f>
        <v>165935</v>
      </c>
      <c r="L647" s="1" t="n">
        <v>15</v>
      </c>
      <c r="M647" s="1" t="n">
        <f aca="false">(E647+M646)-N647</f>
        <v>22.45</v>
      </c>
      <c r="N647" s="1" t="n">
        <v>1.8</v>
      </c>
    </row>
    <row r="648" customFormat="false" ht="15" hidden="false" customHeight="true" outlineLevel="0" collapsed="false">
      <c r="D648" s="11"/>
      <c r="H648" s="1" t="s">
        <v>36</v>
      </c>
      <c r="I648" s="1" t="s">
        <v>34</v>
      </c>
      <c r="J648" s="1" t="n">
        <f aca="false">K647</f>
        <v>165935</v>
      </c>
      <c r="K648" s="1" t="n">
        <f aca="false">J648+L648</f>
        <v>165950</v>
      </c>
      <c r="L648" s="1" t="n">
        <v>15</v>
      </c>
      <c r="M648" s="1" t="n">
        <f aca="false">(E648+M647)-N648</f>
        <v>20.65</v>
      </c>
      <c r="N648" s="1" t="n">
        <v>1.8</v>
      </c>
    </row>
    <row r="649" customFormat="false" ht="15" hidden="false" customHeight="true" outlineLevel="0" collapsed="false">
      <c r="D649" s="11" t="n">
        <v>44834</v>
      </c>
      <c r="H649" s="1" t="s">
        <v>34</v>
      </c>
      <c r="I649" s="1" t="s">
        <v>49</v>
      </c>
      <c r="J649" s="1" t="n">
        <f aca="false">K648</f>
        <v>165950</v>
      </c>
      <c r="K649" s="1" t="n">
        <f aca="false">J649+L649</f>
        <v>165977</v>
      </c>
      <c r="L649" s="1" t="n">
        <v>27</v>
      </c>
      <c r="M649" s="1" t="n">
        <f aca="false">(E649+M648)-N649</f>
        <v>17.45</v>
      </c>
      <c r="N649" s="1" t="n">
        <v>3.2</v>
      </c>
    </row>
    <row r="650" customFormat="false" ht="15" hidden="false" customHeight="true" outlineLevel="0" collapsed="false">
      <c r="H650" s="1" t="s">
        <v>49</v>
      </c>
      <c r="I650" s="1" t="s">
        <v>34</v>
      </c>
      <c r="J650" s="1" t="n">
        <f aca="false">K649</f>
        <v>165977</v>
      </c>
      <c r="K650" s="1" t="n">
        <f aca="false">J650+L650</f>
        <v>166004</v>
      </c>
      <c r="L650" s="1" t="n">
        <v>27</v>
      </c>
      <c r="M650" s="1" t="n">
        <f aca="false">(E650+M649)-N650</f>
        <v>14.25</v>
      </c>
      <c r="N650" s="1" t="n">
        <v>3.2</v>
      </c>
    </row>
    <row r="652" customFormat="false" ht="15" hidden="false" customHeight="true" outlineLevel="0" collapsed="false">
      <c r="D652" s="4" t="s">
        <v>52</v>
      </c>
      <c r="E652" s="4"/>
      <c r="F652" s="4"/>
      <c r="G652" s="4"/>
    </row>
    <row r="653" customFormat="false" ht="15" hidden="false" customHeight="true" outlineLevel="0" collapsed="false">
      <c r="D653" s="11" t="n">
        <v>44837</v>
      </c>
      <c r="H653" s="1" t="s">
        <v>34</v>
      </c>
      <c r="I653" s="1" t="s">
        <v>36</v>
      </c>
      <c r="J653" s="1" t="n">
        <f aca="false">K650</f>
        <v>166004</v>
      </c>
      <c r="K653" s="1" t="n">
        <f aca="false">J653+L653</f>
        <v>166019</v>
      </c>
      <c r="L653" s="1" t="n">
        <v>15</v>
      </c>
      <c r="M653" s="1" t="n">
        <f aca="false">(E653+M650)-N653</f>
        <v>12.45</v>
      </c>
      <c r="N653" s="1" t="n">
        <v>1.8</v>
      </c>
    </row>
    <row r="654" customFormat="false" ht="15" hidden="false" customHeight="true" outlineLevel="0" collapsed="false">
      <c r="D654" s="11"/>
      <c r="H654" s="1" t="s">
        <v>36</v>
      </c>
      <c r="I654" s="1" t="s">
        <v>34</v>
      </c>
      <c r="J654" s="1" t="n">
        <f aca="false">K653</f>
        <v>166019</v>
      </c>
      <c r="K654" s="1" t="n">
        <f aca="false">J654+L654</f>
        <v>166034</v>
      </c>
      <c r="L654" s="1" t="n">
        <v>15</v>
      </c>
      <c r="M654" s="1" t="n">
        <f aca="false">(E654+M653)-N654</f>
        <v>10.65</v>
      </c>
      <c r="N654" s="1" t="n">
        <v>1.8</v>
      </c>
    </row>
    <row r="655" customFormat="false" ht="15" hidden="false" customHeight="true" outlineLevel="0" collapsed="false">
      <c r="D655" s="11" t="n">
        <v>44838</v>
      </c>
      <c r="H655" s="1" t="s">
        <v>34</v>
      </c>
      <c r="I655" s="1" t="s">
        <v>35</v>
      </c>
      <c r="J655" s="1" t="n">
        <f aca="false">K654</f>
        <v>166034</v>
      </c>
      <c r="K655" s="1" t="n">
        <f aca="false">J655+L655</f>
        <v>166046</v>
      </c>
      <c r="L655" s="1" t="n">
        <v>12</v>
      </c>
      <c r="M655" s="1" t="n">
        <f aca="false">(E655+M654)-N655</f>
        <v>9.39999999999996</v>
      </c>
      <c r="N655" s="1" t="n">
        <v>1.25</v>
      </c>
    </row>
    <row r="656" customFormat="false" ht="15" hidden="false" customHeight="true" outlineLevel="0" collapsed="false">
      <c r="D656" s="11"/>
      <c r="H656" s="1" t="s">
        <v>35</v>
      </c>
      <c r="I656" s="1" t="s">
        <v>34</v>
      </c>
      <c r="J656" s="1" t="n">
        <f aca="false">K655</f>
        <v>166046</v>
      </c>
      <c r="K656" s="1" t="n">
        <f aca="false">J656+L656</f>
        <v>166058</v>
      </c>
      <c r="L656" s="1" t="n">
        <v>12</v>
      </c>
      <c r="M656" s="1" t="n">
        <f aca="false">(E656+M655)-N656</f>
        <v>8.14999999999996</v>
      </c>
      <c r="N656" s="1" t="n">
        <v>1.25</v>
      </c>
    </row>
    <row r="657" customFormat="false" ht="15" hidden="false" customHeight="true" outlineLevel="0" collapsed="false">
      <c r="D657" s="11" t="n">
        <v>44839</v>
      </c>
      <c r="H657" s="1" t="s">
        <v>34</v>
      </c>
      <c r="I657" s="1" t="s">
        <v>35</v>
      </c>
      <c r="J657" s="1" t="n">
        <f aca="false">K656</f>
        <v>166058</v>
      </c>
      <c r="K657" s="1" t="n">
        <f aca="false">J657+L657</f>
        <v>166070</v>
      </c>
      <c r="L657" s="1" t="n">
        <v>12</v>
      </c>
      <c r="M657" s="1" t="n">
        <f aca="false">(E657+M656)-N657</f>
        <v>6.89999999999996</v>
      </c>
      <c r="N657" s="1" t="n">
        <v>1.25</v>
      </c>
    </row>
    <row r="658" customFormat="false" ht="15" hidden="false" customHeight="true" outlineLevel="0" collapsed="false">
      <c r="D658" s="11"/>
      <c r="H658" s="1" t="s">
        <v>35</v>
      </c>
      <c r="I658" s="1" t="s">
        <v>34</v>
      </c>
      <c r="J658" s="1" t="n">
        <f aca="false">K657</f>
        <v>166070</v>
      </c>
      <c r="K658" s="1" t="n">
        <f aca="false">J658+L658</f>
        <v>166082</v>
      </c>
      <c r="L658" s="1" t="n">
        <v>12</v>
      </c>
      <c r="M658" s="1" t="n">
        <f aca="false">(E658+M657)-N658</f>
        <v>5.64999999999996</v>
      </c>
      <c r="N658" s="1" t="n">
        <v>1.25</v>
      </c>
    </row>
    <row r="659" customFormat="false" ht="15" hidden="false" customHeight="true" outlineLevel="0" collapsed="false">
      <c r="D659" s="11" t="n">
        <v>44840</v>
      </c>
      <c r="H659" s="1" t="s">
        <v>34</v>
      </c>
      <c r="I659" s="1" t="s">
        <v>35</v>
      </c>
      <c r="J659" s="1" t="n">
        <f aca="false">K658</f>
        <v>166082</v>
      </c>
      <c r="K659" s="1" t="n">
        <f aca="false">J659+L659</f>
        <v>166094</v>
      </c>
      <c r="L659" s="1" t="n">
        <v>12</v>
      </c>
      <c r="M659" s="1" t="n">
        <f aca="false">(E659+M658)-N659</f>
        <v>4.39999999999996</v>
      </c>
      <c r="N659" s="1" t="n">
        <v>1.25</v>
      </c>
    </row>
    <row r="660" customFormat="false" ht="15" hidden="false" customHeight="true" outlineLevel="0" collapsed="false">
      <c r="D660" s="11"/>
      <c r="H660" s="1" t="s">
        <v>35</v>
      </c>
      <c r="I660" s="1" t="s">
        <v>34</v>
      </c>
      <c r="J660" s="1" t="n">
        <f aca="false">K659</f>
        <v>166094</v>
      </c>
      <c r="K660" s="1" t="n">
        <f aca="false">J660+L660</f>
        <v>166106</v>
      </c>
      <c r="L660" s="1" t="n">
        <v>12</v>
      </c>
      <c r="M660" s="1" t="n">
        <f aca="false">(E660+M659)-N660</f>
        <v>3.14999999999996</v>
      </c>
      <c r="N660" s="1" t="n">
        <v>1.25</v>
      </c>
    </row>
    <row r="661" customFormat="false" ht="15" hidden="false" customHeight="true" outlineLevel="0" collapsed="false">
      <c r="D661" s="11" t="n">
        <v>44841</v>
      </c>
      <c r="H661" s="1" t="s">
        <v>34</v>
      </c>
      <c r="I661" s="1" t="s">
        <v>35</v>
      </c>
      <c r="J661" s="1" t="n">
        <f aca="false">K660</f>
        <v>166106</v>
      </c>
      <c r="K661" s="1" t="n">
        <f aca="false">J661+L661</f>
        <v>166118</v>
      </c>
      <c r="L661" s="1" t="n">
        <v>12</v>
      </c>
      <c r="M661" s="1" t="n">
        <f aca="false">(E661+M660)-N661</f>
        <v>1.89999999999996</v>
      </c>
      <c r="N661" s="1" t="n">
        <v>1.25</v>
      </c>
    </row>
    <row r="662" customFormat="false" ht="15" hidden="false" customHeight="true" outlineLevel="0" collapsed="false">
      <c r="D662" s="11"/>
      <c r="H662" s="1" t="s">
        <v>35</v>
      </c>
      <c r="I662" s="1" t="s">
        <v>34</v>
      </c>
      <c r="J662" s="1" t="n">
        <f aca="false">K661</f>
        <v>166118</v>
      </c>
      <c r="K662" s="1" t="n">
        <f aca="false">J662+L662</f>
        <v>166130</v>
      </c>
      <c r="L662" s="1" t="n">
        <v>12</v>
      </c>
      <c r="M662" s="1" t="n">
        <f aca="false">(E662+M661)-N662</f>
        <v>0.649999999999963</v>
      </c>
      <c r="N662" s="1" t="n">
        <v>1.25</v>
      </c>
    </row>
    <row r="663" customFormat="false" ht="15" hidden="false" customHeight="true" outlineLevel="0" collapsed="false">
      <c r="D663" s="11" t="n">
        <v>44844</v>
      </c>
      <c r="E663" s="0" t="n">
        <v>31.77</v>
      </c>
      <c r="F663" s="1" t="n">
        <v>51.6</v>
      </c>
      <c r="G663" s="6" t="n">
        <f aca="false">E663*F663</f>
        <v>1639.332</v>
      </c>
      <c r="H663" s="1" t="s">
        <v>34</v>
      </c>
      <c r="I663" s="1" t="s">
        <v>49</v>
      </c>
      <c r="J663" s="1" t="n">
        <f aca="false">K662</f>
        <v>166130</v>
      </c>
      <c r="K663" s="1" t="n">
        <f aca="false">J663+L663</f>
        <v>166157</v>
      </c>
      <c r="L663" s="1" t="n">
        <v>27</v>
      </c>
      <c r="M663" s="1" t="n">
        <f aca="false">(E663+M662)-N663</f>
        <v>29.22</v>
      </c>
      <c r="N663" s="1" t="n">
        <v>3.2</v>
      </c>
    </row>
    <row r="664" customFormat="false" ht="15" hidden="false" customHeight="true" outlineLevel="0" collapsed="false">
      <c r="D664" s="11"/>
      <c r="G664" s="6"/>
      <c r="H664" s="1" t="s">
        <v>49</v>
      </c>
      <c r="I664" s="1" t="s">
        <v>34</v>
      </c>
      <c r="J664" s="1" t="n">
        <f aca="false">K663</f>
        <v>166157</v>
      </c>
      <c r="K664" s="1" t="n">
        <f aca="false">J664+L664</f>
        <v>166184</v>
      </c>
      <c r="L664" s="1" t="n">
        <v>27</v>
      </c>
      <c r="M664" s="1" t="n">
        <f aca="false">(E664+M663)-N664</f>
        <v>26.02</v>
      </c>
      <c r="N664" s="1" t="n">
        <v>3.2</v>
      </c>
    </row>
    <row r="665" customFormat="false" ht="15" hidden="false" customHeight="true" outlineLevel="0" collapsed="false">
      <c r="D665" s="11" t="n">
        <v>44845</v>
      </c>
      <c r="H665" s="1" t="s">
        <v>34</v>
      </c>
      <c r="I665" s="1" t="s">
        <v>36</v>
      </c>
      <c r="J665" s="1" t="n">
        <f aca="false">K664</f>
        <v>166184</v>
      </c>
      <c r="K665" s="1" t="n">
        <f aca="false">J665+L665</f>
        <v>166199</v>
      </c>
      <c r="L665" s="1" t="n">
        <v>15</v>
      </c>
      <c r="M665" s="1" t="n">
        <f aca="false">(E665+M664)-N665</f>
        <v>24.22</v>
      </c>
      <c r="N665" s="1" t="n">
        <v>1.8</v>
      </c>
    </row>
    <row r="666" customFormat="false" ht="15" hidden="false" customHeight="true" outlineLevel="0" collapsed="false">
      <c r="D666" s="11"/>
      <c r="H666" s="1" t="s">
        <v>36</v>
      </c>
      <c r="I666" s="1" t="s">
        <v>34</v>
      </c>
      <c r="J666" s="1" t="n">
        <f aca="false">K665</f>
        <v>166199</v>
      </c>
      <c r="K666" s="1" t="n">
        <f aca="false">J666+L666</f>
        <v>166214</v>
      </c>
      <c r="L666" s="1" t="n">
        <v>15</v>
      </c>
      <c r="M666" s="1" t="n">
        <f aca="false">(E666+M665)-N666</f>
        <v>22.42</v>
      </c>
      <c r="N666" s="1" t="n">
        <v>1.8</v>
      </c>
    </row>
    <row r="667" customFormat="false" ht="15" hidden="false" customHeight="true" outlineLevel="0" collapsed="false">
      <c r="D667" s="11" t="n">
        <v>44846</v>
      </c>
      <c r="H667" s="1" t="s">
        <v>34</v>
      </c>
      <c r="I667" s="1" t="s">
        <v>49</v>
      </c>
      <c r="J667" s="1" t="n">
        <f aca="false">K666</f>
        <v>166214</v>
      </c>
      <c r="K667" s="1" t="n">
        <f aca="false">J667+L667</f>
        <v>166241</v>
      </c>
      <c r="L667" s="1" t="n">
        <v>27</v>
      </c>
      <c r="M667" s="1" t="n">
        <f aca="false">(E667+M666)-N667</f>
        <v>19.22</v>
      </c>
      <c r="N667" s="1" t="n">
        <v>3.2</v>
      </c>
    </row>
    <row r="668" customFormat="false" ht="15" hidden="false" customHeight="true" outlineLevel="0" collapsed="false">
      <c r="D668" s="11"/>
      <c r="H668" s="1" t="s">
        <v>49</v>
      </c>
      <c r="I668" s="1" t="s">
        <v>34</v>
      </c>
      <c r="J668" s="1" t="n">
        <f aca="false">K667</f>
        <v>166241</v>
      </c>
      <c r="K668" s="1" t="n">
        <f aca="false">J668+L668</f>
        <v>166268</v>
      </c>
      <c r="L668" s="1" t="n">
        <v>27</v>
      </c>
      <c r="M668" s="1" t="n">
        <f aca="false">(E668+M667)-N668</f>
        <v>16.02</v>
      </c>
      <c r="N668" s="1" t="n">
        <v>3.2</v>
      </c>
    </row>
    <row r="669" customFormat="false" ht="15" hidden="false" customHeight="true" outlineLevel="0" collapsed="false">
      <c r="D669" s="11" t="n">
        <v>44847</v>
      </c>
      <c r="H669" s="1" t="s">
        <v>34</v>
      </c>
      <c r="I669" s="1" t="s">
        <v>35</v>
      </c>
      <c r="J669" s="1" t="n">
        <f aca="false">K668</f>
        <v>166268</v>
      </c>
      <c r="K669" s="1" t="n">
        <f aca="false">J669+L669</f>
        <v>166280</v>
      </c>
      <c r="L669" s="1" t="n">
        <v>12</v>
      </c>
      <c r="M669" s="1" t="n">
        <f aca="false">(E669+M668)-N669</f>
        <v>14.77</v>
      </c>
      <c r="N669" s="1" t="n">
        <v>1.25</v>
      </c>
    </row>
    <row r="670" customFormat="false" ht="15" hidden="false" customHeight="true" outlineLevel="0" collapsed="false">
      <c r="D670" s="11"/>
      <c r="H670" s="1" t="s">
        <v>35</v>
      </c>
      <c r="I670" s="1" t="s">
        <v>34</v>
      </c>
      <c r="J670" s="1" t="n">
        <f aca="false">K669</f>
        <v>166280</v>
      </c>
      <c r="K670" s="1" t="n">
        <f aca="false">J670+L670</f>
        <v>166292</v>
      </c>
      <c r="L670" s="1" t="n">
        <v>12</v>
      </c>
      <c r="M670" s="1" t="n">
        <f aca="false">(E670+M669)-N670</f>
        <v>13.52</v>
      </c>
      <c r="N670" s="1" t="n">
        <v>1.25</v>
      </c>
    </row>
    <row r="671" customFormat="false" ht="15" hidden="false" customHeight="true" outlineLevel="0" collapsed="false">
      <c r="D671" s="11" t="n">
        <v>44848</v>
      </c>
      <c r="H671" s="1" t="s">
        <v>34</v>
      </c>
      <c r="I671" s="1" t="s">
        <v>32</v>
      </c>
      <c r="J671" s="1" t="n">
        <f aca="false">K670</f>
        <v>166292</v>
      </c>
      <c r="K671" s="1" t="n">
        <f aca="false">J671+L671</f>
        <v>166317</v>
      </c>
      <c r="L671" s="1" t="n">
        <v>25</v>
      </c>
      <c r="M671" s="1" t="n">
        <f aca="false">(E671+M670)-N671</f>
        <v>10.52</v>
      </c>
      <c r="N671" s="1" t="n">
        <v>3</v>
      </c>
    </row>
    <row r="672" customFormat="false" ht="15" hidden="false" customHeight="true" outlineLevel="0" collapsed="false">
      <c r="D672" s="11"/>
      <c r="H672" s="1" t="s">
        <v>32</v>
      </c>
      <c r="I672" s="1" t="s">
        <v>34</v>
      </c>
      <c r="J672" s="1" t="n">
        <f aca="false">K671</f>
        <v>166317</v>
      </c>
      <c r="K672" s="1" t="n">
        <f aca="false">J672+L672</f>
        <v>166342</v>
      </c>
      <c r="L672" s="1" t="n">
        <v>25</v>
      </c>
      <c r="M672" s="1" t="n">
        <f aca="false">(E672+M671)-N672</f>
        <v>7.51999999999996</v>
      </c>
      <c r="N672" s="1" t="n">
        <v>3</v>
      </c>
    </row>
    <row r="673" customFormat="false" ht="15" hidden="false" customHeight="true" outlineLevel="0" collapsed="false">
      <c r="D673" s="11" t="n">
        <v>44851</v>
      </c>
      <c r="H673" s="1" t="s">
        <v>34</v>
      </c>
      <c r="I673" s="1" t="s">
        <v>49</v>
      </c>
      <c r="J673" s="1" t="n">
        <f aca="false">K672</f>
        <v>166342</v>
      </c>
      <c r="K673" s="1" t="n">
        <f aca="false">J673+L673</f>
        <v>166369</v>
      </c>
      <c r="L673" s="1" t="n">
        <v>27</v>
      </c>
      <c r="M673" s="1" t="n">
        <f aca="false">(E673+M672)-N673</f>
        <v>4.31999999999996</v>
      </c>
      <c r="N673" s="1" t="n">
        <v>3.2</v>
      </c>
    </row>
    <row r="674" customFormat="false" ht="15" hidden="false" customHeight="true" outlineLevel="0" collapsed="false">
      <c r="D674" s="11"/>
      <c r="H674" s="1" t="s">
        <v>49</v>
      </c>
      <c r="I674" s="1" t="s">
        <v>34</v>
      </c>
      <c r="J674" s="1" t="n">
        <f aca="false">K673</f>
        <v>166369</v>
      </c>
      <c r="K674" s="1" t="n">
        <f aca="false">J674+L674</f>
        <v>166396</v>
      </c>
      <c r="L674" s="1" t="n">
        <v>27</v>
      </c>
      <c r="M674" s="1" t="n">
        <f aca="false">(E674+M673)-N674</f>
        <v>1.11999999999996</v>
      </c>
      <c r="N674" s="1" t="n">
        <v>3.2</v>
      </c>
    </row>
    <row r="675" customFormat="false" ht="15" hidden="false" customHeight="true" outlineLevel="0" collapsed="false">
      <c r="D675" s="11" t="n">
        <v>44852</v>
      </c>
      <c r="E675" s="0" t="n">
        <v>31.99</v>
      </c>
      <c r="F675" s="1" t="n">
        <v>51.6</v>
      </c>
      <c r="G675" s="6" t="n">
        <f aca="false">E675*F675</f>
        <v>1650.684</v>
      </c>
      <c r="H675" s="1" t="s">
        <v>34</v>
      </c>
      <c r="I675" s="1" t="s">
        <v>49</v>
      </c>
      <c r="J675" s="1" t="n">
        <f aca="false">K674</f>
        <v>166396</v>
      </c>
      <c r="K675" s="1" t="n">
        <f aca="false">J675+L675</f>
        <v>166423</v>
      </c>
      <c r="L675" s="1" t="n">
        <v>27</v>
      </c>
      <c r="M675" s="1" t="n">
        <f aca="false">(E675+M674)-N675</f>
        <v>29.91</v>
      </c>
      <c r="N675" s="1" t="n">
        <v>3.2</v>
      </c>
    </row>
    <row r="676" customFormat="false" ht="15" hidden="false" customHeight="true" outlineLevel="0" collapsed="false">
      <c r="D676" s="11"/>
      <c r="G676" s="6"/>
      <c r="H676" s="1" t="s">
        <v>49</v>
      </c>
      <c r="I676" s="1" t="s">
        <v>34</v>
      </c>
      <c r="J676" s="1" t="n">
        <f aca="false">K675</f>
        <v>166423</v>
      </c>
      <c r="K676" s="1" t="n">
        <f aca="false">J676+L676</f>
        <v>166450</v>
      </c>
      <c r="L676" s="1" t="n">
        <v>27</v>
      </c>
      <c r="M676" s="1" t="n">
        <f aca="false">(E676+M675)-N676</f>
        <v>26.71</v>
      </c>
      <c r="N676" s="1" t="n">
        <v>3.2</v>
      </c>
    </row>
    <row r="677" customFormat="false" ht="15" hidden="false" customHeight="true" outlineLevel="0" collapsed="false">
      <c r="D677" s="11" t="n">
        <v>44853</v>
      </c>
      <c r="H677" s="1" t="s">
        <v>34</v>
      </c>
      <c r="I677" s="1" t="s">
        <v>49</v>
      </c>
      <c r="J677" s="1" t="n">
        <f aca="false">K676</f>
        <v>166450</v>
      </c>
      <c r="K677" s="1" t="n">
        <f aca="false">J677+L677</f>
        <v>166477</v>
      </c>
      <c r="L677" s="1" t="n">
        <v>27</v>
      </c>
      <c r="M677" s="1" t="n">
        <f aca="false">(E677+M676)-N677</f>
        <v>23.51</v>
      </c>
      <c r="N677" s="1" t="n">
        <v>3.2</v>
      </c>
    </row>
    <row r="678" customFormat="false" ht="15" hidden="false" customHeight="true" outlineLevel="0" collapsed="false">
      <c r="D678" s="11"/>
      <c r="H678" s="1" t="s">
        <v>49</v>
      </c>
      <c r="I678" s="1" t="s">
        <v>34</v>
      </c>
      <c r="J678" s="1" t="n">
        <f aca="false">K677</f>
        <v>166477</v>
      </c>
      <c r="K678" s="1" t="n">
        <f aca="false">J678+L678</f>
        <v>166504</v>
      </c>
      <c r="L678" s="1" t="n">
        <v>27</v>
      </c>
      <c r="M678" s="1" t="n">
        <f aca="false">(E678+M677)-N678</f>
        <v>20.31</v>
      </c>
      <c r="N678" s="1" t="n">
        <v>3.2</v>
      </c>
    </row>
    <row r="679" customFormat="false" ht="15" hidden="false" customHeight="true" outlineLevel="0" collapsed="false">
      <c r="D679" s="11" t="n">
        <v>44854</v>
      </c>
      <c r="H679" s="1" t="s">
        <v>34</v>
      </c>
      <c r="I679" s="1" t="s">
        <v>49</v>
      </c>
      <c r="J679" s="1" t="n">
        <f aca="false">K678</f>
        <v>166504</v>
      </c>
      <c r="K679" s="1" t="n">
        <f aca="false">J679+L679</f>
        <v>166531</v>
      </c>
      <c r="L679" s="1" t="n">
        <v>27</v>
      </c>
      <c r="M679" s="1" t="n">
        <f aca="false">(E679+M678)-N679</f>
        <v>17.11</v>
      </c>
      <c r="N679" s="1" t="n">
        <v>3.2</v>
      </c>
    </row>
    <row r="680" customFormat="false" ht="15" hidden="false" customHeight="true" outlineLevel="0" collapsed="false">
      <c r="D680" s="11"/>
      <c r="H680" s="1" t="s">
        <v>49</v>
      </c>
      <c r="I680" s="1" t="s">
        <v>34</v>
      </c>
      <c r="J680" s="1" t="n">
        <f aca="false">K679</f>
        <v>166531</v>
      </c>
      <c r="K680" s="1" t="n">
        <f aca="false">J680+L680</f>
        <v>166558</v>
      </c>
      <c r="L680" s="1" t="n">
        <v>27</v>
      </c>
      <c r="M680" s="1" t="n">
        <f aca="false">(E680+M679)-N680</f>
        <v>13.91</v>
      </c>
      <c r="N680" s="1" t="n">
        <v>3.2</v>
      </c>
    </row>
    <row r="681" customFormat="false" ht="15" hidden="false" customHeight="true" outlineLevel="0" collapsed="false">
      <c r="D681" s="11" t="n">
        <v>44855</v>
      </c>
      <c r="E681" s="0" t="n">
        <v>30.63</v>
      </c>
      <c r="F681" s="1" t="n">
        <v>51.6</v>
      </c>
      <c r="G681" s="6" t="n">
        <f aca="false">E681*F681</f>
        <v>1580.508</v>
      </c>
      <c r="H681" s="1" t="s">
        <v>34</v>
      </c>
      <c r="I681" s="1" t="s">
        <v>49</v>
      </c>
      <c r="J681" s="1" t="n">
        <f aca="false">K680</f>
        <v>166558</v>
      </c>
      <c r="K681" s="1" t="n">
        <f aca="false">J681+L681</f>
        <v>166585</v>
      </c>
      <c r="L681" s="1" t="n">
        <v>27</v>
      </c>
      <c r="M681" s="1" t="n">
        <f aca="false">(E681+M680)-N681</f>
        <v>41.34</v>
      </c>
      <c r="N681" s="1" t="n">
        <v>3.2</v>
      </c>
    </row>
    <row r="682" customFormat="false" ht="15" hidden="false" customHeight="true" outlineLevel="0" collapsed="false">
      <c r="D682" s="11"/>
      <c r="G682" s="6"/>
      <c r="H682" s="1" t="s">
        <v>49</v>
      </c>
      <c r="I682" s="1" t="s">
        <v>34</v>
      </c>
      <c r="J682" s="1" t="n">
        <f aca="false">K681</f>
        <v>166585</v>
      </c>
      <c r="K682" s="1" t="n">
        <f aca="false">J682+L682</f>
        <v>166612</v>
      </c>
      <c r="L682" s="1" t="n">
        <v>27</v>
      </c>
      <c r="M682" s="1" t="n">
        <f aca="false">(E682+M681)-N682</f>
        <v>38.14</v>
      </c>
      <c r="N682" s="1" t="n">
        <v>3.2</v>
      </c>
    </row>
    <row r="683" customFormat="false" ht="15" hidden="false" customHeight="true" outlineLevel="0" collapsed="false">
      <c r="D683" s="11" t="n">
        <v>44858</v>
      </c>
      <c r="H683" s="1" t="s">
        <v>34</v>
      </c>
      <c r="I683" s="1" t="s">
        <v>36</v>
      </c>
      <c r="J683" s="1" t="n">
        <f aca="false">K682</f>
        <v>166612</v>
      </c>
      <c r="K683" s="1" t="n">
        <f aca="false">J683+L683</f>
        <v>166627</v>
      </c>
      <c r="L683" s="1" t="n">
        <v>15</v>
      </c>
      <c r="M683" s="1" t="n">
        <f aca="false">(E683+M682)-N683</f>
        <v>36.34</v>
      </c>
      <c r="N683" s="1" t="n">
        <v>1.8</v>
      </c>
    </row>
    <row r="684" customFormat="false" ht="15" hidden="false" customHeight="true" outlineLevel="0" collapsed="false">
      <c r="D684" s="11"/>
      <c r="H684" s="1" t="s">
        <v>36</v>
      </c>
      <c r="I684" s="1" t="s">
        <v>34</v>
      </c>
      <c r="J684" s="1" t="n">
        <f aca="false">K683</f>
        <v>166627</v>
      </c>
      <c r="K684" s="1" t="n">
        <f aca="false">J684+L684</f>
        <v>166642</v>
      </c>
      <c r="L684" s="1" t="n">
        <v>15</v>
      </c>
      <c r="M684" s="1" t="n">
        <f aca="false">(E684+M683)-N684</f>
        <v>34.54</v>
      </c>
      <c r="N684" s="1" t="n">
        <v>1.8</v>
      </c>
    </row>
    <row r="685" customFormat="false" ht="15" hidden="false" customHeight="true" outlineLevel="0" collapsed="false">
      <c r="D685" s="11" t="n">
        <v>44859</v>
      </c>
      <c r="H685" s="1" t="s">
        <v>34</v>
      </c>
      <c r="I685" s="1" t="s">
        <v>32</v>
      </c>
      <c r="J685" s="1" t="n">
        <f aca="false">K684</f>
        <v>166642</v>
      </c>
      <c r="K685" s="1" t="n">
        <f aca="false">J685+L685</f>
        <v>166667</v>
      </c>
      <c r="L685" s="1" t="n">
        <v>25</v>
      </c>
      <c r="M685" s="1" t="n">
        <f aca="false">(E685+M684)-N685</f>
        <v>31.54</v>
      </c>
      <c r="N685" s="1" t="n">
        <v>3</v>
      </c>
    </row>
    <row r="686" customFormat="false" ht="15" hidden="false" customHeight="true" outlineLevel="0" collapsed="false">
      <c r="D686" s="11"/>
      <c r="H686" s="1" t="s">
        <v>32</v>
      </c>
      <c r="I686" s="1" t="s">
        <v>34</v>
      </c>
      <c r="J686" s="1" t="n">
        <f aca="false">K685</f>
        <v>166667</v>
      </c>
      <c r="K686" s="1" t="n">
        <f aca="false">J686+L686</f>
        <v>166692</v>
      </c>
      <c r="L686" s="1" t="n">
        <v>25</v>
      </c>
      <c r="M686" s="1" t="n">
        <f aca="false">(E686+M685)-N686</f>
        <v>28.54</v>
      </c>
      <c r="N686" s="1" t="n">
        <v>3</v>
      </c>
    </row>
    <row r="687" customFormat="false" ht="15" hidden="false" customHeight="true" outlineLevel="0" collapsed="false">
      <c r="D687" s="11"/>
      <c r="H687" s="1" t="s">
        <v>34</v>
      </c>
      <c r="I687" s="1" t="s">
        <v>49</v>
      </c>
      <c r="J687" s="1" t="n">
        <f aca="false">K686</f>
        <v>166692</v>
      </c>
      <c r="K687" s="1" t="n">
        <f aca="false">J687+L687</f>
        <v>166719</v>
      </c>
      <c r="L687" s="1" t="n">
        <v>27</v>
      </c>
      <c r="M687" s="1" t="n">
        <f aca="false">(E687+M686)-N687</f>
        <v>25.34</v>
      </c>
      <c r="N687" s="1" t="n">
        <v>3.2</v>
      </c>
    </row>
    <row r="688" customFormat="false" ht="15" hidden="false" customHeight="true" outlineLevel="0" collapsed="false">
      <c r="D688" s="11"/>
      <c r="H688" s="1" t="s">
        <v>49</v>
      </c>
      <c r="I688" s="1" t="s">
        <v>34</v>
      </c>
      <c r="J688" s="1" t="n">
        <f aca="false">K687</f>
        <v>166719</v>
      </c>
      <c r="K688" s="1" t="n">
        <f aca="false">J688+L688</f>
        <v>166746</v>
      </c>
      <c r="L688" s="1" t="n">
        <v>27</v>
      </c>
      <c r="M688" s="1" t="n">
        <f aca="false">(E688+M687)-N688</f>
        <v>22.14</v>
      </c>
      <c r="N688" s="1" t="n">
        <v>3.2</v>
      </c>
    </row>
    <row r="689" customFormat="false" ht="15" hidden="false" customHeight="true" outlineLevel="0" collapsed="false">
      <c r="D689" s="11" t="n">
        <v>44860</v>
      </c>
      <c r="H689" s="1" t="s">
        <v>34</v>
      </c>
      <c r="I689" s="1" t="s">
        <v>35</v>
      </c>
      <c r="J689" s="1" t="n">
        <f aca="false">K688</f>
        <v>166746</v>
      </c>
      <c r="K689" s="1" t="n">
        <f aca="false">J689+L689</f>
        <v>166758</v>
      </c>
      <c r="L689" s="1" t="n">
        <v>12</v>
      </c>
      <c r="M689" s="1" t="n">
        <f aca="false">(E689+M688)-N689</f>
        <v>20.89</v>
      </c>
      <c r="N689" s="1" t="n">
        <v>1.25</v>
      </c>
    </row>
    <row r="690" customFormat="false" ht="15" hidden="false" customHeight="true" outlineLevel="0" collapsed="false">
      <c r="D690" s="11"/>
      <c r="H690" s="1" t="s">
        <v>35</v>
      </c>
      <c r="I690" s="1" t="s">
        <v>34</v>
      </c>
      <c r="J690" s="1" t="n">
        <f aca="false">K689</f>
        <v>166758</v>
      </c>
      <c r="K690" s="1" t="n">
        <f aca="false">J690+L690</f>
        <v>166770</v>
      </c>
      <c r="L690" s="1" t="n">
        <v>12</v>
      </c>
      <c r="M690" s="1" t="n">
        <f aca="false">(E690+M689)-N690</f>
        <v>19.64</v>
      </c>
      <c r="N690" s="1" t="n">
        <v>1.25</v>
      </c>
    </row>
    <row r="691" customFormat="false" ht="15" hidden="false" customHeight="true" outlineLevel="0" collapsed="false">
      <c r="D691" s="11" t="n">
        <v>44861</v>
      </c>
      <c r="H691" s="1" t="s">
        <v>34</v>
      </c>
      <c r="I691" s="1" t="s">
        <v>49</v>
      </c>
      <c r="J691" s="1" t="n">
        <f aca="false">K690</f>
        <v>166770</v>
      </c>
      <c r="K691" s="1" t="n">
        <f aca="false">J691+L691</f>
        <v>166797</v>
      </c>
      <c r="L691" s="1" t="n">
        <v>27</v>
      </c>
      <c r="M691" s="1" t="n">
        <f aca="false">(E691+M690)-N691</f>
        <v>16.44</v>
      </c>
      <c r="N691" s="1" t="n">
        <v>3.2</v>
      </c>
    </row>
    <row r="692" customFormat="false" ht="15" hidden="false" customHeight="true" outlineLevel="0" collapsed="false">
      <c r="D692" s="11"/>
      <c r="H692" s="1" t="s">
        <v>49</v>
      </c>
      <c r="I692" s="1" t="s">
        <v>34</v>
      </c>
      <c r="J692" s="1" t="n">
        <f aca="false">K691</f>
        <v>166797</v>
      </c>
      <c r="K692" s="1" t="n">
        <f aca="false">J692+L692</f>
        <v>166824</v>
      </c>
      <c r="L692" s="1" t="n">
        <v>27</v>
      </c>
      <c r="M692" s="1" t="n">
        <f aca="false">(E692+M691)-N692</f>
        <v>13.24</v>
      </c>
      <c r="N692" s="1" t="n">
        <v>3.2</v>
      </c>
    </row>
    <row r="693" customFormat="false" ht="15" hidden="false" customHeight="true" outlineLevel="0" collapsed="false">
      <c r="D693" s="11" t="n">
        <v>44862</v>
      </c>
      <c r="E693" s="0" t="n">
        <v>33.75</v>
      </c>
      <c r="F693" s="1" t="n">
        <v>50.8</v>
      </c>
      <c r="G693" s="6" t="n">
        <f aca="false">E693*F693</f>
        <v>1714.5</v>
      </c>
      <c r="H693" s="1" t="s">
        <v>34</v>
      </c>
      <c r="I693" s="1" t="s">
        <v>49</v>
      </c>
      <c r="J693" s="1" t="n">
        <f aca="false">K692</f>
        <v>166824</v>
      </c>
      <c r="K693" s="1" t="n">
        <f aca="false">J693+L693</f>
        <v>166851</v>
      </c>
      <c r="L693" s="1" t="n">
        <v>27</v>
      </c>
      <c r="M693" s="1" t="n">
        <f aca="false">(E693+M692)-N693</f>
        <v>43.79</v>
      </c>
      <c r="N693" s="1" t="n">
        <v>3.2</v>
      </c>
    </row>
    <row r="694" customFormat="false" ht="15" hidden="false" customHeight="true" outlineLevel="0" collapsed="false">
      <c r="D694" s="11"/>
      <c r="G694" s="6"/>
      <c r="H694" s="1" t="s">
        <v>49</v>
      </c>
      <c r="I694" s="1" t="s">
        <v>34</v>
      </c>
      <c r="J694" s="1" t="n">
        <f aca="false">K693</f>
        <v>166851</v>
      </c>
      <c r="K694" s="1" t="n">
        <f aca="false">J694+L694</f>
        <v>166878</v>
      </c>
      <c r="L694" s="1" t="n">
        <v>27</v>
      </c>
      <c r="M694" s="1" t="n">
        <f aca="false">(E694+M693)-N694</f>
        <v>40.59</v>
      </c>
      <c r="N694" s="1" t="n">
        <v>3.2</v>
      </c>
    </row>
    <row r="695" customFormat="false" ht="15" hidden="false" customHeight="true" outlineLevel="0" collapsed="false">
      <c r="D695" s="11" t="n">
        <v>44865</v>
      </c>
      <c r="H695" s="1" t="s">
        <v>34</v>
      </c>
      <c r="I695" s="1" t="s">
        <v>37</v>
      </c>
      <c r="J695" s="1" t="n">
        <f aca="false">K694</f>
        <v>166878</v>
      </c>
      <c r="K695" s="1" t="n">
        <f aca="false">J695+L695</f>
        <v>166918</v>
      </c>
      <c r="L695" s="1" t="n">
        <v>40</v>
      </c>
      <c r="M695" s="1" t="n">
        <f aca="false">(E695+M694)-N695</f>
        <v>35.79</v>
      </c>
      <c r="N695" s="1" t="n">
        <v>4.8</v>
      </c>
    </row>
    <row r="696" customFormat="false" ht="15" hidden="false" customHeight="true" outlineLevel="0" collapsed="false">
      <c r="H696" s="1" t="s">
        <v>37</v>
      </c>
      <c r="I696" s="1" t="s">
        <v>34</v>
      </c>
      <c r="J696" s="1" t="n">
        <f aca="false">K695</f>
        <v>166918</v>
      </c>
      <c r="K696" s="1" t="n">
        <f aca="false">J696+L696</f>
        <v>166958</v>
      </c>
      <c r="L696" s="1" t="n">
        <v>40</v>
      </c>
      <c r="M696" s="1" t="n">
        <f aca="false">(E696+M695)-N696</f>
        <v>30.99</v>
      </c>
      <c r="N696" s="1" t="n">
        <v>4.8</v>
      </c>
    </row>
    <row r="697" customFormat="false" ht="15" hidden="false" customHeight="true" outlineLevel="0" collapsed="false">
      <c r="D697" s="11"/>
      <c r="H697" s="1" t="s">
        <v>34</v>
      </c>
      <c r="I697" s="1" t="s">
        <v>49</v>
      </c>
      <c r="J697" s="1" t="n">
        <f aca="false">K696</f>
        <v>166958</v>
      </c>
      <c r="K697" s="1" t="n">
        <f aca="false">J697+L697</f>
        <v>166985</v>
      </c>
      <c r="L697" s="1" t="n">
        <v>27</v>
      </c>
      <c r="M697" s="1" t="n">
        <f aca="false">(E697+M696)-N697</f>
        <v>27.79</v>
      </c>
      <c r="N697" s="1" t="n">
        <v>3.2</v>
      </c>
    </row>
    <row r="698" customFormat="false" ht="15" hidden="false" customHeight="true" outlineLevel="0" collapsed="false">
      <c r="D698" s="11"/>
      <c r="H698" s="1" t="s">
        <v>49</v>
      </c>
      <c r="I698" s="1" t="s">
        <v>34</v>
      </c>
      <c r="J698" s="1" t="n">
        <f aca="false">K697</f>
        <v>166985</v>
      </c>
      <c r="K698" s="1" t="n">
        <f aca="false">J698+L698</f>
        <v>167012</v>
      </c>
      <c r="L698" s="1" t="n">
        <v>27</v>
      </c>
      <c r="M698" s="1" t="n">
        <f aca="false">(E698+M697)-N698</f>
        <v>24.59</v>
      </c>
      <c r="N698" s="1" t="n">
        <v>3.2</v>
      </c>
    </row>
    <row r="699" customFormat="false" ht="15" hidden="false" customHeight="true" outlineLevel="0" collapsed="false">
      <c r="D699" s="11"/>
    </row>
    <row r="700" customFormat="false" ht="15" hidden="false" customHeight="true" outlineLevel="0" collapsed="false">
      <c r="D700" s="4" t="s">
        <v>53</v>
      </c>
      <c r="E700" s="4"/>
      <c r="F700" s="4"/>
      <c r="G700" s="4"/>
    </row>
    <row r="701" customFormat="false" ht="15" hidden="false" customHeight="true" outlineLevel="0" collapsed="false">
      <c r="D701" s="11" t="n">
        <v>44866</v>
      </c>
      <c r="H701" s="1" t="s">
        <v>34</v>
      </c>
      <c r="I701" s="1" t="s">
        <v>49</v>
      </c>
      <c r="J701" s="1" t="n">
        <f aca="false">K698</f>
        <v>167012</v>
      </c>
      <c r="K701" s="1" t="n">
        <f aca="false">J701+L701</f>
        <v>167039</v>
      </c>
      <c r="L701" s="1" t="n">
        <v>27</v>
      </c>
      <c r="M701" s="1" t="n">
        <f aca="false">(E701+M698)-N701</f>
        <v>21.39</v>
      </c>
      <c r="N701" s="1" t="n">
        <v>3.2</v>
      </c>
    </row>
    <row r="702" customFormat="false" ht="15" hidden="false" customHeight="true" outlineLevel="0" collapsed="false">
      <c r="D702" s="11"/>
      <c r="H702" s="1" t="s">
        <v>49</v>
      </c>
      <c r="I702" s="1" t="s">
        <v>34</v>
      </c>
      <c r="J702" s="1" t="n">
        <f aca="false">K701</f>
        <v>167039</v>
      </c>
      <c r="K702" s="1" t="n">
        <f aca="false">J702+L702</f>
        <v>167066</v>
      </c>
      <c r="L702" s="1" t="n">
        <v>27</v>
      </c>
      <c r="M702" s="1" t="n">
        <f aca="false">(E702+M701)-N702</f>
        <v>18.19</v>
      </c>
      <c r="N702" s="1" t="n">
        <v>3.2</v>
      </c>
    </row>
    <row r="703" customFormat="false" ht="15" hidden="false" customHeight="true" outlineLevel="0" collapsed="false">
      <c r="D703" s="11" t="n">
        <v>44867</v>
      </c>
      <c r="E703" s="0" t="n">
        <v>32.91</v>
      </c>
      <c r="F703" s="1" t="n">
        <v>51.6</v>
      </c>
      <c r="G703" s="6" t="n">
        <f aca="false">E703*F703</f>
        <v>1698.156</v>
      </c>
      <c r="H703" s="1" t="s">
        <v>34</v>
      </c>
      <c r="I703" s="1" t="s">
        <v>24</v>
      </c>
      <c r="J703" s="1" t="n">
        <f aca="false">K702</f>
        <v>167066</v>
      </c>
      <c r="K703" s="1" t="n">
        <f aca="false">J703+L703</f>
        <v>167080</v>
      </c>
      <c r="L703" s="1" t="n">
        <v>14</v>
      </c>
      <c r="M703" s="1" t="n">
        <f aca="false">(E703+M702)-N703</f>
        <v>49.6</v>
      </c>
      <c r="N703" s="1" t="n">
        <v>1.5</v>
      </c>
    </row>
    <row r="704" customFormat="false" ht="15" hidden="false" customHeight="true" outlineLevel="0" collapsed="false">
      <c r="D704" s="11"/>
      <c r="G704" s="6"/>
      <c r="H704" s="1" t="s">
        <v>24</v>
      </c>
      <c r="I704" s="1" t="s">
        <v>34</v>
      </c>
      <c r="J704" s="1" t="n">
        <f aca="false">K703</f>
        <v>167080</v>
      </c>
      <c r="K704" s="1" t="n">
        <f aca="false">J704+L704</f>
        <v>167094</v>
      </c>
      <c r="L704" s="1" t="n">
        <v>14</v>
      </c>
      <c r="M704" s="1" t="n">
        <f aca="false">(E704+M703)-N704</f>
        <v>48.1</v>
      </c>
      <c r="N704" s="1" t="n">
        <v>1.5</v>
      </c>
    </row>
    <row r="705" customFormat="false" ht="15" hidden="false" customHeight="true" outlineLevel="0" collapsed="false">
      <c r="D705" s="11"/>
      <c r="G705" s="6"/>
      <c r="H705" s="1" t="s">
        <v>34</v>
      </c>
      <c r="I705" s="1" t="s">
        <v>37</v>
      </c>
      <c r="J705" s="1" t="n">
        <f aca="false">K704</f>
        <v>167094</v>
      </c>
      <c r="K705" s="1" t="n">
        <f aca="false">J705+L705</f>
        <v>167134</v>
      </c>
      <c r="L705" s="1" t="n">
        <v>40</v>
      </c>
      <c r="M705" s="1" t="n">
        <f aca="false">(E705+M704)-N705</f>
        <v>43.3</v>
      </c>
      <c r="N705" s="1" t="n">
        <v>4.8</v>
      </c>
    </row>
    <row r="706" customFormat="false" ht="15" hidden="false" customHeight="true" outlineLevel="0" collapsed="false">
      <c r="D706" s="11"/>
      <c r="G706" s="6"/>
      <c r="H706" s="1" t="s">
        <v>37</v>
      </c>
      <c r="I706" s="1" t="s">
        <v>34</v>
      </c>
      <c r="J706" s="1" t="n">
        <f aca="false">K705</f>
        <v>167134</v>
      </c>
      <c r="K706" s="1" t="n">
        <f aca="false">J706+L706</f>
        <v>167174</v>
      </c>
      <c r="L706" s="1" t="n">
        <v>40</v>
      </c>
      <c r="M706" s="1" t="n">
        <f aca="false">(E706+M705)-N706</f>
        <v>38.5</v>
      </c>
      <c r="N706" s="1" t="n">
        <v>4.8</v>
      </c>
    </row>
    <row r="707" customFormat="false" ht="15" hidden="false" customHeight="true" outlineLevel="0" collapsed="false">
      <c r="D707" s="11" t="n">
        <v>44868</v>
      </c>
      <c r="H707" s="1" t="s">
        <v>34</v>
      </c>
      <c r="I707" s="1" t="s">
        <v>32</v>
      </c>
      <c r="J707" s="1" t="n">
        <f aca="false">K706</f>
        <v>167174</v>
      </c>
      <c r="K707" s="1" t="n">
        <f aca="false">J707+L707</f>
        <v>167199</v>
      </c>
      <c r="L707" s="1" t="n">
        <v>25</v>
      </c>
      <c r="M707" s="1" t="n">
        <f aca="false">(E707+M706)-N707</f>
        <v>35.5</v>
      </c>
      <c r="N707" s="1" t="n">
        <v>3</v>
      </c>
    </row>
    <row r="708" customFormat="false" ht="15" hidden="false" customHeight="true" outlineLevel="0" collapsed="false">
      <c r="D708" s="11"/>
      <c r="H708" s="1" t="s">
        <v>32</v>
      </c>
      <c r="I708" s="1" t="s">
        <v>34</v>
      </c>
      <c r="J708" s="1" t="n">
        <f aca="false">K707</f>
        <v>167199</v>
      </c>
      <c r="K708" s="1" t="n">
        <f aca="false">J708+L708</f>
        <v>167224</v>
      </c>
      <c r="L708" s="1" t="n">
        <v>25</v>
      </c>
      <c r="M708" s="1" t="n">
        <f aca="false">(E708+M707)-N708</f>
        <v>32.5</v>
      </c>
      <c r="N708" s="1" t="n">
        <v>3</v>
      </c>
    </row>
    <row r="709" customFormat="false" ht="15" hidden="false" customHeight="true" outlineLevel="0" collapsed="false">
      <c r="D709" s="11"/>
      <c r="H709" s="1" t="s">
        <v>34</v>
      </c>
      <c r="I709" s="1" t="s">
        <v>37</v>
      </c>
      <c r="J709" s="1" t="n">
        <f aca="false">K708</f>
        <v>167224</v>
      </c>
      <c r="K709" s="1" t="n">
        <f aca="false">J709+L709</f>
        <v>167264</v>
      </c>
      <c r="L709" s="1" t="n">
        <v>40</v>
      </c>
      <c r="M709" s="1" t="n">
        <f aca="false">(E709+M708)-N709</f>
        <v>27.7</v>
      </c>
      <c r="N709" s="1" t="n">
        <v>4.8</v>
      </c>
    </row>
    <row r="710" customFormat="false" ht="15" hidden="false" customHeight="true" outlineLevel="0" collapsed="false">
      <c r="D710" s="11"/>
      <c r="H710" s="1" t="s">
        <v>37</v>
      </c>
      <c r="I710" s="1" t="s">
        <v>34</v>
      </c>
      <c r="J710" s="1" t="n">
        <f aca="false">K709</f>
        <v>167264</v>
      </c>
      <c r="K710" s="1" t="n">
        <f aca="false">J710+L710</f>
        <v>167304</v>
      </c>
      <c r="L710" s="1" t="n">
        <v>40</v>
      </c>
      <c r="M710" s="1" t="n">
        <f aca="false">(E710+M709)-N710</f>
        <v>22.9</v>
      </c>
      <c r="N710" s="1" t="n">
        <v>4.8</v>
      </c>
    </row>
    <row r="711" customFormat="false" ht="15" hidden="false" customHeight="true" outlineLevel="0" collapsed="false">
      <c r="D711" s="11" t="n">
        <v>44872</v>
      </c>
      <c r="H711" s="1" t="s">
        <v>34</v>
      </c>
      <c r="I711" s="1" t="s">
        <v>32</v>
      </c>
      <c r="J711" s="1" t="n">
        <f aca="false">K710</f>
        <v>167304</v>
      </c>
      <c r="K711" s="1" t="n">
        <f aca="false">J711+L711</f>
        <v>167329</v>
      </c>
      <c r="L711" s="1" t="n">
        <v>25</v>
      </c>
      <c r="M711" s="1" t="n">
        <f aca="false">(E711+M710)-N711</f>
        <v>19.9</v>
      </c>
      <c r="N711" s="1" t="n">
        <v>3</v>
      </c>
    </row>
    <row r="712" customFormat="false" ht="15" hidden="false" customHeight="true" outlineLevel="0" collapsed="false">
      <c r="D712" s="11"/>
      <c r="H712" s="1" t="s">
        <v>32</v>
      </c>
      <c r="I712" s="1" t="s">
        <v>34</v>
      </c>
      <c r="J712" s="1" t="n">
        <f aca="false">K711</f>
        <v>167329</v>
      </c>
      <c r="K712" s="1" t="n">
        <f aca="false">J712+L712</f>
        <v>167354</v>
      </c>
      <c r="L712" s="1" t="n">
        <v>25</v>
      </c>
      <c r="M712" s="1" t="n">
        <f aca="false">(E712+M711)-N712</f>
        <v>16.9</v>
      </c>
      <c r="N712" s="1" t="n">
        <v>3</v>
      </c>
    </row>
    <row r="713" customFormat="false" ht="15" hidden="false" customHeight="true" outlineLevel="0" collapsed="false">
      <c r="D713" s="11"/>
      <c r="H713" s="1" t="s">
        <v>34</v>
      </c>
      <c r="I713" s="1" t="s">
        <v>49</v>
      </c>
      <c r="J713" s="1" t="n">
        <f aca="false">K712</f>
        <v>167354</v>
      </c>
      <c r="K713" s="1" t="n">
        <f aca="false">J713+L713</f>
        <v>167381</v>
      </c>
      <c r="L713" s="1" t="n">
        <v>27</v>
      </c>
      <c r="M713" s="1" t="n">
        <f aca="false">(E713+M712)-N713</f>
        <v>13.7</v>
      </c>
      <c r="N713" s="1" t="n">
        <v>3.2</v>
      </c>
    </row>
    <row r="714" customFormat="false" ht="15" hidden="false" customHeight="true" outlineLevel="0" collapsed="false">
      <c r="D714" s="11"/>
      <c r="H714" s="1" t="s">
        <v>49</v>
      </c>
      <c r="I714" s="1" t="s">
        <v>34</v>
      </c>
      <c r="J714" s="1" t="n">
        <f aca="false">K713</f>
        <v>167381</v>
      </c>
      <c r="K714" s="1" t="n">
        <f aca="false">J714+L714</f>
        <v>167408</v>
      </c>
      <c r="L714" s="1" t="n">
        <v>27</v>
      </c>
      <c r="M714" s="1" t="n">
        <f aca="false">(E714+M713)-N714</f>
        <v>10.5</v>
      </c>
      <c r="N714" s="1" t="n">
        <v>3.2</v>
      </c>
    </row>
    <row r="715" customFormat="false" ht="15" hidden="false" customHeight="true" outlineLevel="0" collapsed="false">
      <c r="D715" s="11" t="n">
        <v>44873</v>
      </c>
      <c r="E715" s="0" t="n">
        <v>31.65</v>
      </c>
      <c r="F715" s="1" t="n">
        <v>51.9</v>
      </c>
      <c r="G715" s="6" t="n">
        <f aca="false">E715*F715</f>
        <v>1642.635</v>
      </c>
      <c r="H715" s="1" t="s">
        <v>34</v>
      </c>
      <c r="I715" s="1" t="s">
        <v>43</v>
      </c>
      <c r="J715" s="1" t="n">
        <f aca="false">K714</f>
        <v>167408</v>
      </c>
      <c r="K715" s="1" t="n">
        <f aca="false">J715+L715</f>
        <v>167420</v>
      </c>
      <c r="L715" s="1" t="n">
        <v>12</v>
      </c>
      <c r="M715" s="1" t="n">
        <f aca="false">(E715+M714)-N715</f>
        <v>40.9</v>
      </c>
      <c r="N715" s="1" t="n">
        <v>1.25</v>
      </c>
    </row>
    <row r="716" customFormat="false" ht="15" hidden="false" customHeight="true" outlineLevel="0" collapsed="false">
      <c r="D716" s="11"/>
      <c r="G716" s="6"/>
      <c r="H716" s="1" t="s">
        <v>43</v>
      </c>
      <c r="I716" s="1" t="s">
        <v>34</v>
      </c>
      <c r="J716" s="1" t="n">
        <f aca="false">K715</f>
        <v>167420</v>
      </c>
      <c r="K716" s="1" t="n">
        <f aca="false">J716+L716</f>
        <v>167432</v>
      </c>
      <c r="L716" s="1" t="n">
        <v>12</v>
      </c>
      <c r="M716" s="1" t="n">
        <f aca="false">(E716+M715)-N716</f>
        <v>39.65</v>
      </c>
      <c r="N716" s="1" t="n">
        <v>1.25</v>
      </c>
    </row>
    <row r="717" customFormat="false" ht="15" hidden="false" customHeight="true" outlineLevel="0" collapsed="false">
      <c r="D717" s="11" t="n">
        <v>44874</v>
      </c>
      <c r="H717" s="1" t="s">
        <v>34</v>
      </c>
      <c r="I717" s="1" t="s">
        <v>32</v>
      </c>
      <c r="J717" s="1" t="n">
        <f aca="false">K716</f>
        <v>167432</v>
      </c>
      <c r="K717" s="1" t="n">
        <f aca="false">J717+L717</f>
        <v>167457</v>
      </c>
      <c r="L717" s="1" t="n">
        <v>25</v>
      </c>
      <c r="M717" s="1" t="n">
        <f aca="false">(E717+M716)-N717</f>
        <v>36.65</v>
      </c>
      <c r="N717" s="1" t="n">
        <v>3</v>
      </c>
    </row>
    <row r="718" customFormat="false" ht="15" hidden="false" customHeight="true" outlineLevel="0" collapsed="false">
      <c r="D718" s="11"/>
      <c r="H718" s="1" t="s">
        <v>32</v>
      </c>
      <c r="I718" s="1" t="s">
        <v>34</v>
      </c>
      <c r="J718" s="1" t="n">
        <f aca="false">K717</f>
        <v>167457</v>
      </c>
      <c r="K718" s="1" t="n">
        <f aca="false">J718+L718</f>
        <v>167482</v>
      </c>
      <c r="L718" s="1" t="n">
        <v>25</v>
      </c>
      <c r="M718" s="1" t="n">
        <f aca="false">(E718+M717)-N718</f>
        <v>33.65</v>
      </c>
      <c r="N718" s="1" t="n">
        <v>3</v>
      </c>
    </row>
    <row r="719" customFormat="false" ht="15" hidden="false" customHeight="true" outlineLevel="0" collapsed="false">
      <c r="D719" s="11"/>
      <c r="H719" s="1" t="s">
        <v>34</v>
      </c>
      <c r="I719" s="1" t="s">
        <v>49</v>
      </c>
      <c r="J719" s="1" t="n">
        <f aca="false">K718</f>
        <v>167482</v>
      </c>
      <c r="K719" s="1" t="n">
        <f aca="false">J719+L719</f>
        <v>167509</v>
      </c>
      <c r="L719" s="1" t="n">
        <v>27</v>
      </c>
      <c r="M719" s="1" t="n">
        <f aca="false">(E719+M718)-N719</f>
        <v>30.45</v>
      </c>
      <c r="N719" s="1" t="n">
        <v>3.2</v>
      </c>
    </row>
    <row r="720" customFormat="false" ht="15" hidden="false" customHeight="true" outlineLevel="0" collapsed="false">
      <c r="D720" s="11"/>
      <c r="H720" s="1" t="s">
        <v>49</v>
      </c>
      <c r="I720" s="1" t="s">
        <v>34</v>
      </c>
      <c r="J720" s="1" t="n">
        <f aca="false">K719</f>
        <v>167509</v>
      </c>
      <c r="K720" s="1" t="n">
        <f aca="false">J720+L720</f>
        <v>167536</v>
      </c>
      <c r="L720" s="1" t="n">
        <v>27</v>
      </c>
      <c r="M720" s="1" t="n">
        <f aca="false">(E720+M719)-N720</f>
        <v>27.25</v>
      </c>
      <c r="N720" s="1" t="n">
        <v>3.2</v>
      </c>
    </row>
    <row r="721" customFormat="false" ht="15" hidden="false" customHeight="true" outlineLevel="0" collapsed="false">
      <c r="D721" s="11" t="n">
        <v>44875</v>
      </c>
      <c r="H721" s="1" t="s">
        <v>34</v>
      </c>
      <c r="I721" s="1" t="s">
        <v>36</v>
      </c>
      <c r="J721" s="1" t="n">
        <f aca="false">K720</f>
        <v>167536</v>
      </c>
      <c r="K721" s="1" t="n">
        <f aca="false">J721+L721</f>
        <v>167551</v>
      </c>
      <c r="L721" s="1" t="n">
        <v>15</v>
      </c>
      <c r="M721" s="1" t="n">
        <f aca="false">(E721+M720)-N721</f>
        <v>25.45</v>
      </c>
      <c r="N721" s="1" t="n">
        <v>1.8</v>
      </c>
    </row>
    <row r="722" customFormat="false" ht="15" hidden="false" customHeight="true" outlineLevel="0" collapsed="false">
      <c r="D722" s="11"/>
      <c r="H722" s="1" t="s">
        <v>36</v>
      </c>
      <c r="I722" s="1" t="s">
        <v>34</v>
      </c>
      <c r="J722" s="1" t="n">
        <f aca="false">K721</f>
        <v>167551</v>
      </c>
      <c r="K722" s="1" t="n">
        <f aca="false">J722+L722</f>
        <v>167566</v>
      </c>
      <c r="L722" s="1" t="n">
        <v>15</v>
      </c>
      <c r="M722" s="1" t="n">
        <f aca="false">(E722+M721)-N722</f>
        <v>23.65</v>
      </c>
      <c r="N722" s="1" t="n">
        <v>1.8</v>
      </c>
    </row>
    <row r="723" customFormat="false" ht="15" hidden="false" customHeight="true" outlineLevel="0" collapsed="false">
      <c r="D723" s="11"/>
      <c r="H723" s="1" t="s">
        <v>34</v>
      </c>
      <c r="I723" s="1" t="s">
        <v>54</v>
      </c>
      <c r="J723" s="1" t="n">
        <f aca="false">K722</f>
        <v>167566</v>
      </c>
      <c r="K723" s="1" t="n">
        <f aca="false">J723+L723</f>
        <v>167593</v>
      </c>
      <c r="L723" s="1" t="n">
        <v>27</v>
      </c>
      <c r="M723" s="1" t="n">
        <f aca="false">(E723+M722)-N723</f>
        <v>20.45</v>
      </c>
      <c r="N723" s="1" t="n">
        <v>3.2</v>
      </c>
    </row>
    <row r="724" customFormat="false" ht="15" hidden="false" customHeight="true" outlineLevel="0" collapsed="false">
      <c r="D724" s="11"/>
      <c r="H724" s="1" t="s">
        <v>54</v>
      </c>
      <c r="I724" s="1" t="s">
        <v>34</v>
      </c>
      <c r="J724" s="1" t="n">
        <f aca="false">K723</f>
        <v>167593</v>
      </c>
      <c r="K724" s="1" t="n">
        <f aca="false">J724+L724</f>
        <v>167620</v>
      </c>
      <c r="L724" s="1" t="n">
        <v>27</v>
      </c>
      <c r="M724" s="1" t="n">
        <f aca="false">(E724+M723)-N724</f>
        <v>17.25</v>
      </c>
      <c r="N724" s="1" t="n">
        <v>3.2</v>
      </c>
    </row>
    <row r="725" customFormat="false" ht="15" hidden="false" customHeight="true" outlineLevel="0" collapsed="false">
      <c r="D725" s="11" t="n">
        <v>44876</v>
      </c>
      <c r="H725" s="1" t="s">
        <v>34</v>
      </c>
      <c r="I725" s="1" t="s">
        <v>37</v>
      </c>
      <c r="J725" s="1" t="n">
        <f aca="false">K724</f>
        <v>167620</v>
      </c>
      <c r="K725" s="1" t="n">
        <f aca="false">J725+L725</f>
        <v>167660</v>
      </c>
      <c r="L725" s="1" t="n">
        <v>40</v>
      </c>
      <c r="M725" s="1" t="n">
        <f aca="false">(E725+M724)-N725</f>
        <v>12.45</v>
      </c>
      <c r="N725" s="1" t="n">
        <v>4.8</v>
      </c>
    </row>
    <row r="726" customFormat="false" ht="15" hidden="false" customHeight="true" outlineLevel="0" collapsed="false">
      <c r="D726" s="11"/>
      <c r="H726" s="1" t="s">
        <v>37</v>
      </c>
      <c r="I726" s="1" t="s">
        <v>34</v>
      </c>
      <c r="J726" s="1" t="n">
        <f aca="false">K725</f>
        <v>167660</v>
      </c>
      <c r="K726" s="1" t="n">
        <f aca="false">J726+L726</f>
        <v>167700</v>
      </c>
      <c r="L726" s="1" t="n">
        <v>40</v>
      </c>
      <c r="M726" s="1" t="n">
        <f aca="false">(E726+M725)-N726</f>
        <v>7.64999999999997</v>
      </c>
      <c r="N726" s="1" t="n">
        <v>4.8</v>
      </c>
    </row>
    <row r="727" customFormat="false" ht="15" hidden="false" customHeight="true" outlineLevel="0" collapsed="false">
      <c r="D727" s="11" t="n">
        <v>44879</v>
      </c>
      <c r="E727" s="0" t="n">
        <v>33.34</v>
      </c>
      <c r="F727" s="1" t="n">
        <v>51.9</v>
      </c>
      <c r="G727" s="6" t="n">
        <f aca="false">E727*F727</f>
        <v>1730.346</v>
      </c>
      <c r="H727" s="1" t="s">
        <v>34</v>
      </c>
      <c r="I727" s="1" t="s">
        <v>32</v>
      </c>
      <c r="J727" s="1" t="n">
        <f aca="false">K726</f>
        <v>167700</v>
      </c>
      <c r="K727" s="1" t="n">
        <f aca="false">J727+L727</f>
        <v>167725</v>
      </c>
      <c r="L727" s="1" t="n">
        <v>25</v>
      </c>
      <c r="M727" s="1" t="n">
        <f aca="false">(E727+M726)-N727</f>
        <v>37.99</v>
      </c>
      <c r="N727" s="1" t="n">
        <v>3</v>
      </c>
    </row>
    <row r="728" customFormat="false" ht="15" hidden="false" customHeight="true" outlineLevel="0" collapsed="false">
      <c r="D728" s="11"/>
      <c r="G728" s="6"/>
      <c r="H728" s="1" t="s">
        <v>32</v>
      </c>
      <c r="I728" s="1" t="s">
        <v>34</v>
      </c>
      <c r="J728" s="1" t="n">
        <f aca="false">K727</f>
        <v>167725</v>
      </c>
      <c r="K728" s="1" t="n">
        <f aca="false">J728+L728</f>
        <v>167750</v>
      </c>
      <c r="L728" s="1" t="n">
        <v>25</v>
      </c>
      <c r="M728" s="1" t="n">
        <f aca="false">(E728+M727)-N728</f>
        <v>34.99</v>
      </c>
      <c r="N728" s="1" t="n">
        <v>3</v>
      </c>
    </row>
    <row r="729" customFormat="false" ht="15" hidden="false" customHeight="true" outlineLevel="0" collapsed="false">
      <c r="D729" s="11" t="n">
        <v>44880</v>
      </c>
      <c r="H729" s="1" t="s">
        <v>34</v>
      </c>
      <c r="I729" s="1" t="s">
        <v>49</v>
      </c>
      <c r="J729" s="1" t="n">
        <f aca="false">K728</f>
        <v>167750</v>
      </c>
      <c r="K729" s="1" t="n">
        <f aca="false">J729+L729</f>
        <v>167777</v>
      </c>
      <c r="L729" s="1" t="n">
        <v>27</v>
      </c>
      <c r="M729" s="1" t="n">
        <f aca="false">(E729+M728)-N729</f>
        <v>31.79</v>
      </c>
      <c r="N729" s="1" t="n">
        <v>3.2</v>
      </c>
    </row>
    <row r="730" customFormat="false" ht="15" hidden="false" customHeight="true" outlineLevel="0" collapsed="false">
      <c r="D730" s="11"/>
      <c r="H730" s="1" t="s">
        <v>49</v>
      </c>
      <c r="I730" s="1" t="s">
        <v>34</v>
      </c>
      <c r="J730" s="1" t="n">
        <f aca="false">K729</f>
        <v>167777</v>
      </c>
      <c r="K730" s="1" t="n">
        <f aca="false">J730+L730</f>
        <v>167804</v>
      </c>
      <c r="L730" s="1" t="n">
        <v>27</v>
      </c>
      <c r="M730" s="1" t="n">
        <f aca="false">(E730+M729)-N730</f>
        <v>28.59</v>
      </c>
      <c r="N730" s="1" t="n">
        <v>3.2</v>
      </c>
    </row>
    <row r="731" customFormat="false" ht="15" hidden="false" customHeight="true" outlineLevel="0" collapsed="false">
      <c r="D731" s="11" t="n">
        <v>44881</v>
      </c>
      <c r="H731" s="1" t="s">
        <v>34</v>
      </c>
      <c r="I731" s="1" t="s">
        <v>35</v>
      </c>
      <c r="J731" s="1" t="n">
        <f aca="false">K730</f>
        <v>167804</v>
      </c>
      <c r="K731" s="1" t="n">
        <f aca="false">J731+L731</f>
        <v>167816</v>
      </c>
      <c r="L731" s="1" t="n">
        <v>12</v>
      </c>
      <c r="M731" s="1" t="n">
        <f aca="false">(E731+M730)-N731</f>
        <v>27.34</v>
      </c>
      <c r="N731" s="1" t="n">
        <v>1.25</v>
      </c>
    </row>
    <row r="732" customFormat="false" ht="15" hidden="false" customHeight="true" outlineLevel="0" collapsed="false">
      <c r="D732" s="11"/>
      <c r="H732" s="1" t="s">
        <v>35</v>
      </c>
      <c r="I732" s="1" t="s">
        <v>34</v>
      </c>
      <c r="J732" s="1" t="n">
        <f aca="false">K731</f>
        <v>167816</v>
      </c>
      <c r="K732" s="1" t="n">
        <f aca="false">J732+L732</f>
        <v>167828</v>
      </c>
      <c r="L732" s="1" t="n">
        <v>12</v>
      </c>
      <c r="M732" s="1" t="n">
        <f aca="false">(E732+M731)-N732</f>
        <v>26.09</v>
      </c>
      <c r="N732" s="1" t="n">
        <v>1.25</v>
      </c>
    </row>
    <row r="733" customFormat="false" ht="15" hidden="false" customHeight="true" outlineLevel="0" collapsed="false">
      <c r="D733" s="11" t="n">
        <v>44882</v>
      </c>
      <c r="H733" s="1" t="s">
        <v>34</v>
      </c>
      <c r="I733" s="1" t="s">
        <v>43</v>
      </c>
      <c r="J733" s="1" t="n">
        <f aca="false">K732</f>
        <v>167828</v>
      </c>
      <c r="K733" s="1" t="n">
        <f aca="false">J733+L733</f>
        <v>167840</v>
      </c>
      <c r="L733" s="1" t="n">
        <v>12</v>
      </c>
      <c r="M733" s="1" t="n">
        <f aca="false">(E733+M732)-N733</f>
        <v>24.84</v>
      </c>
      <c r="N733" s="1" t="n">
        <v>1.25</v>
      </c>
    </row>
    <row r="734" customFormat="false" ht="15" hidden="false" customHeight="true" outlineLevel="0" collapsed="false">
      <c r="D734" s="11"/>
      <c r="H734" s="1" t="s">
        <v>43</v>
      </c>
      <c r="I734" s="1" t="s">
        <v>34</v>
      </c>
      <c r="J734" s="1" t="n">
        <f aca="false">K733</f>
        <v>167840</v>
      </c>
      <c r="K734" s="1" t="n">
        <f aca="false">J734+L734</f>
        <v>167852</v>
      </c>
      <c r="L734" s="1" t="n">
        <v>12</v>
      </c>
      <c r="M734" s="1" t="n">
        <f aca="false">(E734+M733)-N734</f>
        <v>23.59</v>
      </c>
      <c r="N734" s="1" t="n">
        <v>1.25</v>
      </c>
    </row>
    <row r="735" customFormat="false" ht="15" hidden="false" customHeight="true" outlineLevel="0" collapsed="false">
      <c r="D735" s="11" t="n">
        <v>44883</v>
      </c>
      <c r="H735" s="1" t="s">
        <v>34</v>
      </c>
      <c r="I735" s="1" t="s">
        <v>49</v>
      </c>
      <c r="J735" s="1" t="n">
        <f aca="false">K734</f>
        <v>167852</v>
      </c>
      <c r="K735" s="1" t="n">
        <f aca="false">J735+L735</f>
        <v>167879</v>
      </c>
      <c r="L735" s="1" t="n">
        <v>27</v>
      </c>
      <c r="M735" s="1" t="n">
        <f aca="false">(E735+M734)-N735</f>
        <v>20.39</v>
      </c>
      <c r="N735" s="1" t="n">
        <v>3.2</v>
      </c>
    </row>
    <row r="736" customFormat="false" ht="15" hidden="false" customHeight="true" outlineLevel="0" collapsed="false">
      <c r="D736" s="11"/>
      <c r="H736" s="1" t="s">
        <v>49</v>
      </c>
      <c r="I736" s="1" t="s">
        <v>34</v>
      </c>
      <c r="J736" s="1" t="n">
        <f aca="false">K735</f>
        <v>167879</v>
      </c>
      <c r="K736" s="1" t="n">
        <f aca="false">J736+L736</f>
        <v>167906</v>
      </c>
      <c r="L736" s="1" t="n">
        <v>27</v>
      </c>
      <c r="M736" s="1" t="n">
        <f aca="false">(E736+M735)-N736</f>
        <v>17.19</v>
      </c>
      <c r="N736" s="1" t="n">
        <v>3.2</v>
      </c>
    </row>
    <row r="737" customFormat="false" ht="15" hidden="false" customHeight="true" outlineLevel="0" collapsed="false">
      <c r="D737" s="11" t="n">
        <v>44886</v>
      </c>
      <c r="E737" s="0" t="n">
        <v>33.99</v>
      </c>
      <c r="F737" s="1" t="n">
        <v>51.6</v>
      </c>
      <c r="G737" s="6" t="n">
        <f aca="false">E737*F737</f>
        <v>1753.884</v>
      </c>
      <c r="H737" s="1" t="s">
        <v>34</v>
      </c>
      <c r="I737" s="1" t="s">
        <v>37</v>
      </c>
      <c r="J737" s="1" t="n">
        <f aca="false">K736</f>
        <v>167906</v>
      </c>
      <c r="K737" s="1" t="n">
        <f aca="false">J737+L737</f>
        <v>167946</v>
      </c>
      <c r="L737" s="1" t="n">
        <v>40</v>
      </c>
      <c r="M737" s="1" t="n">
        <f aca="false">(E737+M736)-N737</f>
        <v>46.38</v>
      </c>
      <c r="N737" s="1" t="n">
        <v>4.8</v>
      </c>
    </row>
    <row r="738" customFormat="false" ht="15" hidden="false" customHeight="true" outlineLevel="0" collapsed="false">
      <c r="D738" s="11"/>
      <c r="G738" s="6"/>
      <c r="H738" s="1" t="s">
        <v>37</v>
      </c>
      <c r="I738" s="1" t="s">
        <v>34</v>
      </c>
      <c r="J738" s="1" t="n">
        <f aca="false">K737</f>
        <v>167946</v>
      </c>
      <c r="K738" s="1" t="n">
        <f aca="false">J738+L738</f>
        <v>167986</v>
      </c>
      <c r="L738" s="1" t="n">
        <v>40</v>
      </c>
      <c r="M738" s="1" t="n">
        <f aca="false">(E738+M737)-N738</f>
        <v>41.58</v>
      </c>
      <c r="N738" s="1" t="n">
        <v>4.8</v>
      </c>
    </row>
    <row r="739" customFormat="false" ht="15" hidden="false" customHeight="true" outlineLevel="0" collapsed="false">
      <c r="D739" s="11" t="n">
        <v>44887</v>
      </c>
      <c r="H739" s="1" t="s">
        <v>34</v>
      </c>
      <c r="I739" s="1" t="s">
        <v>36</v>
      </c>
      <c r="J739" s="1" t="n">
        <f aca="false">K738</f>
        <v>167986</v>
      </c>
      <c r="K739" s="1" t="n">
        <f aca="false">J739+L739</f>
        <v>168001</v>
      </c>
      <c r="L739" s="1" t="n">
        <v>15</v>
      </c>
      <c r="M739" s="1" t="n">
        <f aca="false">(E739+M738)-N739</f>
        <v>39.78</v>
      </c>
      <c r="N739" s="1" t="n">
        <v>1.8</v>
      </c>
    </row>
    <row r="740" customFormat="false" ht="15" hidden="false" customHeight="true" outlineLevel="0" collapsed="false">
      <c r="D740" s="11"/>
      <c r="H740" s="1" t="s">
        <v>36</v>
      </c>
      <c r="I740" s="1" t="s">
        <v>34</v>
      </c>
      <c r="J740" s="1" t="n">
        <f aca="false">K739</f>
        <v>168001</v>
      </c>
      <c r="K740" s="1" t="n">
        <f aca="false">J740+L740</f>
        <v>168016</v>
      </c>
      <c r="L740" s="1" t="n">
        <v>15</v>
      </c>
      <c r="M740" s="1" t="n">
        <f aca="false">(E740+M739)-N740</f>
        <v>37.98</v>
      </c>
      <c r="N740" s="1" t="n">
        <v>1.8</v>
      </c>
    </row>
    <row r="741" customFormat="false" ht="15" hidden="false" customHeight="true" outlineLevel="0" collapsed="false">
      <c r="D741" s="11" t="n">
        <v>44888</v>
      </c>
      <c r="H741" s="1" t="s">
        <v>34</v>
      </c>
      <c r="I741" s="1" t="s">
        <v>35</v>
      </c>
      <c r="J741" s="1" t="n">
        <f aca="false">K740</f>
        <v>168016</v>
      </c>
      <c r="K741" s="1" t="n">
        <f aca="false">J741+L741</f>
        <v>168028</v>
      </c>
      <c r="L741" s="1" t="n">
        <v>12</v>
      </c>
      <c r="M741" s="1" t="n">
        <f aca="false">(E741+M740)-N741</f>
        <v>36.73</v>
      </c>
      <c r="N741" s="1" t="n">
        <v>1.25</v>
      </c>
    </row>
    <row r="742" customFormat="false" ht="15" hidden="false" customHeight="true" outlineLevel="0" collapsed="false">
      <c r="D742" s="11"/>
      <c r="H742" s="1" t="s">
        <v>35</v>
      </c>
      <c r="I742" s="1" t="s">
        <v>34</v>
      </c>
      <c r="J742" s="1" t="n">
        <f aca="false">K741</f>
        <v>168028</v>
      </c>
      <c r="K742" s="1" t="n">
        <f aca="false">J742+L742</f>
        <v>168040</v>
      </c>
      <c r="L742" s="1" t="n">
        <v>12</v>
      </c>
      <c r="M742" s="1" t="n">
        <f aca="false">(E742+M741)-N742</f>
        <v>35.48</v>
      </c>
      <c r="N742" s="1" t="n">
        <v>1.25</v>
      </c>
    </row>
    <row r="743" customFormat="false" ht="15" hidden="false" customHeight="true" outlineLevel="0" collapsed="false">
      <c r="D743" s="11"/>
      <c r="H743" s="1" t="s">
        <v>34</v>
      </c>
      <c r="I743" s="1" t="s">
        <v>49</v>
      </c>
      <c r="J743" s="1" t="n">
        <f aca="false">K742</f>
        <v>168040</v>
      </c>
      <c r="K743" s="1" t="n">
        <f aca="false">J743+L743</f>
        <v>168067</v>
      </c>
      <c r="L743" s="1" t="n">
        <v>27</v>
      </c>
      <c r="M743" s="1" t="n">
        <f aca="false">(E743+M742)-N743</f>
        <v>32.28</v>
      </c>
      <c r="N743" s="1" t="n">
        <v>3.2</v>
      </c>
    </row>
    <row r="744" customFormat="false" ht="15" hidden="false" customHeight="true" outlineLevel="0" collapsed="false">
      <c r="D744" s="11"/>
      <c r="H744" s="1" t="s">
        <v>49</v>
      </c>
      <c r="I744" s="1" t="s">
        <v>34</v>
      </c>
      <c r="J744" s="1" t="n">
        <f aca="false">K743</f>
        <v>168067</v>
      </c>
      <c r="K744" s="1" t="n">
        <f aca="false">J744+L744</f>
        <v>168094</v>
      </c>
      <c r="L744" s="1" t="n">
        <v>27</v>
      </c>
      <c r="M744" s="1" t="n">
        <f aca="false">(E744+M743)-N744</f>
        <v>29.08</v>
      </c>
      <c r="N744" s="1" t="n">
        <v>3.2</v>
      </c>
    </row>
    <row r="745" customFormat="false" ht="15" hidden="false" customHeight="true" outlineLevel="0" collapsed="false">
      <c r="D745" s="11" t="n">
        <v>44889</v>
      </c>
      <c r="H745" s="1" t="s">
        <v>34</v>
      </c>
      <c r="I745" s="1" t="s">
        <v>37</v>
      </c>
      <c r="J745" s="1" t="n">
        <f aca="false">K744</f>
        <v>168094</v>
      </c>
      <c r="K745" s="1" t="n">
        <f aca="false">J745+L745</f>
        <v>168134</v>
      </c>
      <c r="L745" s="1" t="n">
        <v>40</v>
      </c>
      <c r="M745" s="1" t="n">
        <f aca="false">(E745+M744)-N745</f>
        <v>24.28</v>
      </c>
      <c r="N745" s="1" t="n">
        <v>4.8</v>
      </c>
    </row>
    <row r="746" customFormat="false" ht="15" hidden="false" customHeight="true" outlineLevel="0" collapsed="false">
      <c r="D746" s="11"/>
      <c r="H746" s="1" t="s">
        <v>37</v>
      </c>
      <c r="I746" s="1" t="s">
        <v>34</v>
      </c>
      <c r="J746" s="1" t="n">
        <f aca="false">K745</f>
        <v>168134</v>
      </c>
      <c r="K746" s="1" t="n">
        <f aca="false">J746+L746</f>
        <v>168174</v>
      </c>
      <c r="L746" s="1" t="n">
        <v>40</v>
      </c>
      <c r="M746" s="1" t="n">
        <f aca="false">(E746+M745)-N746</f>
        <v>19.48</v>
      </c>
      <c r="N746" s="1" t="n">
        <v>4.8</v>
      </c>
    </row>
    <row r="747" customFormat="false" ht="15" hidden="false" customHeight="true" outlineLevel="0" collapsed="false">
      <c r="D747" s="11"/>
      <c r="H747" s="1" t="s">
        <v>34</v>
      </c>
      <c r="I747" s="1" t="s">
        <v>49</v>
      </c>
      <c r="J747" s="1" t="n">
        <f aca="false">K746</f>
        <v>168174</v>
      </c>
      <c r="K747" s="1" t="n">
        <f aca="false">J747+L747</f>
        <v>168201</v>
      </c>
      <c r="L747" s="1" t="n">
        <v>27</v>
      </c>
      <c r="M747" s="1" t="n">
        <f aca="false">(E747+M746)-N747</f>
        <v>16.28</v>
      </c>
      <c r="N747" s="1" t="n">
        <v>3.2</v>
      </c>
    </row>
    <row r="748" customFormat="false" ht="15" hidden="false" customHeight="true" outlineLevel="0" collapsed="false">
      <c r="D748" s="11"/>
      <c r="H748" s="1" t="s">
        <v>49</v>
      </c>
      <c r="I748" s="1" t="s">
        <v>34</v>
      </c>
      <c r="J748" s="1" t="n">
        <f aca="false">K747</f>
        <v>168201</v>
      </c>
      <c r="K748" s="1" t="n">
        <f aca="false">J748+L748</f>
        <v>168228</v>
      </c>
      <c r="L748" s="1" t="n">
        <v>27</v>
      </c>
      <c r="M748" s="1" t="n">
        <f aca="false">(E748+M747)-N748</f>
        <v>13.08</v>
      </c>
      <c r="N748" s="1" t="n">
        <v>3.2</v>
      </c>
    </row>
    <row r="749" customFormat="false" ht="15" hidden="false" customHeight="true" outlineLevel="0" collapsed="false">
      <c r="D749" s="11" t="n">
        <v>44890</v>
      </c>
      <c r="E749" s="0" t="n">
        <v>31.11</v>
      </c>
      <c r="F749" s="1" t="n">
        <v>51.9</v>
      </c>
      <c r="G749" s="6" t="n">
        <f aca="false">E749*F749</f>
        <v>1614.609</v>
      </c>
      <c r="H749" s="1" t="s">
        <v>34</v>
      </c>
      <c r="I749" s="1" t="s">
        <v>54</v>
      </c>
      <c r="J749" s="1" t="n">
        <f aca="false">K748</f>
        <v>168228</v>
      </c>
      <c r="K749" s="1" t="n">
        <f aca="false">J749+L749</f>
        <v>168255</v>
      </c>
      <c r="L749" s="1" t="n">
        <v>27</v>
      </c>
      <c r="M749" s="1" t="n">
        <f aca="false">(E749+M748)-N749</f>
        <v>40.99</v>
      </c>
      <c r="N749" s="1" t="n">
        <v>3.2</v>
      </c>
    </row>
    <row r="750" customFormat="false" ht="15" hidden="false" customHeight="true" outlineLevel="0" collapsed="false">
      <c r="D750" s="11"/>
      <c r="G750" s="6"/>
      <c r="H750" s="1" t="s">
        <v>54</v>
      </c>
      <c r="I750" s="1" t="s">
        <v>34</v>
      </c>
      <c r="J750" s="1" t="n">
        <f aca="false">K749</f>
        <v>168255</v>
      </c>
      <c r="K750" s="1" t="n">
        <f aca="false">J750+L750</f>
        <v>168282</v>
      </c>
      <c r="L750" s="1" t="n">
        <v>27</v>
      </c>
      <c r="M750" s="1" t="n">
        <f aca="false">(E750+M749)-N750</f>
        <v>37.79</v>
      </c>
      <c r="N750" s="1" t="n">
        <v>3.2</v>
      </c>
    </row>
    <row r="751" customFormat="false" ht="15" hidden="false" customHeight="true" outlineLevel="0" collapsed="false">
      <c r="D751" s="11" t="n">
        <v>44893</v>
      </c>
      <c r="H751" s="1" t="s">
        <v>34</v>
      </c>
      <c r="I751" s="1" t="s">
        <v>36</v>
      </c>
      <c r="J751" s="1" t="n">
        <f aca="false">K750</f>
        <v>168282</v>
      </c>
      <c r="K751" s="1" t="n">
        <f aca="false">J751+L751</f>
        <v>168297</v>
      </c>
      <c r="L751" s="1" t="n">
        <v>15</v>
      </c>
      <c r="M751" s="1" t="n">
        <f aca="false">(E751+M750)-N751</f>
        <v>35.99</v>
      </c>
      <c r="N751" s="1" t="n">
        <v>1.8</v>
      </c>
    </row>
    <row r="752" customFormat="false" ht="15" hidden="false" customHeight="true" outlineLevel="0" collapsed="false">
      <c r="D752" s="11"/>
      <c r="H752" s="1" t="s">
        <v>36</v>
      </c>
      <c r="I752" s="1" t="s">
        <v>34</v>
      </c>
      <c r="J752" s="1" t="n">
        <f aca="false">K751</f>
        <v>168297</v>
      </c>
      <c r="K752" s="1" t="n">
        <f aca="false">J752+L752</f>
        <v>168312</v>
      </c>
      <c r="L752" s="1" t="n">
        <v>15</v>
      </c>
      <c r="M752" s="1" t="n">
        <f aca="false">(E752+M751)-N752</f>
        <v>34.19</v>
      </c>
      <c r="N752" s="1" t="n">
        <v>1.8</v>
      </c>
    </row>
    <row r="753" customFormat="false" ht="15" hidden="false" customHeight="true" outlineLevel="0" collapsed="false">
      <c r="D753" s="11" t="n">
        <v>44894</v>
      </c>
      <c r="H753" s="1" t="s">
        <v>34</v>
      </c>
      <c r="I753" s="1" t="s">
        <v>49</v>
      </c>
      <c r="J753" s="1" t="n">
        <f aca="false">K752</f>
        <v>168312</v>
      </c>
      <c r="K753" s="1" t="n">
        <f aca="false">J753+L753</f>
        <v>168339</v>
      </c>
      <c r="L753" s="1" t="n">
        <v>27</v>
      </c>
      <c r="M753" s="1" t="n">
        <f aca="false">(E753+M752)-N753</f>
        <v>30.99</v>
      </c>
      <c r="N753" s="1" t="n">
        <v>3.2</v>
      </c>
    </row>
    <row r="754" customFormat="false" ht="15" hidden="false" customHeight="true" outlineLevel="0" collapsed="false">
      <c r="D754" s="11"/>
      <c r="H754" s="1" t="s">
        <v>49</v>
      </c>
      <c r="I754" s="1" t="s">
        <v>34</v>
      </c>
      <c r="J754" s="1" t="n">
        <f aca="false">K753</f>
        <v>168339</v>
      </c>
      <c r="K754" s="1" t="n">
        <f aca="false">J754+L754</f>
        <v>168366</v>
      </c>
      <c r="L754" s="1" t="n">
        <v>27</v>
      </c>
      <c r="M754" s="1" t="n">
        <f aca="false">(E754+M753)-N754</f>
        <v>27.79</v>
      </c>
      <c r="N754" s="1" t="n">
        <v>3.2</v>
      </c>
    </row>
    <row r="755" customFormat="false" ht="15" hidden="false" customHeight="true" outlineLevel="0" collapsed="false">
      <c r="D755" s="11"/>
      <c r="H755" s="1" t="s">
        <v>34</v>
      </c>
      <c r="I755" s="1" t="s">
        <v>32</v>
      </c>
      <c r="J755" s="1" t="n">
        <f aca="false">K754</f>
        <v>168366</v>
      </c>
      <c r="K755" s="1" t="n">
        <f aca="false">J755+L755</f>
        <v>168391</v>
      </c>
      <c r="L755" s="1" t="n">
        <v>25</v>
      </c>
      <c r="M755" s="1" t="n">
        <f aca="false">(E755+M754)-N755</f>
        <v>24.79</v>
      </c>
      <c r="N755" s="1" t="n">
        <v>3</v>
      </c>
    </row>
    <row r="756" customFormat="false" ht="15" hidden="false" customHeight="true" outlineLevel="0" collapsed="false">
      <c r="D756" s="11"/>
      <c r="H756" s="1" t="s">
        <v>32</v>
      </c>
      <c r="I756" s="1" t="s">
        <v>34</v>
      </c>
      <c r="J756" s="1" t="n">
        <f aca="false">K755</f>
        <v>168391</v>
      </c>
      <c r="K756" s="1" t="n">
        <f aca="false">J756+L756</f>
        <v>168416</v>
      </c>
      <c r="L756" s="1" t="n">
        <v>25</v>
      </c>
      <c r="M756" s="1" t="n">
        <f aca="false">(E756+M755)-N756</f>
        <v>21.79</v>
      </c>
      <c r="N756" s="1" t="n">
        <v>3</v>
      </c>
    </row>
    <row r="757" customFormat="false" ht="15" hidden="false" customHeight="true" outlineLevel="0" collapsed="false">
      <c r="D757" s="11" t="n">
        <v>44895</v>
      </c>
      <c r="E757" s="0" t="n">
        <v>31.59</v>
      </c>
      <c r="F757" s="1" t="n">
        <v>51.9</v>
      </c>
      <c r="G757" s="6" t="n">
        <f aca="false">E757*F757</f>
        <v>1639.521</v>
      </c>
      <c r="H757" s="1" t="s">
        <v>34</v>
      </c>
      <c r="I757" s="1" t="s">
        <v>43</v>
      </c>
      <c r="J757" s="1" t="n">
        <f aca="false">K756</f>
        <v>168416</v>
      </c>
      <c r="K757" s="1" t="n">
        <f aca="false">J757+L757</f>
        <v>168428</v>
      </c>
      <c r="L757" s="1" t="n">
        <v>12</v>
      </c>
      <c r="M757" s="1" t="n">
        <f aca="false">(E757+M756)-N757</f>
        <v>52.13</v>
      </c>
      <c r="N757" s="1" t="n">
        <v>1.25</v>
      </c>
    </row>
    <row r="758" customFormat="false" ht="15" hidden="false" customHeight="true" outlineLevel="0" collapsed="false">
      <c r="D758" s="11"/>
      <c r="H758" s="1" t="s">
        <v>43</v>
      </c>
      <c r="I758" s="1" t="s">
        <v>34</v>
      </c>
      <c r="J758" s="1" t="n">
        <f aca="false">K757</f>
        <v>168428</v>
      </c>
      <c r="K758" s="1" t="n">
        <f aca="false">J758+L758</f>
        <v>168440</v>
      </c>
      <c r="L758" s="1" t="n">
        <v>12</v>
      </c>
      <c r="M758" s="1" t="n">
        <f aca="false">(E758+M757)-N758</f>
        <v>50.88</v>
      </c>
      <c r="N758" s="1" t="n">
        <v>1.25</v>
      </c>
    </row>
    <row r="759" customFormat="false" ht="15" hidden="false" customHeight="true" outlineLevel="0" collapsed="false">
      <c r="D759" s="11"/>
      <c r="H759" s="1" t="s">
        <v>34</v>
      </c>
      <c r="I759" s="1" t="s">
        <v>49</v>
      </c>
      <c r="J759" s="1" t="n">
        <f aca="false">K758</f>
        <v>168440</v>
      </c>
      <c r="K759" s="1" t="n">
        <f aca="false">J759+L759</f>
        <v>168467</v>
      </c>
      <c r="L759" s="1" t="n">
        <v>27</v>
      </c>
      <c r="M759" s="1" t="n">
        <f aca="false">(E759+M758)-N759</f>
        <v>47.68</v>
      </c>
      <c r="N759" s="1" t="n">
        <v>3.2</v>
      </c>
    </row>
    <row r="760" customFormat="false" ht="15" hidden="false" customHeight="true" outlineLevel="0" collapsed="false">
      <c r="D760" s="11"/>
      <c r="H760" s="1" t="s">
        <v>49</v>
      </c>
      <c r="I760" s="1" t="s">
        <v>34</v>
      </c>
      <c r="J760" s="1" t="n">
        <f aca="false">K759</f>
        <v>168467</v>
      </c>
      <c r="K760" s="1" t="n">
        <f aca="false">J760+L760</f>
        <v>168494</v>
      </c>
      <c r="L760" s="1" t="n">
        <v>27</v>
      </c>
      <c r="M760" s="1" t="n">
        <f aca="false">(E760+M759)-N760</f>
        <v>44.48</v>
      </c>
      <c r="N760" s="1" t="n">
        <v>3.2</v>
      </c>
    </row>
    <row r="761" customFormat="false" ht="15" hidden="false" customHeight="true" outlineLevel="0" collapsed="false">
      <c r="D761" s="11"/>
      <c r="H761" s="1" t="s">
        <v>34</v>
      </c>
      <c r="I761" s="1" t="s">
        <v>37</v>
      </c>
      <c r="J761" s="1" t="n">
        <f aca="false">K760</f>
        <v>168494</v>
      </c>
      <c r="K761" s="1" t="n">
        <f aca="false">J761+L761</f>
        <v>168534</v>
      </c>
      <c r="L761" s="1" t="n">
        <v>40</v>
      </c>
      <c r="M761" s="1" t="n">
        <f aca="false">(E761+M760)-N761</f>
        <v>39.68</v>
      </c>
      <c r="N761" s="1" t="n">
        <v>4.8</v>
      </c>
    </row>
    <row r="762" customFormat="false" ht="15" hidden="false" customHeight="true" outlineLevel="0" collapsed="false">
      <c r="D762" s="11"/>
      <c r="H762" s="1" t="s">
        <v>37</v>
      </c>
      <c r="I762" s="1" t="s">
        <v>34</v>
      </c>
      <c r="J762" s="1" t="n">
        <f aca="false">K761</f>
        <v>168534</v>
      </c>
      <c r="K762" s="1" t="n">
        <f aca="false">J762+L762</f>
        <v>168574</v>
      </c>
      <c r="L762" s="1" t="n">
        <v>40</v>
      </c>
      <c r="M762" s="1" t="n">
        <f aca="false">(E762+M761)-N762</f>
        <v>34.88</v>
      </c>
      <c r="N762" s="1" t="n">
        <v>4.8</v>
      </c>
    </row>
    <row r="763" customFormat="false" ht="15" hidden="false" customHeight="true" outlineLevel="0" collapsed="false">
      <c r="D763" s="11"/>
      <c r="H763" s="1"/>
      <c r="I763" s="1"/>
      <c r="M763" s="1"/>
    </row>
    <row r="764" customFormat="false" ht="15" hidden="false" customHeight="true" outlineLevel="0" collapsed="false">
      <c r="D764" s="4" t="s">
        <v>55</v>
      </c>
      <c r="E764" s="4"/>
      <c r="F764" s="4"/>
      <c r="G764" s="4"/>
    </row>
    <row r="765" customFormat="false" ht="15" hidden="false" customHeight="true" outlineLevel="0" collapsed="false">
      <c r="D765" s="11" t="n">
        <v>44896</v>
      </c>
      <c r="H765" s="1" t="s">
        <v>34</v>
      </c>
      <c r="I765" s="1" t="s">
        <v>49</v>
      </c>
      <c r="J765" s="1" t="n">
        <f aca="false">K762</f>
        <v>168574</v>
      </c>
      <c r="K765" s="1" t="n">
        <f aca="false">J765+L765</f>
        <v>168601</v>
      </c>
      <c r="L765" s="1" t="n">
        <v>27</v>
      </c>
      <c r="M765" s="1" t="n">
        <f aca="false">(E765+M762)-N765</f>
        <v>31.68</v>
      </c>
      <c r="N765" s="1" t="n">
        <v>3.2</v>
      </c>
    </row>
    <row r="766" customFormat="false" ht="15" hidden="false" customHeight="true" outlineLevel="0" collapsed="false">
      <c r="D766" s="11"/>
      <c r="H766" s="1" t="s">
        <v>49</v>
      </c>
      <c r="I766" s="1" t="s">
        <v>34</v>
      </c>
      <c r="J766" s="1" t="n">
        <f aca="false">K765</f>
        <v>168601</v>
      </c>
      <c r="K766" s="1" t="n">
        <f aca="false">J766+L766</f>
        <v>168628</v>
      </c>
      <c r="L766" s="1" t="n">
        <v>27</v>
      </c>
      <c r="M766" s="1" t="n">
        <f aca="false">(E766+M765)-N766</f>
        <v>28.48</v>
      </c>
      <c r="N766" s="1" t="n">
        <v>3.2</v>
      </c>
    </row>
    <row r="767" customFormat="false" ht="15" hidden="false" customHeight="true" outlineLevel="0" collapsed="false">
      <c r="D767" s="11"/>
      <c r="H767" s="1" t="s">
        <v>34</v>
      </c>
      <c r="I767" s="1" t="s">
        <v>32</v>
      </c>
      <c r="J767" s="1" t="n">
        <f aca="false">K766</f>
        <v>168628</v>
      </c>
      <c r="K767" s="1" t="n">
        <f aca="false">J767+L767</f>
        <v>168653</v>
      </c>
      <c r="L767" s="1" t="n">
        <v>25</v>
      </c>
      <c r="M767" s="1" t="n">
        <f aca="false">(E767+M766)-N767</f>
        <v>25.48</v>
      </c>
      <c r="N767" s="1" t="n">
        <v>3</v>
      </c>
    </row>
    <row r="768" customFormat="false" ht="15" hidden="false" customHeight="true" outlineLevel="0" collapsed="false">
      <c r="D768" s="11"/>
      <c r="H768" s="1" t="s">
        <v>32</v>
      </c>
      <c r="I768" s="1" t="s">
        <v>34</v>
      </c>
      <c r="J768" s="1" t="n">
        <f aca="false">K767</f>
        <v>168653</v>
      </c>
      <c r="K768" s="1" t="n">
        <f aca="false">J768+L768</f>
        <v>168678</v>
      </c>
      <c r="L768" s="1" t="n">
        <v>25</v>
      </c>
      <c r="M768" s="1" t="n">
        <f aca="false">(E768+M767)-N768</f>
        <v>22.48</v>
      </c>
      <c r="N768" s="1" t="n">
        <v>3</v>
      </c>
    </row>
    <row r="769" customFormat="false" ht="15" hidden="false" customHeight="true" outlineLevel="0" collapsed="false">
      <c r="D769" s="11" t="n">
        <v>44897</v>
      </c>
      <c r="H769" s="1" t="s">
        <v>34</v>
      </c>
      <c r="I769" s="1" t="s">
        <v>49</v>
      </c>
      <c r="J769" s="1" t="n">
        <f aca="false">K768</f>
        <v>168678</v>
      </c>
      <c r="K769" s="1" t="n">
        <f aca="false">J769+L769</f>
        <v>168705</v>
      </c>
      <c r="L769" s="1" t="n">
        <v>27</v>
      </c>
      <c r="M769" s="1" t="n">
        <f aca="false">(E769+M768)-N769</f>
        <v>19.28</v>
      </c>
      <c r="N769" s="1" t="n">
        <v>3.2</v>
      </c>
    </row>
    <row r="770" customFormat="false" ht="15" hidden="false" customHeight="true" outlineLevel="0" collapsed="false">
      <c r="D770" s="11"/>
      <c r="H770" s="1" t="s">
        <v>49</v>
      </c>
      <c r="I770" s="1" t="s">
        <v>34</v>
      </c>
      <c r="J770" s="1" t="n">
        <f aca="false">K769</f>
        <v>168705</v>
      </c>
      <c r="K770" s="1" t="n">
        <f aca="false">J770+L770</f>
        <v>168732</v>
      </c>
      <c r="L770" s="1" t="n">
        <v>27</v>
      </c>
      <c r="M770" s="1" t="n">
        <f aca="false">(E770+M769)-N770</f>
        <v>16.08</v>
      </c>
      <c r="N770" s="1" t="n">
        <v>3.2</v>
      </c>
    </row>
    <row r="771" customFormat="false" ht="15" hidden="false" customHeight="true" outlineLevel="0" collapsed="false">
      <c r="D771" s="11"/>
      <c r="H771" s="1" t="s">
        <v>34</v>
      </c>
      <c r="I771" s="1" t="s">
        <v>37</v>
      </c>
      <c r="J771" s="1" t="n">
        <f aca="false">K770</f>
        <v>168732</v>
      </c>
      <c r="K771" s="1" t="n">
        <f aca="false">J771+L771</f>
        <v>168772</v>
      </c>
      <c r="L771" s="1" t="n">
        <v>40</v>
      </c>
      <c r="M771" s="1" t="n">
        <f aca="false">(E771+M770)-N771</f>
        <v>11.28</v>
      </c>
      <c r="N771" s="1" t="n">
        <v>4.8</v>
      </c>
    </row>
    <row r="772" customFormat="false" ht="15" hidden="false" customHeight="true" outlineLevel="0" collapsed="false">
      <c r="D772" s="11"/>
      <c r="H772" s="1" t="s">
        <v>37</v>
      </c>
      <c r="I772" s="1" t="s">
        <v>34</v>
      </c>
      <c r="J772" s="1" t="n">
        <f aca="false">K771</f>
        <v>168772</v>
      </c>
      <c r="K772" s="1" t="n">
        <f aca="false">J772+L772</f>
        <v>168812</v>
      </c>
      <c r="L772" s="1" t="n">
        <v>40</v>
      </c>
      <c r="M772" s="1" t="n">
        <f aca="false">(E772+M771)-N772</f>
        <v>6.47999999999998</v>
      </c>
      <c r="N772" s="1" t="n">
        <v>4.8</v>
      </c>
    </row>
    <row r="773" customFormat="false" ht="15" hidden="false" customHeight="true" outlineLevel="0" collapsed="false">
      <c r="D773" s="11" t="n">
        <v>44900</v>
      </c>
      <c r="E773" s="0" t="n">
        <v>32.51</v>
      </c>
      <c r="F773" s="1" t="n">
        <v>51.9</v>
      </c>
      <c r="G773" s="6" t="n">
        <f aca="false">E773*F773</f>
        <v>1687.269</v>
      </c>
      <c r="H773" s="1" t="s">
        <v>34</v>
      </c>
      <c r="I773" s="1" t="s">
        <v>43</v>
      </c>
      <c r="J773" s="1" t="n">
        <f aca="false">K772</f>
        <v>168812</v>
      </c>
      <c r="K773" s="1" t="n">
        <f aca="false">J773+L773</f>
        <v>168824</v>
      </c>
      <c r="L773" s="1" t="n">
        <v>12</v>
      </c>
      <c r="M773" s="1" t="n">
        <f aca="false">(E773+M772)-N773</f>
        <v>37.74</v>
      </c>
      <c r="N773" s="1" t="n">
        <v>1.25</v>
      </c>
    </row>
    <row r="774" customFormat="false" ht="15" hidden="false" customHeight="true" outlineLevel="0" collapsed="false">
      <c r="D774" s="11"/>
      <c r="G774" s="6"/>
      <c r="H774" s="1" t="s">
        <v>43</v>
      </c>
      <c r="I774" s="1" t="s">
        <v>34</v>
      </c>
      <c r="J774" s="1" t="n">
        <f aca="false">K773</f>
        <v>168824</v>
      </c>
      <c r="K774" s="1" t="n">
        <f aca="false">J774+L774</f>
        <v>168836</v>
      </c>
      <c r="L774" s="1" t="n">
        <v>12</v>
      </c>
      <c r="M774" s="1" t="n">
        <f aca="false">(E774+M773)-N774</f>
        <v>36.49</v>
      </c>
      <c r="N774" s="1" t="n">
        <v>1.25</v>
      </c>
    </row>
    <row r="775" customFormat="false" ht="15" hidden="false" customHeight="true" outlineLevel="0" collapsed="false">
      <c r="D775" s="11"/>
      <c r="G775" s="6"/>
      <c r="H775" s="1" t="s">
        <v>34</v>
      </c>
      <c r="I775" s="1" t="s">
        <v>54</v>
      </c>
      <c r="J775" s="1" t="n">
        <f aca="false">K774</f>
        <v>168836</v>
      </c>
      <c r="K775" s="1" t="n">
        <f aca="false">J775+L775</f>
        <v>168863</v>
      </c>
      <c r="L775" s="1" t="n">
        <v>27</v>
      </c>
      <c r="M775" s="1" t="n">
        <f aca="false">(E775+M774)-N775</f>
        <v>33.29</v>
      </c>
      <c r="N775" s="1" t="n">
        <v>3.2</v>
      </c>
    </row>
    <row r="776" customFormat="false" ht="15" hidden="false" customHeight="true" outlineLevel="0" collapsed="false">
      <c r="D776" s="11"/>
      <c r="G776" s="6"/>
      <c r="H776" s="1" t="s">
        <v>54</v>
      </c>
      <c r="I776" s="1" t="s">
        <v>34</v>
      </c>
      <c r="J776" s="1" t="n">
        <f aca="false">K775</f>
        <v>168863</v>
      </c>
      <c r="K776" s="1" t="n">
        <f aca="false">J776+L776</f>
        <v>168890</v>
      </c>
      <c r="L776" s="1" t="n">
        <v>27</v>
      </c>
      <c r="M776" s="1" t="n">
        <f aca="false">(E776+M775)-N776</f>
        <v>30.09</v>
      </c>
      <c r="N776" s="1" t="n">
        <v>3.2</v>
      </c>
    </row>
    <row r="777" customFormat="false" ht="15" hidden="false" customHeight="true" outlineLevel="0" collapsed="false">
      <c r="D777" s="11" t="n">
        <v>44901</v>
      </c>
      <c r="H777" s="1" t="s">
        <v>34</v>
      </c>
      <c r="I777" s="1" t="s">
        <v>37</v>
      </c>
      <c r="J777" s="1" t="n">
        <f aca="false">K776</f>
        <v>168890</v>
      </c>
      <c r="K777" s="1" t="n">
        <f aca="false">J777+L777</f>
        <v>168930</v>
      </c>
      <c r="L777" s="1" t="n">
        <v>40</v>
      </c>
      <c r="M777" s="1" t="n">
        <f aca="false">(E777+M776)-N777</f>
        <v>25.29</v>
      </c>
      <c r="N777" s="1" t="n">
        <v>4.8</v>
      </c>
    </row>
    <row r="778" customFormat="false" ht="15" hidden="false" customHeight="true" outlineLevel="0" collapsed="false">
      <c r="D778" s="11"/>
      <c r="H778" s="1" t="s">
        <v>37</v>
      </c>
      <c r="I778" s="1" t="s">
        <v>34</v>
      </c>
      <c r="J778" s="1" t="n">
        <f aca="false">K777</f>
        <v>168930</v>
      </c>
      <c r="K778" s="1" t="n">
        <f aca="false">J778+L778</f>
        <v>168970</v>
      </c>
      <c r="L778" s="1" t="n">
        <v>40</v>
      </c>
      <c r="M778" s="1" t="n">
        <f aca="false">(E778+M777)-N778</f>
        <v>20.49</v>
      </c>
      <c r="N778" s="1" t="n">
        <v>4.8</v>
      </c>
    </row>
    <row r="779" customFormat="false" ht="15" hidden="false" customHeight="true" outlineLevel="0" collapsed="false">
      <c r="D779" s="11" t="n">
        <v>44902</v>
      </c>
      <c r="H779" s="1" t="s">
        <v>34</v>
      </c>
      <c r="I779" s="1" t="s">
        <v>36</v>
      </c>
      <c r="J779" s="1" t="n">
        <f aca="false">K778</f>
        <v>168970</v>
      </c>
      <c r="K779" s="1" t="n">
        <f aca="false">J779+L779</f>
        <v>168985</v>
      </c>
      <c r="L779" s="1" t="n">
        <v>15</v>
      </c>
      <c r="M779" s="1" t="n">
        <f aca="false">(E779+M778)-N779</f>
        <v>18.69</v>
      </c>
      <c r="N779" s="1" t="n">
        <v>1.8</v>
      </c>
    </row>
    <row r="780" customFormat="false" ht="15" hidden="false" customHeight="true" outlineLevel="0" collapsed="false">
      <c r="D780" s="11"/>
      <c r="H780" s="1" t="s">
        <v>36</v>
      </c>
      <c r="I780" s="1" t="s">
        <v>34</v>
      </c>
      <c r="J780" s="1" t="n">
        <f aca="false">K779</f>
        <v>168985</v>
      </c>
      <c r="K780" s="1" t="n">
        <f aca="false">J780+L780</f>
        <v>169000</v>
      </c>
      <c r="L780" s="1" t="n">
        <v>15</v>
      </c>
      <c r="M780" s="1" t="n">
        <f aca="false">(E780+M779)-N780</f>
        <v>16.89</v>
      </c>
      <c r="N780" s="1" t="n">
        <v>1.8</v>
      </c>
    </row>
    <row r="781" customFormat="false" ht="15" hidden="false" customHeight="true" outlineLevel="0" collapsed="false">
      <c r="D781" s="11" t="n">
        <v>44903</v>
      </c>
      <c r="H781" s="1" t="s">
        <v>34</v>
      </c>
      <c r="I781" s="1" t="s">
        <v>49</v>
      </c>
      <c r="J781" s="1" t="n">
        <f aca="false">K780</f>
        <v>169000</v>
      </c>
      <c r="K781" s="1" t="n">
        <f aca="false">J781+L781</f>
        <v>169027</v>
      </c>
      <c r="L781" s="1" t="n">
        <v>27</v>
      </c>
      <c r="M781" s="1" t="n">
        <f aca="false">(E781+M780)-N781</f>
        <v>13.69</v>
      </c>
      <c r="N781" s="1" t="n">
        <v>3.2</v>
      </c>
    </row>
    <row r="782" customFormat="false" ht="15" hidden="false" customHeight="true" outlineLevel="0" collapsed="false">
      <c r="D782" s="11"/>
      <c r="H782" s="1" t="s">
        <v>49</v>
      </c>
      <c r="I782" s="1" t="s">
        <v>34</v>
      </c>
      <c r="J782" s="1" t="n">
        <f aca="false">K781</f>
        <v>169027</v>
      </c>
      <c r="K782" s="1" t="n">
        <f aca="false">J782+L782</f>
        <v>169054</v>
      </c>
      <c r="L782" s="1" t="n">
        <v>27</v>
      </c>
      <c r="M782" s="1" t="n">
        <f aca="false">(E782+M781)-N782</f>
        <v>10.49</v>
      </c>
      <c r="N782" s="1" t="n">
        <v>3.2</v>
      </c>
    </row>
    <row r="783" customFormat="false" ht="15" hidden="false" customHeight="true" outlineLevel="0" collapsed="false">
      <c r="D783" s="11"/>
      <c r="H783" s="1" t="s">
        <v>34</v>
      </c>
      <c r="I783" s="1" t="s">
        <v>32</v>
      </c>
      <c r="J783" s="1" t="n">
        <f aca="false">K782</f>
        <v>169054</v>
      </c>
      <c r="K783" s="1" t="n">
        <f aca="false">J783+L783</f>
        <v>169079</v>
      </c>
      <c r="L783" s="1" t="n">
        <v>25</v>
      </c>
      <c r="M783" s="1" t="n">
        <f aca="false">(E783+M782)-N783</f>
        <v>7.48999999999998</v>
      </c>
      <c r="N783" s="1" t="n">
        <v>3</v>
      </c>
    </row>
    <row r="784" customFormat="false" ht="15" hidden="false" customHeight="true" outlineLevel="0" collapsed="false">
      <c r="D784" s="11"/>
      <c r="H784" s="1" t="s">
        <v>32</v>
      </c>
      <c r="I784" s="1" t="s">
        <v>34</v>
      </c>
      <c r="J784" s="1" t="n">
        <f aca="false">K783</f>
        <v>169079</v>
      </c>
      <c r="K784" s="1" t="n">
        <f aca="false">J784+L784</f>
        <v>169104</v>
      </c>
      <c r="L784" s="1" t="n">
        <v>25</v>
      </c>
      <c r="M784" s="1" t="n">
        <f aca="false">(E784+M783)-N784</f>
        <v>4.48999999999998</v>
      </c>
      <c r="N784" s="1" t="n">
        <v>3</v>
      </c>
    </row>
    <row r="785" customFormat="false" ht="15" hidden="false" customHeight="true" outlineLevel="0" collapsed="false">
      <c r="D785" s="11" t="n">
        <v>44904</v>
      </c>
      <c r="E785" s="0" t="n">
        <v>32.47</v>
      </c>
      <c r="F785" s="1" t="n">
        <v>51.9</v>
      </c>
      <c r="G785" s="6" t="n">
        <f aca="false">E785*F785</f>
        <v>1685.193</v>
      </c>
      <c r="H785" s="1" t="s">
        <v>34</v>
      </c>
      <c r="I785" s="1" t="s">
        <v>37</v>
      </c>
      <c r="J785" s="1" t="n">
        <f aca="false">K784</f>
        <v>169104</v>
      </c>
      <c r="K785" s="1" t="n">
        <f aca="false">J785+L785</f>
        <v>169144</v>
      </c>
      <c r="L785" s="1" t="n">
        <v>40</v>
      </c>
      <c r="M785" s="1" t="n">
        <f aca="false">(E785+M784)-N785</f>
        <v>32.16</v>
      </c>
      <c r="N785" s="1" t="n">
        <v>4.8</v>
      </c>
    </row>
    <row r="786" customFormat="false" ht="15" hidden="false" customHeight="true" outlineLevel="0" collapsed="false">
      <c r="D786" s="11"/>
      <c r="G786" s="6"/>
      <c r="H786" s="1" t="s">
        <v>37</v>
      </c>
      <c r="I786" s="1" t="s">
        <v>34</v>
      </c>
      <c r="J786" s="1" t="n">
        <f aca="false">K785</f>
        <v>169144</v>
      </c>
      <c r="K786" s="1" t="n">
        <f aca="false">J786+L786</f>
        <v>169184</v>
      </c>
      <c r="L786" s="1" t="n">
        <v>40</v>
      </c>
      <c r="M786" s="1" t="n">
        <f aca="false">(E786+M785)-N786</f>
        <v>27.36</v>
      </c>
      <c r="N786" s="1" t="n">
        <v>4.8</v>
      </c>
    </row>
    <row r="787" customFormat="false" ht="15" hidden="false" customHeight="true" outlineLevel="0" collapsed="false">
      <c r="D787" s="11" t="n">
        <v>44907</v>
      </c>
      <c r="H787" s="1" t="s">
        <v>34</v>
      </c>
      <c r="I787" s="1" t="s">
        <v>35</v>
      </c>
      <c r="J787" s="1" t="n">
        <f aca="false">K786</f>
        <v>169184</v>
      </c>
      <c r="K787" s="1" t="n">
        <f aca="false">J787+L787</f>
        <v>169196</v>
      </c>
      <c r="L787" s="1" t="n">
        <v>12</v>
      </c>
      <c r="M787" s="1" t="n">
        <f aca="false">(E787+M786)-N787</f>
        <v>26.11</v>
      </c>
      <c r="N787" s="1" t="n">
        <v>1.25</v>
      </c>
    </row>
    <row r="788" customFormat="false" ht="15" hidden="false" customHeight="true" outlineLevel="0" collapsed="false">
      <c r="D788" s="11"/>
      <c r="H788" s="1" t="s">
        <v>35</v>
      </c>
      <c r="I788" s="1" t="s">
        <v>34</v>
      </c>
      <c r="J788" s="1" t="n">
        <f aca="false">K787</f>
        <v>169196</v>
      </c>
      <c r="K788" s="1" t="n">
        <f aca="false">J788+L788</f>
        <v>169208</v>
      </c>
      <c r="L788" s="1" t="n">
        <v>12</v>
      </c>
      <c r="M788" s="1" t="n">
        <f aca="false">(E788+M787)-N788</f>
        <v>24.86</v>
      </c>
      <c r="N788" s="1" t="n">
        <v>1.25</v>
      </c>
    </row>
    <row r="789" customFormat="false" ht="15" hidden="false" customHeight="true" outlineLevel="0" collapsed="false">
      <c r="D789" s="11" t="n">
        <v>44908</v>
      </c>
      <c r="H789" s="1" t="s">
        <v>34</v>
      </c>
      <c r="I789" s="1" t="s">
        <v>54</v>
      </c>
      <c r="J789" s="1" t="n">
        <f aca="false">K788</f>
        <v>169208</v>
      </c>
      <c r="K789" s="1" t="n">
        <f aca="false">J789+L789</f>
        <v>169235</v>
      </c>
      <c r="L789" s="1" t="n">
        <v>27</v>
      </c>
      <c r="M789" s="1" t="n">
        <f aca="false">(E789+M788)-N789</f>
        <v>21.66</v>
      </c>
      <c r="N789" s="1" t="n">
        <v>3.2</v>
      </c>
    </row>
    <row r="790" customFormat="false" ht="15" hidden="false" customHeight="true" outlineLevel="0" collapsed="false">
      <c r="D790" s="11"/>
      <c r="H790" s="1" t="s">
        <v>54</v>
      </c>
      <c r="I790" s="1" t="s">
        <v>34</v>
      </c>
      <c r="J790" s="1" t="n">
        <f aca="false">K789</f>
        <v>169235</v>
      </c>
      <c r="K790" s="1" t="n">
        <f aca="false">J790+L790</f>
        <v>169262</v>
      </c>
      <c r="L790" s="1" t="n">
        <v>27</v>
      </c>
      <c r="M790" s="1" t="n">
        <f aca="false">(E790+M789)-N790</f>
        <v>18.46</v>
      </c>
      <c r="N790" s="1" t="n">
        <v>3.2</v>
      </c>
    </row>
    <row r="791" customFormat="false" ht="15" hidden="false" customHeight="true" outlineLevel="0" collapsed="false">
      <c r="D791" s="11"/>
      <c r="H791" s="1" t="s">
        <v>34</v>
      </c>
      <c r="I791" s="1" t="s">
        <v>43</v>
      </c>
      <c r="J791" s="1" t="n">
        <f aca="false">K790</f>
        <v>169262</v>
      </c>
      <c r="K791" s="1" t="n">
        <f aca="false">J791+L791</f>
        <v>169274</v>
      </c>
      <c r="L791" s="1" t="n">
        <v>12</v>
      </c>
      <c r="M791" s="1" t="n">
        <f aca="false">(E791+M790)-N791</f>
        <v>17.21</v>
      </c>
      <c r="N791" s="1" t="n">
        <v>1.25</v>
      </c>
    </row>
    <row r="792" customFormat="false" ht="15" hidden="false" customHeight="true" outlineLevel="0" collapsed="false">
      <c r="D792" s="11"/>
      <c r="H792" s="1" t="s">
        <v>43</v>
      </c>
      <c r="I792" s="1" t="s">
        <v>34</v>
      </c>
      <c r="J792" s="1" t="n">
        <f aca="false">K791</f>
        <v>169274</v>
      </c>
      <c r="K792" s="1" t="n">
        <f aca="false">J792+L792</f>
        <v>169286</v>
      </c>
      <c r="L792" s="1" t="n">
        <v>12</v>
      </c>
      <c r="M792" s="1" t="n">
        <f aca="false">(E792+M791)-N792</f>
        <v>15.96</v>
      </c>
      <c r="N792" s="1" t="n">
        <v>1.25</v>
      </c>
    </row>
    <row r="793" customFormat="false" ht="15" hidden="false" customHeight="true" outlineLevel="0" collapsed="false">
      <c r="D793" s="11" t="n">
        <v>44909</v>
      </c>
      <c r="H793" s="1" t="s">
        <v>34</v>
      </c>
      <c r="I793" s="1" t="s">
        <v>35</v>
      </c>
      <c r="J793" s="1" t="n">
        <f aca="false">K792</f>
        <v>169286</v>
      </c>
      <c r="K793" s="1" t="n">
        <f aca="false">J793+L793</f>
        <v>169298</v>
      </c>
      <c r="L793" s="1" t="n">
        <v>12</v>
      </c>
      <c r="M793" s="1" t="n">
        <f aca="false">(E793+M792)-N793</f>
        <v>14.71</v>
      </c>
      <c r="N793" s="1" t="n">
        <v>1.25</v>
      </c>
    </row>
    <row r="794" customFormat="false" ht="15" hidden="false" customHeight="true" outlineLevel="0" collapsed="false">
      <c r="D794" s="11"/>
      <c r="H794" s="1" t="s">
        <v>35</v>
      </c>
      <c r="I794" s="1" t="s">
        <v>34</v>
      </c>
      <c r="J794" s="1" t="n">
        <f aca="false">K793</f>
        <v>169298</v>
      </c>
      <c r="K794" s="1" t="n">
        <f aca="false">J794+L794</f>
        <v>169310</v>
      </c>
      <c r="L794" s="1" t="n">
        <v>12</v>
      </c>
      <c r="M794" s="1" t="n">
        <f aca="false">(E794+M793)-N794</f>
        <v>13.46</v>
      </c>
      <c r="N794" s="1" t="n">
        <v>1.25</v>
      </c>
    </row>
    <row r="795" customFormat="false" ht="15" hidden="false" customHeight="true" outlineLevel="0" collapsed="false">
      <c r="D795" s="11"/>
      <c r="H795" s="1" t="s">
        <v>34</v>
      </c>
      <c r="I795" s="1" t="s">
        <v>37</v>
      </c>
      <c r="J795" s="1" t="n">
        <f aca="false">K794</f>
        <v>169310</v>
      </c>
      <c r="K795" s="1" t="n">
        <f aca="false">J795+L795</f>
        <v>169350</v>
      </c>
      <c r="L795" s="1" t="n">
        <v>40</v>
      </c>
      <c r="M795" s="1" t="n">
        <f aca="false">(E795+M794)-N795</f>
        <v>8.65999999999998</v>
      </c>
      <c r="N795" s="1" t="n">
        <v>4.8</v>
      </c>
    </row>
    <row r="796" customFormat="false" ht="15" hidden="false" customHeight="true" outlineLevel="0" collapsed="false">
      <c r="D796" s="11"/>
      <c r="H796" s="1" t="s">
        <v>37</v>
      </c>
      <c r="I796" s="1" t="s">
        <v>34</v>
      </c>
      <c r="J796" s="1" t="n">
        <f aca="false">K795</f>
        <v>169350</v>
      </c>
      <c r="K796" s="1" t="n">
        <f aca="false">J796+L796</f>
        <v>169390</v>
      </c>
      <c r="L796" s="1" t="n">
        <v>40</v>
      </c>
      <c r="M796" s="1" t="n">
        <f aca="false">(E796+M795)-N796</f>
        <v>3.85999999999998</v>
      </c>
      <c r="N796" s="1" t="n">
        <v>4.8</v>
      </c>
    </row>
    <row r="797" customFormat="false" ht="15" hidden="false" customHeight="true" outlineLevel="0" collapsed="false">
      <c r="D797" s="11" t="n">
        <v>44910</v>
      </c>
      <c r="E797" s="0" t="n">
        <v>32.96</v>
      </c>
      <c r="F797" s="1" t="n">
        <v>51.9</v>
      </c>
      <c r="G797" s="6" t="n">
        <f aca="false">E797*F797</f>
        <v>1710.624</v>
      </c>
      <c r="H797" s="1" t="s">
        <v>34</v>
      </c>
      <c r="I797" s="1" t="s">
        <v>24</v>
      </c>
      <c r="J797" s="1" t="n">
        <f aca="false">K796</f>
        <v>169390</v>
      </c>
      <c r="K797" s="1" t="n">
        <f aca="false">J797+L797</f>
        <v>169404</v>
      </c>
      <c r="L797" s="1" t="n">
        <v>14</v>
      </c>
      <c r="M797" s="1" t="n">
        <f aca="false">(E797+M796)-N797</f>
        <v>35.32</v>
      </c>
      <c r="N797" s="1" t="n">
        <v>1.5</v>
      </c>
    </row>
    <row r="798" customFormat="false" ht="15" hidden="false" customHeight="true" outlineLevel="0" collapsed="false">
      <c r="D798" s="11"/>
      <c r="G798" s="6"/>
      <c r="H798" s="1" t="s">
        <v>24</v>
      </c>
      <c r="I798" s="1" t="s">
        <v>34</v>
      </c>
      <c r="J798" s="1" t="n">
        <f aca="false">K797</f>
        <v>169404</v>
      </c>
      <c r="K798" s="1" t="n">
        <f aca="false">J798+L798</f>
        <v>169418</v>
      </c>
      <c r="L798" s="1" t="n">
        <v>14</v>
      </c>
      <c r="M798" s="1" t="n">
        <f aca="false">(E798+M797)-N798</f>
        <v>33.82</v>
      </c>
      <c r="N798" s="1" t="n">
        <v>1.5</v>
      </c>
    </row>
    <row r="799" customFormat="false" ht="15" hidden="false" customHeight="true" outlineLevel="0" collapsed="false">
      <c r="D799" s="11" t="n">
        <v>44911</v>
      </c>
      <c r="H799" s="1" t="s">
        <v>34</v>
      </c>
      <c r="I799" s="1" t="s">
        <v>37</v>
      </c>
      <c r="J799" s="1" t="n">
        <f aca="false">K798</f>
        <v>169418</v>
      </c>
      <c r="K799" s="1" t="n">
        <f aca="false">J799+L799</f>
        <v>169458</v>
      </c>
      <c r="L799" s="1" t="n">
        <v>40</v>
      </c>
      <c r="M799" s="1" t="n">
        <f aca="false">(E799+M798)-N799</f>
        <v>29.02</v>
      </c>
      <c r="N799" s="1" t="n">
        <v>4.8</v>
      </c>
    </row>
    <row r="800" customFormat="false" ht="15" hidden="false" customHeight="true" outlineLevel="0" collapsed="false">
      <c r="D800" s="11"/>
      <c r="H800" s="1" t="s">
        <v>37</v>
      </c>
      <c r="I800" s="1" t="s">
        <v>34</v>
      </c>
      <c r="J800" s="1" t="n">
        <f aca="false">K799</f>
        <v>169458</v>
      </c>
      <c r="K800" s="1" t="n">
        <f aca="false">J800+L800</f>
        <v>169498</v>
      </c>
      <c r="L800" s="1" t="n">
        <v>40</v>
      </c>
      <c r="M800" s="1" t="n">
        <f aca="false">(E800+M799)-N800</f>
        <v>24.22</v>
      </c>
      <c r="N800" s="1" t="n">
        <v>4.8</v>
      </c>
    </row>
    <row r="801" customFormat="false" ht="15" hidden="false" customHeight="true" outlineLevel="0" collapsed="false">
      <c r="D801" s="11"/>
      <c r="H801" s="1" t="s">
        <v>34</v>
      </c>
      <c r="I801" s="1" t="s">
        <v>32</v>
      </c>
      <c r="J801" s="1" t="n">
        <f aca="false">K800</f>
        <v>169498</v>
      </c>
      <c r="K801" s="1" t="n">
        <f aca="false">J801+L801</f>
        <v>169523</v>
      </c>
      <c r="L801" s="1" t="n">
        <v>25</v>
      </c>
      <c r="M801" s="1" t="n">
        <f aca="false">(E801+M800)-N801</f>
        <v>21.22</v>
      </c>
      <c r="N801" s="1" t="n">
        <v>3</v>
      </c>
    </row>
    <row r="802" customFormat="false" ht="15" hidden="false" customHeight="true" outlineLevel="0" collapsed="false">
      <c r="D802" s="11"/>
      <c r="H802" s="1" t="s">
        <v>32</v>
      </c>
      <c r="I802" s="1" t="s">
        <v>34</v>
      </c>
      <c r="J802" s="1" t="n">
        <f aca="false">K801</f>
        <v>169523</v>
      </c>
      <c r="K802" s="1" t="n">
        <f aca="false">J802+L802</f>
        <v>169548</v>
      </c>
      <c r="L802" s="1" t="n">
        <v>25</v>
      </c>
      <c r="M802" s="1" t="n">
        <f aca="false">(E802+M801)-N802</f>
        <v>18.22</v>
      </c>
      <c r="N802" s="1" t="n">
        <v>3</v>
      </c>
    </row>
    <row r="803" customFormat="false" ht="15" hidden="false" customHeight="true" outlineLevel="0" collapsed="false">
      <c r="D803" s="11" t="n">
        <v>44914</v>
      </c>
      <c r="H803" s="1" t="s">
        <v>34</v>
      </c>
      <c r="I803" s="1" t="s">
        <v>35</v>
      </c>
      <c r="J803" s="1" t="n">
        <f aca="false">K802</f>
        <v>169548</v>
      </c>
      <c r="K803" s="1" t="n">
        <f aca="false">J803+L803</f>
        <v>169560</v>
      </c>
      <c r="L803" s="1" t="n">
        <v>12</v>
      </c>
      <c r="M803" s="1" t="n">
        <f aca="false">(E803+M802)-N803</f>
        <v>16.97</v>
      </c>
      <c r="N803" s="1" t="n">
        <v>1.25</v>
      </c>
    </row>
    <row r="804" customFormat="false" ht="15" hidden="false" customHeight="true" outlineLevel="0" collapsed="false">
      <c r="D804" s="11"/>
      <c r="H804" s="1" t="s">
        <v>35</v>
      </c>
      <c r="I804" s="1" t="s">
        <v>34</v>
      </c>
      <c r="J804" s="1" t="n">
        <f aca="false">K803</f>
        <v>169560</v>
      </c>
      <c r="K804" s="1" t="n">
        <f aca="false">J804+L804</f>
        <v>169572</v>
      </c>
      <c r="L804" s="1" t="n">
        <v>12</v>
      </c>
      <c r="M804" s="1" t="n">
        <f aca="false">(E804+M803)-N804</f>
        <v>15.72</v>
      </c>
      <c r="N804" s="1" t="n">
        <v>1.25</v>
      </c>
    </row>
    <row r="805" customFormat="false" ht="15" hidden="false" customHeight="true" outlineLevel="0" collapsed="false">
      <c r="D805" s="11" t="n">
        <v>44915</v>
      </c>
      <c r="H805" s="1" t="s">
        <v>34</v>
      </c>
      <c r="I805" s="1" t="s">
        <v>43</v>
      </c>
      <c r="J805" s="1" t="n">
        <f aca="false">K804</f>
        <v>169572</v>
      </c>
      <c r="K805" s="1" t="n">
        <f aca="false">J805+L805</f>
        <v>169584</v>
      </c>
      <c r="L805" s="1" t="n">
        <v>12</v>
      </c>
      <c r="M805" s="1" t="n">
        <f aca="false">(E805+M804)-N805</f>
        <v>14.47</v>
      </c>
      <c r="N805" s="1" t="n">
        <v>1.25</v>
      </c>
    </row>
    <row r="806" customFormat="false" ht="15" hidden="false" customHeight="true" outlineLevel="0" collapsed="false">
      <c r="D806" s="11"/>
      <c r="H806" s="1" t="s">
        <v>43</v>
      </c>
      <c r="I806" s="1" t="s">
        <v>34</v>
      </c>
      <c r="J806" s="1" t="n">
        <f aca="false">K805</f>
        <v>169584</v>
      </c>
      <c r="K806" s="1" t="n">
        <f aca="false">J806+L806</f>
        <v>169596</v>
      </c>
      <c r="L806" s="1" t="n">
        <v>12</v>
      </c>
      <c r="M806" s="1" t="n">
        <f aca="false">(E806+M805)-N806</f>
        <v>13.22</v>
      </c>
      <c r="N806" s="1" t="n">
        <v>1.25</v>
      </c>
    </row>
    <row r="807" customFormat="false" ht="15" hidden="false" customHeight="true" outlineLevel="0" collapsed="false">
      <c r="D807" s="11"/>
      <c r="H807" s="1" t="s">
        <v>34</v>
      </c>
      <c r="I807" s="1" t="s">
        <v>24</v>
      </c>
      <c r="J807" s="1" t="n">
        <f aca="false">K806</f>
        <v>169596</v>
      </c>
      <c r="K807" s="1" t="n">
        <f aca="false">J807+L807</f>
        <v>169610</v>
      </c>
      <c r="L807" s="1" t="n">
        <v>14</v>
      </c>
      <c r="M807" s="1" t="n">
        <f aca="false">(E807+M806)-N807</f>
        <v>11.72</v>
      </c>
      <c r="N807" s="1" t="n">
        <v>1.5</v>
      </c>
    </row>
    <row r="808" customFormat="false" ht="15" hidden="false" customHeight="true" outlineLevel="0" collapsed="false">
      <c r="D808" s="11"/>
      <c r="H808" s="1" t="s">
        <v>24</v>
      </c>
      <c r="I808" s="1" t="s">
        <v>34</v>
      </c>
      <c r="J808" s="1" t="n">
        <f aca="false">K807</f>
        <v>169610</v>
      </c>
      <c r="K808" s="1" t="n">
        <f aca="false">J808+L808</f>
        <v>169624</v>
      </c>
      <c r="L808" s="1" t="n">
        <v>14</v>
      </c>
      <c r="M808" s="1" t="n">
        <f aca="false">(E808+M807)-N808</f>
        <v>10.22</v>
      </c>
      <c r="N808" s="1" t="n">
        <v>1.5</v>
      </c>
    </row>
    <row r="809" customFormat="false" ht="15" hidden="false" customHeight="true" outlineLevel="0" collapsed="false">
      <c r="D809" s="11" t="n">
        <v>44916</v>
      </c>
      <c r="E809" s="0" t="n">
        <v>31.55</v>
      </c>
      <c r="F809" s="1" t="n">
        <v>51.9</v>
      </c>
      <c r="G809" s="6" t="n">
        <f aca="false">E809*F809</f>
        <v>1637.445</v>
      </c>
      <c r="H809" s="1" t="s">
        <v>34</v>
      </c>
      <c r="I809" s="1" t="s">
        <v>37</v>
      </c>
      <c r="J809" s="1" t="n">
        <f aca="false">K808</f>
        <v>169624</v>
      </c>
      <c r="K809" s="1" t="n">
        <f aca="false">J809+L809</f>
        <v>169664</v>
      </c>
      <c r="L809" s="1" t="n">
        <v>40</v>
      </c>
      <c r="M809" s="1" t="n">
        <f aca="false">(E809+M808)-N809</f>
        <v>36.97</v>
      </c>
      <c r="N809" s="1" t="n">
        <v>4.8</v>
      </c>
    </row>
    <row r="810" customFormat="false" ht="15" hidden="false" customHeight="true" outlineLevel="0" collapsed="false">
      <c r="D810" s="11"/>
      <c r="G810" s="6"/>
      <c r="H810" s="1" t="s">
        <v>37</v>
      </c>
      <c r="I810" s="1" t="s">
        <v>34</v>
      </c>
      <c r="J810" s="1" t="n">
        <f aca="false">K809</f>
        <v>169664</v>
      </c>
      <c r="K810" s="1" t="n">
        <f aca="false">J810+L810</f>
        <v>169704</v>
      </c>
      <c r="L810" s="1" t="n">
        <v>40</v>
      </c>
      <c r="M810" s="1" t="n">
        <f aca="false">(E810+M809)-N810</f>
        <v>32.17</v>
      </c>
      <c r="N810" s="1" t="n">
        <v>4.8</v>
      </c>
    </row>
    <row r="811" customFormat="false" ht="15" hidden="false" customHeight="true" outlineLevel="0" collapsed="false">
      <c r="D811" s="11"/>
      <c r="G811" s="6"/>
      <c r="H811" s="1" t="s">
        <v>34</v>
      </c>
      <c r="I811" s="1" t="s">
        <v>54</v>
      </c>
      <c r="J811" s="1" t="n">
        <f aca="false">K810</f>
        <v>169704</v>
      </c>
      <c r="K811" s="1" t="n">
        <f aca="false">J811+L811</f>
        <v>169731</v>
      </c>
      <c r="L811" s="1" t="n">
        <v>27</v>
      </c>
      <c r="M811" s="1" t="n">
        <f aca="false">(E811+M810)-N811</f>
        <v>28.97</v>
      </c>
      <c r="N811" s="1" t="n">
        <v>3.2</v>
      </c>
    </row>
    <row r="812" customFormat="false" ht="15" hidden="false" customHeight="true" outlineLevel="0" collapsed="false">
      <c r="D812" s="11"/>
      <c r="G812" s="6"/>
      <c r="H812" s="1" t="s">
        <v>54</v>
      </c>
      <c r="I812" s="1" t="s">
        <v>34</v>
      </c>
      <c r="J812" s="1" t="n">
        <f aca="false">K811</f>
        <v>169731</v>
      </c>
      <c r="K812" s="1" t="n">
        <f aca="false">J812+L812</f>
        <v>169758</v>
      </c>
      <c r="L812" s="1" t="n">
        <v>27</v>
      </c>
      <c r="M812" s="1" t="n">
        <f aca="false">(E812+M811)-N812</f>
        <v>25.77</v>
      </c>
      <c r="N812" s="1" t="n">
        <v>3.2</v>
      </c>
    </row>
    <row r="813" customFormat="false" ht="15" hidden="false" customHeight="true" outlineLevel="0" collapsed="false">
      <c r="D813" s="11" t="n">
        <v>44917</v>
      </c>
      <c r="H813" s="1" t="s">
        <v>34</v>
      </c>
      <c r="I813" s="1" t="s">
        <v>35</v>
      </c>
      <c r="J813" s="1" t="n">
        <f aca="false">K812</f>
        <v>169758</v>
      </c>
      <c r="K813" s="1" t="n">
        <f aca="false">J813+L813</f>
        <v>169770</v>
      </c>
      <c r="L813" s="1" t="n">
        <v>12</v>
      </c>
      <c r="M813" s="1" t="n">
        <f aca="false">(E813+M812)-N813</f>
        <v>24.52</v>
      </c>
      <c r="N813" s="1" t="n">
        <v>1.25</v>
      </c>
    </row>
    <row r="814" customFormat="false" ht="15" hidden="false" customHeight="true" outlineLevel="0" collapsed="false">
      <c r="D814" s="11"/>
      <c r="H814" s="1" t="s">
        <v>35</v>
      </c>
      <c r="I814" s="1" t="s">
        <v>34</v>
      </c>
      <c r="J814" s="1" t="n">
        <f aca="false">K813</f>
        <v>169770</v>
      </c>
      <c r="K814" s="1" t="n">
        <f aca="false">J814+L814</f>
        <v>169782</v>
      </c>
      <c r="L814" s="1" t="n">
        <v>12</v>
      </c>
      <c r="M814" s="1" t="n">
        <f aca="false">(E814+M813)-N814</f>
        <v>23.27</v>
      </c>
      <c r="N814" s="1" t="n">
        <v>1.25</v>
      </c>
    </row>
    <row r="815" customFormat="false" ht="15" hidden="false" customHeight="true" outlineLevel="0" collapsed="false">
      <c r="D815" s="11"/>
      <c r="H815" s="1" t="s">
        <v>34</v>
      </c>
      <c r="I815" s="1" t="s">
        <v>37</v>
      </c>
      <c r="J815" s="1" t="n">
        <f aca="false">K814</f>
        <v>169782</v>
      </c>
      <c r="K815" s="1" t="n">
        <f aca="false">J815+L815</f>
        <v>169822</v>
      </c>
      <c r="L815" s="1" t="n">
        <v>40</v>
      </c>
      <c r="M815" s="1" t="n">
        <f aca="false">(E815+M814)-N815</f>
        <v>18.47</v>
      </c>
      <c r="N815" s="1" t="n">
        <v>4.8</v>
      </c>
    </row>
    <row r="816" customFormat="false" ht="15" hidden="false" customHeight="true" outlineLevel="0" collapsed="false">
      <c r="D816" s="11"/>
      <c r="H816" s="1" t="s">
        <v>37</v>
      </c>
      <c r="I816" s="1" t="s">
        <v>34</v>
      </c>
      <c r="J816" s="1" t="n">
        <f aca="false">K815</f>
        <v>169822</v>
      </c>
      <c r="K816" s="1" t="n">
        <f aca="false">J816+L816</f>
        <v>169862</v>
      </c>
      <c r="L816" s="1" t="n">
        <v>40</v>
      </c>
      <c r="M816" s="1" t="n">
        <f aca="false">(E816+M815)-N816</f>
        <v>13.67</v>
      </c>
      <c r="N816" s="1" t="n">
        <v>4.8</v>
      </c>
    </row>
    <row r="817" customFormat="false" ht="15" hidden="false" customHeight="true" outlineLevel="0" collapsed="false">
      <c r="D817" s="11" t="n">
        <v>44918</v>
      </c>
      <c r="H817" s="1" t="s">
        <v>34</v>
      </c>
      <c r="I817" s="1" t="s">
        <v>32</v>
      </c>
      <c r="J817" s="1" t="n">
        <f aca="false">K816</f>
        <v>169862</v>
      </c>
      <c r="K817" s="1" t="n">
        <f aca="false">J817+L817</f>
        <v>169887</v>
      </c>
      <c r="L817" s="1" t="n">
        <v>25</v>
      </c>
      <c r="M817" s="1" t="n">
        <f aca="false">(E817+M816)-N817</f>
        <v>10.67</v>
      </c>
      <c r="N817" s="1" t="n">
        <v>3</v>
      </c>
    </row>
    <row r="818" customFormat="false" ht="15" hidden="false" customHeight="true" outlineLevel="0" collapsed="false">
      <c r="D818" s="11"/>
      <c r="H818" s="1" t="s">
        <v>32</v>
      </c>
      <c r="I818" s="1" t="s">
        <v>34</v>
      </c>
      <c r="J818" s="1" t="n">
        <f aca="false">K817</f>
        <v>169887</v>
      </c>
      <c r="K818" s="1" t="n">
        <f aca="false">J818+L818</f>
        <v>169912</v>
      </c>
      <c r="L818" s="1" t="n">
        <v>25</v>
      </c>
      <c r="M818" s="1" t="n">
        <f aca="false">(E818+M817)-N818</f>
        <v>7.66999999999999</v>
      </c>
      <c r="N818" s="1" t="n">
        <v>3</v>
      </c>
    </row>
    <row r="819" customFormat="false" ht="15" hidden="false" customHeight="true" outlineLevel="0" collapsed="false">
      <c r="D819" s="11" t="n">
        <v>44921</v>
      </c>
      <c r="E819" s="0" t="n">
        <v>34.1</v>
      </c>
      <c r="F819" s="1" t="n">
        <v>51.6</v>
      </c>
      <c r="G819" s="6" t="n">
        <f aca="false">E819*F819</f>
        <v>1759.56</v>
      </c>
      <c r="H819" s="1" t="s">
        <v>34</v>
      </c>
      <c r="I819" s="1" t="s">
        <v>35</v>
      </c>
      <c r="J819" s="1" t="n">
        <f aca="false">K818</f>
        <v>169912</v>
      </c>
      <c r="K819" s="1" t="n">
        <f aca="false">J819+L819</f>
        <v>169924</v>
      </c>
      <c r="L819" s="1" t="n">
        <v>12</v>
      </c>
      <c r="M819" s="1" t="n">
        <f aca="false">(E819+M818)-N819</f>
        <v>40.52</v>
      </c>
      <c r="N819" s="1" t="n">
        <v>1.25</v>
      </c>
    </row>
    <row r="820" customFormat="false" ht="15" hidden="false" customHeight="true" outlineLevel="0" collapsed="false">
      <c r="D820" s="11"/>
      <c r="G820" s="6"/>
      <c r="H820" s="1" t="s">
        <v>35</v>
      </c>
      <c r="I820" s="1" t="s">
        <v>34</v>
      </c>
      <c r="J820" s="1" t="n">
        <f aca="false">K819</f>
        <v>169924</v>
      </c>
      <c r="K820" s="1" t="n">
        <f aca="false">J820+L820</f>
        <v>169936</v>
      </c>
      <c r="L820" s="1" t="n">
        <v>12</v>
      </c>
      <c r="M820" s="1" t="n">
        <f aca="false">(E820+M819)-N820</f>
        <v>39.27</v>
      </c>
      <c r="N820" s="1" t="n">
        <v>1.25</v>
      </c>
    </row>
    <row r="821" customFormat="false" ht="15" hidden="false" customHeight="true" outlineLevel="0" collapsed="false">
      <c r="D821" s="11"/>
      <c r="G821" s="6"/>
      <c r="H821" s="1" t="s">
        <v>34</v>
      </c>
      <c r="I821" s="1" t="s">
        <v>43</v>
      </c>
      <c r="J821" s="1" t="n">
        <f aca="false">K820</f>
        <v>169936</v>
      </c>
      <c r="K821" s="1" t="n">
        <f aca="false">J821+L821</f>
        <v>169948</v>
      </c>
      <c r="L821" s="1" t="n">
        <v>12</v>
      </c>
      <c r="M821" s="1" t="n">
        <f aca="false">(E821+M820)-N821</f>
        <v>38.02</v>
      </c>
      <c r="N821" s="1" t="n">
        <v>1.25</v>
      </c>
    </row>
    <row r="822" customFormat="false" ht="15" hidden="false" customHeight="true" outlineLevel="0" collapsed="false">
      <c r="D822" s="11"/>
      <c r="G822" s="6"/>
      <c r="H822" s="1" t="s">
        <v>43</v>
      </c>
      <c r="I822" s="1" t="s">
        <v>34</v>
      </c>
      <c r="J822" s="1" t="n">
        <f aca="false">K821</f>
        <v>169948</v>
      </c>
      <c r="K822" s="1" t="n">
        <f aca="false">J822+L822</f>
        <v>169960</v>
      </c>
      <c r="L822" s="1" t="n">
        <v>12</v>
      </c>
      <c r="M822" s="1" t="n">
        <f aca="false">(E822+M821)-N822</f>
        <v>36.77</v>
      </c>
      <c r="N822" s="1" t="n">
        <v>1.25</v>
      </c>
    </row>
    <row r="823" customFormat="false" ht="15" hidden="false" customHeight="true" outlineLevel="0" collapsed="false">
      <c r="D823" s="11" t="n">
        <v>44922</v>
      </c>
      <c r="H823" s="1" t="s">
        <v>34</v>
      </c>
      <c r="I823" s="1" t="s">
        <v>24</v>
      </c>
      <c r="J823" s="1" t="n">
        <f aca="false">K822</f>
        <v>169960</v>
      </c>
      <c r="K823" s="1" t="n">
        <f aca="false">J823+L823</f>
        <v>169974</v>
      </c>
      <c r="L823" s="1" t="n">
        <v>14</v>
      </c>
      <c r="M823" s="1" t="n">
        <f aca="false">(E823+M822)-N823</f>
        <v>35.27</v>
      </c>
      <c r="N823" s="1" t="n">
        <v>1.5</v>
      </c>
    </row>
    <row r="824" customFormat="false" ht="15" hidden="false" customHeight="true" outlineLevel="0" collapsed="false">
      <c r="D824" s="11"/>
      <c r="H824" s="1" t="s">
        <v>24</v>
      </c>
      <c r="I824" s="1" t="s">
        <v>34</v>
      </c>
      <c r="J824" s="1" t="n">
        <f aca="false">K823</f>
        <v>169974</v>
      </c>
      <c r="K824" s="1" t="n">
        <f aca="false">J824+L824</f>
        <v>169988</v>
      </c>
      <c r="L824" s="1" t="n">
        <v>14</v>
      </c>
      <c r="M824" s="1" t="n">
        <f aca="false">(E824+M823)-N824</f>
        <v>33.77</v>
      </c>
      <c r="N824" s="1" t="n">
        <v>1.5</v>
      </c>
    </row>
    <row r="825" customFormat="false" ht="15" hidden="false" customHeight="true" outlineLevel="0" collapsed="false">
      <c r="D825" s="11" t="n">
        <v>44923</v>
      </c>
      <c r="H825" s="1" t="s">
        <v>34</v>
      </c>
      <c r="I825" s="1" t="s">
        <v>37</v>
      </c>
      <c r="J825" s="1" t="n">
        <f aca="false">K824</f>
        <v>169988</v>
      </c>
      <c r="K825" s="1" t="n">
        <f aca="false">J825+L825</f>
        <v>170028</v>
      </c>
      <c r="L825" s="1" t="n">
        <v>40</v>
      </c>
      <c r="M825" s="1" t="n">
        <f aca="false">(E825+M824)-N825</f>
        <v>28.97</v>
      </c>
      <c r="N825" s="1" t="n">
        <v>4.8</v>
      </c>
    </row>
    <row r="826" customFormat="false" ht="15" hidden="false" customHeight="true" outlineLevel="0" collapsed="false">
      <c r="D826" s="11"/>
      <c r="H826" s="1" t="s">
        <v>37</v>
      </c>
      <c r="I826" s="1" t="s">
        <v>34</v>
      </c>
      <c r="J826" s="1" t="n">
        <f aca="false">K825</f>
        <v>170028</v>
      </c>
      <c r="K826" s="1" t="n">
        <f aca="false">J826+L826</f>
        <v>170068</v>
      </c>
      <c r="L826" s="1" t="n">
        <v>40</v>
      </c>
      <c r="M826" s="1" t="n">
        <f aca="false">(E826+M825)-N826</f>
        <v>24.17</v>
      </c>
      <c r="N826" s="1" t="n">
        <v>4.8</v>
      </c>
    </row>
    <row r="827" customFormat="false" ht="15" hidden="false" customHeight="true" outlineLevel="0" collapsed="false">
      <c r="D827" s="11"/>
      <c r="H827" s="1" t="s">
        <v>34</v>
      </c>
      <c r="I827" s="1" t="s">
        <v>32</v>
      </c>
      <c r="J827" s="1" t="n">
        <f aca="false">K826</f>
        <v>170068</v>
      </c>
      <c r="K827" s="1" t="n">
        <f aca="false">J827+L827</f>
        <v>170093</v>
      </c>
      <c r="L827" s="1" t="n">
        <v>25</v>
      </c>
      <c r="M827" s="1" t="n">
        <f aca="false">(E827+M826)-N827</f>
        <v>21.17</v>
      </c>
      <c r="N827" s="1" t="n">
        <v>3</v>
      </c>
    </row>
    <row r="828" customFormat="false" ht="15" hidden="false" customHeight="true" outlineLevel="0" collapsed="false">
      <c r="D828" s="11"/>
      <c r="H828" s="1" t="s">
        <v>32</v>
      </c>
      <c r="I828" s="1" t="s">
        <v>34</v>
      </c>
      <c r="J828" s="1" t="n">
        <f aca="false">K827</f>
        <v>170093</v>
      </c>
      <c r="K828" s="1" t="n">
        <f aca="false">J828+L828</f>
        <v>170118</v>
      </c>
      <c r="L828" s="1" t="n">
        <v>25</v>
      </c>
      <c r="M828" s="1" t="n">
        <f aca="false">(E828+M827)-N828</f>
        <v>18.17</v>
      </c>
      <c r="N828" s="1" t="n">
        <v>3</v>
      </c>
    </row>
    <row r="829" customFormat="false" ht="15" hidden="false" customHeight="true" outlineLevel="0" collapsed="false">
      <c r="D829" s="11" t="n">
        <v>44924</v>
      </c>
      <c r="H829" s="1" t="s">
        <v>34</v>
      </c>
      <c r="I829" s="1" t="s">
        <v>35</v>
      </c>
      <c r="J829" s="1" t="n">
        <f aca="false">K828</f>
        <v>170118</v>
      </c>
      <c r="K829" s="1" t="n">
        <f aca="false">J829+L829</f>
        <v>170130</v>
      </c>
      <c r="L829" s="1" t="n">
        <v>12</v>
      </c>
      <c r="M829" s="1" t="n">
        <f aca="false">(E829+M828)-N829</f>
        <v>16.92</v>
      </c>
      <c r="N829" s="1" t="n">
        <v>1.25</v>
      </c>
    </row>
    <row r="830" customFormat="false" ht="15" hidden="false" customHeight="true" outlineLevel="0" collapsed="false">
      <c r="D830" s="11"/>
      <c r="H830" s="1" t="s">
        <v>35</v>
      </c>
      <c r="I830" s="1" t="s">
        <v>34</v>
      </c>
      <c r="J830" s="1" t="n">
        <f aca="false">K829</f>
        <v>170130</v>
      </c>
      <c r="K830" s="1" t="n">
        <f aca="false">J830+L830</f>
        <v>170142</v>
      </c>
      <c r="L830" s="1" t="n">
        <v>12</v>
      </c>
      <c r="M830" s="1" t="n">
        <f aca="false">(E830+M829)-N830</f>
        <v>15.67</v>
      </c>
      <c r="N830" s="1" t="n">
        <v>1.25</v>
      </c>
    </row>
    <row r="831" customFormat="false" ht="15" hidden="false" customHeight="true" outlineLevel="0" collapsed="false">
      <c r="D831" s="11"/>
      <c r="H831" s="1" t="s">
        <v>34</v>
      </c>
      <c r="I831" s="1" t="s">
        <v>24</v>
      </c>
      <c r="J831" s="1" t="n">
        <f aca="false">K830</f>
        <v>170142</v>
      </c>
      <c r="K831" s="1" t="n">
        <f aca="false">J831+L831</f>
        <v>170156</v>
      </c>
      <c r="L831" s="1" t="n">
        <v>14</v>
      </c>
      <c r="M831" s="1" t="n">
        <f aca="false">(E831+M830)-N831</f>
        <v>14.17</v>
      </c>
      <c r="N831" s="1" t="n">
        <v>1.5</v>
      </c>
    </row>
    <row r="832" customFormat="false" ht="15" hidden="false" customHeight="true" outlineLevel="0" collapsed="false">
      <c r="D832" s="11"/>
      <c r="H832" s="1" t="s">
        <v>24</v>
      </c>
      <c r="I832" s="1" t="s">
        <v>34</v>
      </c>
      <c r="J832" s="1" t="n">
        <f aca="false">K831</f>
        <v>170156</v>
      </c>
      <c r="K832" s="1" t="n">
        <f aca="false">J832+L832</f>
        <v>170170</v>
      </c>
      <c r="L832" s="1" t="n">
        <v>14</v>
      </c>
      <c r="M832" s="1" t="n">
        <f aca="false">(E832+M831)-N832</f>
        <v>12.67</v>
      </c>
      <c r="N832" s="1" t="n">
        <v>1.5</v>
      </c>
    </row>
    <row r="833" customFormat="false" ht="15" hidden="false" customHeight="true" outlineLevel="0" collapsed="false">
      <c r="D833" s="11"/>
      <c r="H833" s="1" t="s">
        <v>34</v>
      </c>
      <c r="I833" s="1" t="s">
        <v>49</v>
      </c>
      <c r="J833" s="1" t="n">
        <f aca="false">K832</f>
        <v>170170</v>
      </c>
      <c r="K833" s="1" t="n">
        <f aca="false">J833+L833</f>
        <v>170197</v>
      </c>
      <c r="L833" s="1" t="n">
        <v>27</v>
      </c>
      <c r="M833" s="1" t="n">
        <f aca="false">(E833+M832)-N833</f>
        <v>9.46999999999999</v>
      </c>
      <c r="N833" s="1" t="n">
        <v>3.2</v>
      </c>
    </row>
    <row r="834" customFormat="false" ht="15" hidden="false" customHeight="true" outlineLevel="0" collapsed="false">
      <c r="D834" s="11"/>
      <c r="H834" s="1" t="s">
        <v>49</v>
      </c>
      <c r="I834" s="1" t="s">
        <v>34</v>
      </c>
      <c r="J834" s="1" t="n">
        <f aca="false">K833</f>
        <v>170197</v>
      </c>
      <c r="K834" s="1" t="n">
        <f aca="false">J834+L834</f>
        <v>170224</v>
      </c>
      <c r="L834" s="1" t="n">
        <v>27</v>
      </c>
      <c r="M834" s="1" t="n">
        <f aca="false">(E834+M833)-N834</f>
        <v>6.26999999999999</v>
      </c>
      <c r="N834" s="1" t="n">
        <v>3.2</v>
      </c>
    </row>
    <row r="835" customFormat="false" ht="15" hidden="false" customHeight="true" outlineLevel="0" collapsed="false">
      <c r="D835" s="11" t="n">
        <v>44925</v>
      </c>
      <c r="E835" s="0" t="n">
        <v>34.85</v>
      </c>
      <c r="F835" s="1" t="n">
        <v>51.2</v>
      </c>
      <c r="G835" s="6" t="n">
        <f aca="false">E835*F835</f>
        <v>1784.32</v>
      </c>
      <c r="H835" s="1" t="s">
        <v>34</v>
      </c>
      <c r="I835" s="1" t="s">
        <v>35</v>
      </c>
      <c r="J835" s="1" t="n">
        <f aca="false">K834</f>
        <v>170224</v>
      </c>
      <c r="K835" s="1" t="n">
        <f aca="false">J835+L835</f>
        <v>170236</v>
      </c>
      <c r="L835" s="1" t="n">
        <v>12</v>
      </c>
      <c r="M835" s="1" t="n">
        <f aca="false">(E835+M834)-N835</f>
        <v>39.87</v>
      </c>
      <c r="N835" s="1" t="n">
        <v>1.25</v>
      </c>
    </row>
    <row r="836" customFormat="false" ht="15" hidden="false" customHeight="true" outlineLevel="0" collapsed="false">
      <c r="D836" s="11"/>
      <c r="H836" s="1" t="s">
        <v>35</v>
      </c>
      <c r="I836" s="1" t="s">
        <v>34</v>
      </c>
      <c r="J836" s="1" t="n">
        <f aca="false">K835</f>
        <v>170236</v>
      </c>
      <c r="K836" s="1" t="n">
        <f aca="false">J836+L836</f>
        <v>170248</v>
      </c>
      <c r="L836" s="1" t="n">
        <v>12</v>
      </c>
      <c r="M836" s="1" t="n">
        <f aca="false">(E836+M835)-N836</f>
        <v>38.62</v>
      </c>
      <c r="N836" s="1" t="n">
        <v>1.25</v>
      </c>
    </row>
    <row r="837" customFormat="false" ht="15" hidden="false" customHeight="true" outlineLevel="0" collapsed="false">
      <c r="D837" s="11"/>
      <c r="H837" s="1" t="s">
        <v>34</v>
      </c>
      <c r="I837" s="1" t="s">
        <v>37</v>
      </c>
      <c r="J837" s="1" t="n">
        <f aca="false">K836</f>
        <v>170248</v>
      </c>
      <c r="K837" s="1" t="n">
        <f aca="false">J837+L837</f>
        <v>170288</v>
      </c>
      <c r="L837" s="1" t="n">
        <v>40</v>
      </c>
      <c r="M837" s="1" t="n">
        <f aca="false">(E837+M836)-N837</f>
        <v>33.82</v>
      </c>
      <c r="N837" s="1" t="n">
        <v>4.8</v>
      </c>
    </row>
    <row r="838" customFormat="false" ht="15" hidden="false" customHeight="true" outlineLevel="0" collapsed="false">
      <c r="H838" s="1" t="s">
        <v>37</v>
      </c>
      <c r="I838" s="1" t="s">
        <v>34</v>
      </c>
      <c r="J838" s="1" t="n">
        <f aca="false">K837</f>
        <v>170288</v>
      </c>
      <c r="K838" s="1" t="n">
        <f aca="false">J838+L838</f>
        <v>170328</v>
      </c>
      <c r="L838" s="1" t="n">
        <v>40</v>
      </c>
      <c r="M838" s="1" t="n">
        <f aca="false">(E838+M837)-N838</f>
        <v>29.02</v>
      </c>
      <c r="N838" s="1" t="n">
        <v>4.8</v>
      </c>
    </row>
    <row r="839" customFormat="false" ht="15" hidden="false" customHeight="true" outlineLevel="0" collapsed="false">
      <c r="H839" s="1" t="s">
        <v>34</v>
      </c>
      <c r="I839" s="1" t="s">
        <v>32</v>
      </c>
      <c r="J839" s="1" t="n">
        <f aca="false">K838</f>
        <v>170328</v>
      </c>
      <c r="K839" s="1" t="n">
        <f aca="false">J839+L839</f>
        <v>170353</v>
      </c>
      <c r="L839" s="1" t="n">
        <v>25</v>
      </c>
      <c r="M839" s="1" t="n">
        <f aca="false">(E839+M838)-N839</f>
        <v>26.02</v>
      </c>
      <c r="N839" s="1" t="n">
        <v>3</v>
      </c>
    </row>
    <row r="840" customFormat="false" ht="15" hidden="false" customHeight="true" outlineLevel="0" collapsed="false">
      <c r="H840" s="1" t="s">
        <v>32</v>
      </c>
      <c r="I840" s="1" t="s">
        <v>34</v>
      </c>
      <c r="J840" s="1" t="n">
        <f aca="false">K839</f>
        <v>170353</v>
      </c>
      <c r="K840" s="1" t="n">
        <f aca="false">J840+L840</f>
        <v>170378</v>
      </c>
      <c r="L840" s="1" t="n">
        <v>25</v>
      </c>
      <c r="M840" s="1" t="n">
        <f aca="false">(E840+M839)-N840</f>
        <v>23.02</v>
      </c>
      <c r="N840" s="1" t="n">
        <v>3</v>
      </c>
    </row>
    <row r="843" customFormat="false" ht="15" hidden="false" customHeight="true" outlineLevel="0" collapsed="false">
      <c r="D843" s="4" t="s">
        <v>56</v>
      </c>
      <c r="E843" s="4"/>
      <c r="F843" s="4"/>
      <c r="G843" s="4"/>
    </row>
    <row r="844" customFormat="false" ht="15" hidden="false" customHeight="true" outlineLevel="0" collapsed="false">
      <c r="D844" s="11" t="n">
        <v>44935</v>
      </c>
      <c r="E844" s="13"/>
      <c r="F844" s="13"/>
      <c r="G844" s="13"/>
      <c r="H844" s="1" t="s">
        <v>34</v>
      </c>
      <c r="I844" s="1" t="s">
        <v>35</v>
      </c>
      <c r="J844" s="1" t="n">
        <f aca="false">K840</f>
        <v>170378</v>
      </c>
      <c r="K844" s="1" t="n">
        <f aca="false">J844+L844</f>
        <v>170390</v>
      </c>
      <c r="L844" s="1" t="n">
        <v>12</v>
      </c>
      <c r="M844" s="14" t="n">
        <f aca="false">(E844+M840)-N844</f>
        <v>21.77</v>
      </c>
      <c r="N844" s="1" t="n">
        <v>1.25</v>
      </c>
    </row>
    <row r="845" customFormat="false" ht="15" hidden="false" customHeight="true" outlineLevel="0" collapsed="false">
      <c r="D845" s="13"/>
      <c r="E845" s="13"/>
      <c r="F845" s="13"/>
      <c r="G845" s="13"/>
      <c r="H845" s="1" t="s">
        <v>35</v>
      </c>
      <c r="I845" s="1" t="s">
        <v>34</v>
      </c>
      <c r="J845" s="1" t="n">
        <f aca="false">K844</f>
        <v>170390</v>
      </c>
      <c r="K845" s="1" t="n">
        <f aca="false">J845+L845</f>
        <v>170402</v>
      </c>
      <c r="L845" s="1" t="n">
        <v>12</v>
      </c>
      <c r="M845" s="1" t="n">
        <f aca="false">(E845+M844)-N845</f>
        <v>20.52</v>
      </c>
      <c r="N845" s="1" t="n">
        <v>1.25</v>
      </c>
    </row>
    <row r="846" customFormat="false" ht="15" hidden="false" customHeight="true" outlineLevel="0" collapsed="false">
      <c r="H846" s="1" t="s">
        <v>34</v>
      </c>
      <c r="I846" s="1" t="s">
        <v>32</v>
      </c>
      <c r="J846" s="1" t="n">
        <f aca="false">K845</f>
        <v>170402</v>
      </c>
      <c r="K846" s="1" t="n">
        <f aca="false">J846+L846</f>
        <v>170427</v>
      </c>
      <c r="L846" s="1" t="n">
        <v>25</v>
      </c>
      <c r="M846" s="1" t="n">
        <f aca="false">(E846+M845)-N846</f>
        <v>17.52</v>
      </c>
      <c r="N846" s="1" t="n">
        <v>3</v>
      </c>
    </row>
    <row r="847" customFormat="false" ht="15" hidden="false" customHeight="true" outlineLevel="0" collapsed="false">
      <c r="H847" s="1" t="s">
        <v>32</v>
      </c>
      <c r="I847" s="1" t="s">
        <v>34</v>
      </c>
      <c r="J847" s="1" t="n">
        <f aca="false">K846</f>
        <v>170427</v>
      </c>
      <c r="K847" s="1" t="n">
        <f aca="false">J847+L847</f>
        <v>170452</v>
      </c>
      <c r="L847" s="1" t="n">
        <v>25</v>
      </c>
      <c r="M847" s="1" t="n">
        <f aca="false">(E847+M846)-N847</f>
        <v>14.52</v>
      </c>
      <c r="N847" s="1" t="n">
        <v>3</v>
      </c>
    </row>
    <row r="848" customFormat="false" ht="15" hidden="false" customHeight="true" outlineLevel="0" collapsed="false">
      <c r="H848" s="1" t="s">
        <v>34</v>
      </c>
      <c r="I848" s="1" t="s">
        <v>24</v>
      </c>
      <c r="J848" s="1" t="n">
        <f aca="false">K847</f>
        <v>170452</v>
      </c>
      <c r="K848" s="1" t="n">
        <f aca="false">J848+L848</f>
        <v>170466</v>
      </c>
      <c r="L848" s="1" t="n">
        <v>14</v>
      </c>
      <c r="M848" s="1" t="n">
        <f aca="false">(E848+M847)-N848</f>
        <v>13.02</v>
      </c>
      <c r="N848" s="1" t="n">
        <v>1.5</v>
      </c>
    </row>
    <row r="849" customFormat="false" ht="15" hidden="false" customHeight="true" outlineLevel="0" collapsed="false">
      <c r="H849" s="1" t="s">
        <v>24</v>
      </c>
      <c r="I849" s="1" t="s">
        <v>34</v>
      </c>
      <c r="J849" s="1" t="n">
        <f aca="false">K848</f>
        <v>170466</v>
      </c>
      <c r="K849" s="1" t="n">
        <f aca="false">J849+L849</f>
        <v>170480</v>
      </c>
      <c r="L849" s="1" t="n">
        <v>14</v>
      </c>
      <c r="M849" s="1" t="n">
        <f aca="false">(E849+M848)-N849</f>
        <v>11.52</v>
      </c>
      <c r="N849" s="1" t="n">
        <v>1.5</v>
      </c>
    </row>
    <row r="850" customFormat="false" ht="15" hidden="false" customHeight="true" outlineLevel="0" collapsed="false">
      <c r="H850" s="1" t="s">
        <v>34</v>
      </c>
      <c r="I850" s="1" t="s">
        <v>49</v>
      </c>
      <c r="J850" s="1" t="n">
        <f aca="false">K849</f>
        <v>170480</v>
      </c>
      <c r="K850" s="1" t="n">
        <f aca="false">J850+L850</f>
        <v>170507</v>
      </c>
      <c r="L850" s="1" t="n">
        <v>27</v>
      </c>
      <c r="M850" s="1" t="n">
        <f aca="false">(E850+M849)-N850</f>
        <v>8.31999999999999</v>
      </c>
      <c r="N850" s="1" t="n">
        <v>3.2</v>
      </c>
    </row>
    <row r="851" customFormat="false" ht="15" hidden="false" customHeight="true" outlineLevel="0" collapsed="false">
      <c r="H851" s="1" t="s">
        <v>49</v>
      </c>
      <c r="I851" s="1" t="s">
        <v>34</v>
      </c>
      <c r="J851" s="1" t="n">
        <f aca="false">K850</f>
        <v>170507</v>
      </c>
      <c r="K851" s="1" t="n">
        <f aca="false">J851+L851</f>
        <v>170534</v>
      </c>
      <c r="L851" s="1" t="n">
        <v>27</v>
      </c>
      <c r="M851" s="1" t="n">
        <f aca="false">(E851+M850)-N851</f>
        <v>5.11999999999999</v>
      </c>
      <c r="N851" s="1" t="n">
        <v>3.2</v>
      </c>
    </row>
    <row r="852" customFormat="false" ht="15" hidden="false" customHeight="true" outlineLevel="0" collapsed="false">
      <c r="D852" s="11" t="n">
        <v>44936</v>
      </c>
      <c r="E852" s="15" t="s">
        <v>50</v>
      </c>
      <c r="H852" s="1"/>
      <c r="I852" s="1"/>
      <c r="M852" s="1"/>
    </row>
    <row r="853" customFormat="false" ht="15" hidden="false" customHeight="true" outlineLevel="0" collapsed="false">
      <c r="D853" s="11" t="n">
        <v>44937</v>
      </c>
      <c r="E853" s="15" t="s">
        <v>50</v>
      </c>
    </row>
    <row r="854" customFormat="false" ht="15" hidden="false" customHeight="true" outlineLevel="0" collapsed="false">
      <c r="D854" s="11" t="n">
        <v>44938</v>
      </c>
      <c r="E854" s="15" t="s">
        <v>50</v>
      </c>
    </row>
    <row r="855" customFormat="false" ht="15" hidden="false" customHeight="true" outlineLevel="0" collapsed="false">
      <c r="D855" s="11" t="n">
        <v>44939</v>
      </c>
      <c r="E855" s="15" t="s">
        <v>50</v>
      </c>
    </row>
    <row r="856" customFormat="false" ht="15" hidden="false" customHeight="true" outlineLevel="0" collapsed="false">
      <c r="D856" s="11"/>
    </row>
    <row r="857" customFormat="false" ht="15" hidden="false" customHeight="true" outlineLevel="0" collapsed="false">
      <c r="D857" s="11"/>
    </row>
    <row r="858" customFormat="false" ht="15" hidden="false" customHeight="true" outlineLevel="0" collapsed="false">
      <c r="D858" s="11" t="n">
        <v>44942</v>
      </c>
      <c r="E858" s="15" t="s">
        <v>50</v>
      </c>
    </row>
    <row r="859" customFormat="false" ht="15" hidden="false" customHeight="true" outlineLevel="0" collapsed="false">
      <c r="D859" s="11" t="n">
        <v>44943</v>
      </c>
      <c r="E859" s="15" t="s">
        <v>50</v>
      </c>
    </row>
    <row r="860" customFormat="false" ht="15" hidden="false" customHeight="true" outlineLevel="0" collapsed="false">
      <c r="D860" s="11" t="n">
        <v>44944</v>
      </c>
      <c r="E860" s="15" t="s">
        <v>50</v>
      </c>
    </row>
    <row r="861" customFormat="false" ht="15" hidden="false" customHeight="true" outlineLevel="0" collapsed="false">
      <c r="D861" s="11" t="n">
        <v>44945</v>
      </c>
      <c r="E861" s="15" t="s">
        <v>50</v>
      </c>
    </row>
    <row r="862" customFormat="false" ht="15" hidden="false" customHeight="true" outlineLevel="0" collapsed="false">
      <c r="D862" s="11" t="n">
        <v>44946</v>
      </c>
      <c r="E862" s="15" t="s">
        <v>50</v>
      </c>
    </row>
    <row r="863" customFormat="false" ht="15" hidden="false" customHeight="true" outlineLevel="0" collapsed="false">
      <c r="D863" s="11" t="n">
        <v>44949</v>
      </c>
      <c r="H863" s="1" t="s">
        <v>34</v>
      </c>
      <c r="I863" s="1" t="s">
        <v>35</v>
      </c>
      <c r="J863" s="1" t="n">
        <f aca="false">K851</f>
        <v>170534</v>
      </c>
      <c r="K863" s="1" t="n">
        <f aca="false">J863+L863</f>
        <v>170546</v>
      </c>
      <c r="L863" s="1" t="n">
        <v>12</v>
      </c>
      <c r="M863" s="1" t="n">
        <f aca="false">(E863+M851)-N863</f>
        <v>3.86999999999999</v>
      </c>
      <c r="N863" s="1" t="n">
        <v>1.25</v>
      </c>
    </row>
    <row r="864" customFormat="false" ht="15" hidden="false" customHeight="true" outlineLevel="0" collapsed="false">
      <c r="D864" s="11"/>
      <c r="H864" s="1" t="s">
        <v>35</v>
      </c>
      <c r="I864" s="1" t="s">
        <v>34</v>
      </c>
      <c r="J864" s="1" t="n">
        <f aca="false">K863</f>
        <v>170546</v>
      </c>
      <c r="K864" s="1" t="n">
        <f aca="false">J864+L864</f>
        <v>170558</v>
      </c>
      <c r="L864" s="1" t="n">
        <v>12</v>
      </c>
      <c r="M864" s="1" t="n">
        <f aca="false">(E864+M863)-N864</f>
        <v>2.61999999999999</v>
      </c>
      <c r="N864" s="1" t="n">
        <v>1.25</v>
      </c>
    </row>
    <row r="865" customFormat="false" ht="15" hidden="false" customHeight="true" outlineLevel="0" collapsed="false">
      <c r="D865" s="11" t="n">
        <v>44950</v>
      </c>
      <c r="H865" s="1" t="s">
        <v>34</v>
      </c>
      <c r="I865" s="1" t="s">
        <v>35</v>
      </c>
      <c r="J865" s="1" t="n">
        <f aca="false">K864</f>
        <v>170558</v>
      </c>
      <c r="K865" s="1" t="n">
        <f aca="false">J865+L865</f>
        <v>170570</v>
      </c>
      <c r="L865" s="1" t="n">
        <v>12</v>
      </c>
      <c r="M865" s="1" t="n">
        <f aca="false">(E865+M864)-N865</f>
        <v>1.36999999999999</v>
      </c>
      <c r="N865" s="1" t="n">
        <v>1.25</v>
      </c>
    </row>
    <row r="866" customFormat="false" ht="15" hidden="false" customHeight="true" outlineLevel="0" collapsed="false">
      <c r="D866" s="11"/>
      <c r="H866" s="1" t="s">
        <v>35</v>
      </c>
      <c r="I866" s="1" t="s">
        <v>34</v>
      </c>
      <c r="J866" s="1" t="n">
        <f aca="false">K865</f>
        <v>170570</v>
      </c>
      <c r="K866" s="1" t="n">
        <f aca="false">J866+L866</f>
        <v>170582</v>
      </c>
      <c r="L866" s="1" t="n">
        <v>12</v>
      </c>
      <c r="M866" s="1" t="n">
        <f aca="false">(E866+M865)-N866</f>
        <v>0.119999999999993</v>
      </c>
      <c r="N866" s="1" t="n">
        <v>1.25</v>
      </c>
    </row>
    <row r="867" customFormat="false" ht="15" hidden="false" customHeight="true" outlineLevel="0" collapsed="false">
      <c r="D867" s="11" t="n">
        <v>44951</v>
      </c>
      <c r="E867" s="0" t="n">
        <v>32.48</v>
      </c>
      <c r="F867" s="1" t="n">
        <v>51.9</v>
      </c>
      <c r="G867" s="6" t="n">
        <f aca="false">E867*F867</f>
        <v>1685.712</v>
      </c>
      <c r="H867" s="1" t="s">
        <v>34</v>
      </c>
      <c r="I867" s="1" t="s">
        <v>49</v>
      </c>
      <c r="J867" s="1" t="n">
        <f aca="false">K866</f>
        <v>170582</v>
      </c>
      <c r="K867" s="1" t="n">
        <f aca="false">J867+L867</f>
        <v>170609</v>
      </c>
      <c r="L867" s="1" t="n">
        <v>27</v>
      </c>
      <c r="M867" s="1" t="n">
        <f aca="false">(E867+M866)-N867</f>
        <v>29.4</v>
      </c>
      <c r="N867" s="1" t="n">
        <v>3.2</v>
      </c>
    </row>
    <row r="868" customFormat="false" ht="15" hidden="false" customHeight="true" outlineLevel="0" collapsed="false">
      <c r="D868" s="11"/>
      <c r="H868" s="1" t="s">
        <v>49</v>
      </c>
      <c r="I868" s="1" t="s">
        <v>34</v>
      </c>
      <c r="J868" s="1" t="n">
        <f aca="false">K867</f>
        <v>170609</v>
      </c>
      <c r="K868" s="1" t="n">
        <f aca="false">J868+L868</f>
        <v>170636</v>
      </c>
      <c r="L868" s="1" t="n">
        <v>27</v>
      </c>
      <c r="M868" s="1" t="n">
        <f aca="false">(E868+M867)-N868</f>
        <v>26.2</v>
      </c>
      <c r="N868" s="1" t="n">
        <v>3.2</v>
      </c>
    </row>
    <row r="869" customFormat="false" ht="15" hidden="false" customHeight="true" outlineLevel="0" collapsed="false">
      <c r="D869" s="11" t="n">
        <v>44952</v>
      </c>
      <c r="H869" s="1" t="s">
        <v>34</v>
      </c>
      <c r="I869" s="1" t="s">
        <v>24</v>
      </c>
      <c r="J869" s="1" t="n">
        <f aca="false">K868</f>
        <v>170636</v>
      </c>
      <c r="K869" s="1" t="n">
        <f aca="false">J869+L869</f>
        <v>170650</v>
      </c>
      <c r="L869" s="1" t="n">
        <v>14</v>
      </c>
      <c r="M869" s="1" t="n">
        <f aca="false">(E869+M868)-N869</f>
        <v>24.7</v>
      </c>
      <c r="N869" s="1" t="n">
        <v>1.5</v>
      </c>
    </row>
    <row r="870" customFormat="false" ht="15" hidden="false" customHeight="true" outlineLevel="0" collapsed="false">
      <c r="D870" s="11"/>
      <c r="H870" s="1" t="s">
        <v>24</v>
      </c>
      <c r="I870" s="1" t="s">
        <v>34</v>
      </c>
      <c r="J870" s="1" t="n">
        <f aca="false">K869</f>
        <v>170650</v>
      </c>
      <c r="K870" s="1" t="n">
        <f aca="false">J870+L870</f>
        <v>170664</v>
      </c>
      <c r="L870" s="1" t="n">
        <v>14</v>
      </c>
      <c r="M870" s="1" t="n">
        <f aca="false">(E870+M869)-N870</f>
        <v>23.2</v>
      </c>
      <c r="N870" s="1" t="n">
        <v>1.5</v>
      </c>
    </row>
    <row r="871" customFormat="false" ht="15" hidden="false" customHeight="true" outlineLevel="0" collapsed="false">
      <c r="D871" s="11" t="n">
        <v>44953</v>
      </c>
      <c r="H871" s="1" t="s">
        <v>34</v>
      </c>
      <c r="I871" s="1" t="s">
        <v>54</v>
      </c>
      <c r="J871" s="1" t="n">
        <f aca="false">K870</f>
        <v>170664</v>
      </c>
      <c r="K871" s="1" t="n">
        <f aca="false">J871+L871</f>
        <v>170691</v>
      </c>
      <c r="L871" s="1" t="n">
        <v>27</v>
      </c>
      <c r="M871" s="1" t="n">
        <f aca="false">(E871+M870)-N871</f>
        <v>20</v>
      </c>
      <c r="N871" s="1" t="n">
        <v>3.2</v>
      </c>
    </row>
    <row r="872" customFormat="false" ht="15" hidden="false" customHeight="true" outlineLevel="0" collapsed="false">
      <c r="D872" s="11"/>
      <c r="H872" s="1" t="s">
        <v>54</v>
      </c>
      <c r="I872" s="1" t="s">
        <v>34</v>
      </c>
      <c r="J872" s="1" t="n">
        <f aca="false">K871</f>
        <v>170691</v>
      </c>
      <c r="K872" s="1" t="n">
        <f aca="false">J872+L872</f>
        <v>170718</v>
      </c>
      <c r="L872" s="1" t="n">
        <v>27</v>
      </c>
      <c r="M872" s="1" t="n">
        <f aca="false">(E872+M871)-N872</f>
        <v>16.8</v>
      </c>
      <c r="N872" s="1" t="n">
        <v>3.2</v>
      </c>
    </row>
    <row r="873" customFormat="false" ht="15" hidden="false" customHeight="true" outlineLevel="0" collapsed="false">
      <c r="D873" s="11"/>
      <c r="H873" s="1" t="s">
        <v>34</v>
      </c>
      <c r="I873" s="1" t="s">
        <v>43</v>
      </c>
      <c r="J873" s="1" t="n">
        <f aca="false">K872</f>
        <v>170718</v>
      </c>
      <c r="K873" s="1" t="n">
        <f aca="false">J873+L873</f>
        <v>170730</v>
      </c>
      <c r="L873" s="1" t="n">
        <v>12</v>
      </c>
      <c r="M873" s="1" t="n">
        <f aca="false">(E873+M872)-N873</f>
        <v>15.55</v>
      </c>
      <c r="N873" s="1" t="n">
        <v>1.25</v>
      </c>
    </row>
    <row r="874" customFormat="false" ht="15" hidden="false" customHeight="true" outlineLevel="0" collapsed="false">
      <c r="D874" s="11"/>
      <c r="H874" s="1" t="s">
        <v>43</v>
      </c>
      <c r="I874" s="1" t="s">
        <v>34</v>
      </c>
      <c r="J874" s="1" t="n">
        <f aca="false">K873</f>
        <v>170730</v>
      </c>
      <c r="K874" s="1" t="n">
        <f aca="false">J874+L874</f>
        <v>170742</v>
      </c>
      <c r="L874" s="1" t="n">
        <v>12</v>
      </c>
      <c r="M874" s="1" t="n">
        <f aca="false">(E874+M873)-N874</f>
        <v>14.3</v>
      </c>
      <c r="N874" s="1" t="n">
        <v>1.25</v>
      </c>
    </row>
    <row r="875" customFormat="false" ht="15" hidden="false" customHeight="true" outlineLevel="0" collapsed="false">
      <c r="D875" s="11" t="n">
        <v>44956</v>
      </c>
      <c r="E875" s="0" t="n">
        <v>33.41</v>
      </c>
      <c r="F875" s="1" t="n">
        <v>51.9</v>
      </c>
      <c r="G875" s="6" t="n">
        <f aca="false">E875*F875</f>
        <v>1733.979</v>
      </c>
      <c r="H875" s="1" t="s">
        <v>34</v>
      </c>
      <c r="I875" s="1" t="s">
        <v>35</v>
      </c>
      <c r="J875" s="1" t="n">
        <f aca="false">K874</f>
        <v>170742</v>
      </c>
      <c r="K875" s="1" t="n">
        <f aca="false">J875+L875</f>
        <v>170754</v>
      </c>
      <c r="L875" s="1" t="n">
        <v>12</v>
      </c>
      <c r="M875" s="1" t="n">
        <f aca="false">(E875+M874)-N875</f>
        <v>46.46</v>
      </c>
      <c r="N875" s="1" t="n">
        <v>1.25</v>
      </c>
    </row>
    <row r="876" customFormat="false" ht="15" hidden="false" customHeight="true" outlineLevel="0" collapsed="false">
      <c r="D876" s="11"/>
      <c r="H876" s="1" t="s">
        <v>35</v>
      </c>
      <c r="I876" s="1" t="s">
        <v>34</v>
      </c>
      <c r="J876" s="1" t="n">
        <f aca="false">K875</f>
        <v>170754</v>
      </c>
      <c r="K876" s="1" t="n">
        <f aca="false">J876+L876</f>
        <v>170766</v>
      </c>
      <c r="L876" s="1" t="n">
        <v>12</v>
      </c>
      <c r="M876" s="1" t="n">
        <f aca="false">(E876+M875)-N876</f>
        <v>45.21</v>
      </c>
      <c r="N876" s="1" t="n">
        <v>1.25</v>
      </c>
    </row>
    <row r="877" customFormat="false" ht="15" hidden="false" customHeight="true" outlineLevel="0" collapsed="false">
      <c r="D877" s="11"/>
      <c r="H877" s="1" t="s">
        <v>34</v>
      </c>
      <c r="I877" s="1" t="s">
        <v>36</v>
      </c>
      <c r="J877" s="1" t="n">
        <f aca="false">K876</f>
        <v>170766</v>
      </c>
      <c r="K877" s="1" t="n">
        <f aca="false">J877+L877</f>
        <v>170781</v>
      </c>
      <c r="L877" s="1" t="n">
        <v>15</v>
      </c>
      <c r="M877" s="1" t="n">
        <f aca="false">(E877+M876)-N877</f>
        <v>43.41</v>
      </c>
      <c r="N877" s="1" t="n">
        <v>1.8</v>
      </c>
    </row>
    <row r="878" customFormat="false" ht="15" hidden="false" customHeight="true" outlineLevel="0" collapsed="false">
      <c r="D878" s="11"/>
      <c r="H878" s="1" t="s">
        <v>36</v>
      </c>
      <c r="I878" s="1" t="s">
        <v>34</v>
      </c>
      <c r="J878" s="1" t="n">
        <f aca="false">K877</f>
        <v>170781</v>
      </c>
      <c r="K878" s="1" t="n">
        <f aca="false">J878+L878</f>
        <v>170796</v>
      </c>
      <c r="L878" s="1" t="n">
        <v>15</v>
      </c>
      <c r="M878" s="1" t="n">
        <f aca="false">(E878+M877)-N878</f>
        <v>41.61</v>
      </c>
      <c r="N878" s="1" t="n">
        <v>1.8</v>
      </c>
    </row>
    <row r="879" customFormat="false" ht="15" hidden="false" customHeight="true" outlineLevel="0" collapsed="false">
      <c r="D879" s="11"/>
      <c r="H879" s="1" t="s">
        <v>34</v>
      </c>
      <c r="I879" s="1" t="s">
        <v>49</v>
      </c>
      <c r="J879" s="1" t="n">
        <f aca="false">K878</f>
        <v>170796</v>
      </c>
      <c r="K879" s="1" t="n">
        <f aca="false">J879+L879</f>
        <v>170823</v>
      </c>
      <c r="L879" s="1" t="n">
        <v>27</v>
      </c>
      <c r="M879" s="1" t="n">
        <f aca="false">(E879+M878)-N879</f>
        <v>38.41</v>
      </c>
      <c r="N879" s="1" t="n">
        <v>3.2</v>
      </c>
    </row>
    <row r="880" customFormat="false" ht="15" hidden="false" customHeight="true" outlineLevel="0" collapsed="false">
      <c r="D880" s="11"/>
      <c r="H880" s="1" t="s">
        <v>49</v>
      </c>
      <c r="I880" s="1" t="s">
        <v>34</v>
      </c>
      <c r="J880" s="1" t="n">
        <f aca="false">K879</f>
        <v>170823</v>
      </c>
      <c r="K880" s="1" t="n">
        <f aca="false">J880+L880</f>
        <v>170850</v>
      </c>
      <c r="L880" s="1" t="n">
        <v>27</v>
      </c>
      <c r="M880" s="1" t="n">
        <f aca="false">(E880+M879)-N880</f>
        <v>35.21</v>
      </c>
      <c r="N880" s="1" t="n">
        <v>3.2</v>
      </c>
    </row>
    <row r="881" customFormat="false" ht="15" hidden="false" customHeight="true" outlineLevel="0" collapsed="false">
      <c r="D881" s="11" t="n">
        <v>44957</v>
      </c>
      <c r="H881" s="1" t="s">
        <v>34</v>
      </c>
      <c r="I881" s="1" t="s">
        <v>24</v>
      </c>
      <c r="J881" s="1" t="n">
        <f aca="false">K880</f>
        <v>170850</v>
      </c>
      <c r="K881" s="1" t="n">
        <f aca="false">J881+L881</f>
        <v>170864</v>
      </c>
      <c r="L881" s="1" t="n">
        <v>14</v>
      </c>
      <c r="M881" s="1" t="n">
        <f aca="false">(E881+M880)-N881</f>
        <v>33.71</v>
      </c>
      <c r="N881" s="1" t="n">
        <v>1.5</v>
      </c>
    </row>
    <row r="882" customFormat="false" ht="15" hidden="false" customHeight="true" outlineLevel="0" collapsed="false">
      <c r="H882" s="1" t="s">
        <v>24</v>
      </c>
      <c r="I882" s="1" t="s">
        <v>34</v>
      </c>
      <c r="J882" s="1" t="n">
        <f aca="false">K881</f>
        <v>170864</v>
      </c>
      <c r="K882" s="1" t="n">
        <f aca="false">J882+L882</f>
        <v>170878</v>
      </c>
      <c r="L882" s="1" t="n">
        <v>14</v>
      </c>
      <c r="M882" s="1" t="n">
        <f aca="false">(E882+M881)-N882</f>
        <v>32.21</v>
      </c>
      <c r="N882" s="1" t="n">
        <v>1.5</v>
      </c>
    </row>
    <row r="883" customFormat="false" ht="15" hidden="false" customHeight="true" outlineLevel="0" collapsed="false">
      <c r="H883" s="1" t="s">
        <v>34</v>
      </c>
      <c r="I883" s="1" t="s">
        <v>37</v>
      </c>
      <c r="J883" s="1" t="n">
        <f aca="false">K882</f>
        <v>170878</v>
      </c>
      <c r="K883" s="1" t="n">
        <f aca="false">J883+L883</f>
        <v>170918</v>
      </c>
      <c r="L883" s="1" t="n">
        <v>40</v>
      </c>
      <c r="M883" s="1" t="n">
        <f aca="false">(E883+M882)-N883</f>
        <v>27.41</v>
      </c>
      <c r="N883" s="1" t="n">
        <v>4.8</v>
      </c>
    </row>
    <row r="884" customFormat="false" ht="15" hidden="false" customHeight="true" outlineLevel="0" collapsed="false">
      <c r="H884" s="1" t="s">
        <v>37</v>
      </c>
      <c r="I884" s="1" t="s">
        <v>34</v>
      </c>
      <c r="J884" s="1" t="n">
        <f aca="false">K883</f>
        <v>170918</v>
      </c>
      <c r="K884" s="1" t="n">
        <f aca="false">J884+L884</f>
        <v>170958</v>
      </c>
      <c r="L884" s="1" t="n">
        <v>40</v>
      </c>
      <c r="M884" s="1" t="n">
        <f aca="false">(E884+M883)-N884</f>
        <v>22.61</v>
      </c>
      <c r="N884" s="1" t="n">
        <v>4.8</v>
      </c>
    </row>
    <row r="886" customFormat="false" ht="15" hidden="false" customHeight="true" outlineLevel="0" collapsed="false">
      <c r="D886" s="4" t="s">
        <v>57</v>
      </c>
      <c r="E886" s="4"/>
      <c r="F886" s="4"/>
      <c r="G886" s="4"/>
    </row>
    <row r="887" customFormat="false" ht="15" hidden="false" customHeight="true" outlineLevel="0" collapsed="false">
      <c r="D887" s="11" t="n">
        <v>44958</v>
      </c>
      <c r="H887" s="1" t="s">
        <v>34</v>
      </c>
      <c r="I887" s="1" t="s">
        <v>43</v>
      </c>
      <c r="J887" s="1" t="n">
        <f aca="false">K884</f>
        <v>170958</v>
      </c>
      <c r="K887" s="1" t="n">
        <f aca="false">J887+L887</f>
        <v>170970</v>
      </c>
      <c r="L887" s="1" t="n">
        <v>12</v>
      </c>
      <c r="M887" s="1" t="n">
        <f aca="false">(E887+M884)-N887</f>
        <v>21.36</v>
      </c>
      <c r="N887" s="1" t="n">
        <v>1.25</v>
      </c>
    </row>
    <row r="888" customFormat="false" ht="15" hidden="false" customHeight="true" outlineLevel="0" collapsed="false">
      <c r="D888" s="11"/>
      <c r="H888" s="1" t="s">
        <v>43</v>
      </c>
      <c r="I888" s="1" t="s">
        <v>34</v>
      </c>
      <c r="J888" s="1" t="n">
        <f aca="false">K887</f>
        <v>170970</v>
      </c>
      <c r="K888" s="1" t="n">
        <f aca="false">J888+L888</f>
        <v>170982</v>
      </c>
      <c r="L888" s="1" t="n">
        <v>12</v>
      </c>
      <c r="M888" s="1" t="n">
        <f aca="false">(E888+M887)-N888</f>
        <v>20.11</v>
      </c>
      <c r="N888" s="1" t="n">
        <v>1.25</v>
      </c>
    </row>
    <row r="889" customFormat="false" ht="15" hidden="false" customHeight="true" outlineLevel="0" collapsed="false">
      <c r="D889" s="11" t="n">
        <v>44959</v>
      </c>
      <c r="H889" s="1" t="s">
        <v>34</v>
      </c>
      <c r="I889" s="1" t="s">
        <v>35</v>
      </c>
      <c r="J889" s="1" t="n">
        <f aca="false">K888</f>
        <v>170982</v>
      </c>
      <c r="K889" s="1" t="n">
        <f aca="false">J889+L889</f>
        <v>170994</v>
      </c>
      <c r="L889" s="1" t="n">
        <v>12</v>
      </c>
      <c r="M889" s="1" t="n">
        <f aca="false">(E889+M888)-N889</f>
        <v>18.86</v>
      </c>
      <c r="N889" s="1" t="n">
        <v>1.25</v>
      </c>
    </row>
    <row r="890" customFormat="false" ht="15" hidden="false" customHeight="true" outlineLevel="0" collapsed="false">
      <c r="D890" s="11"/>
      <c r="H890" s="1" t="s">
        <v>35</v>
      </c>
      <c r="I890" s="1" t="s">
        <v>34</v>
      </c>
      <c r="J890" s="1" t="n">
        <f aca="false">K889</f>
        <v>170994</v>
      </c>
      <c r="K890" s="1" t="n">
        <f aca="false">J890+L890</f>
        <v>171006</v>
      </c>
      <c r="L890" s="1" t="n">
        <v>12</v>
      </c>
      <c r="M890" s="1" t="n">
        <f aca="false">(E890+M889)-N890</f>
        <v>17.61</v>
      </c>
      <c r="N890" s="1" t="n">
        <v>1.25</v>
      </c>
    </row>
    <row r="891" customFormat="false" ht="15" hidden="false" customHeight="true" outlineLevel="0" collapsed="false">
      <c r="D891" s="11"/>
      <c r="H891" s="1" t="s">
        <v>34</v>
      </c>
      <c r="I891" s="1" t="s">
        <v>49</v>
      </c>
      <c r="J891" s="1" t="n">
        <f aca="false">K890</f>
        <v>171006</v>
      </c>
      <c r="K891" s="1" t="n">
        <f aca="false">J891+L891</f>
        <v>171033</v>
      </c>
      <c r="L891" s="1" t="n">
        <v>27</v>
      </c>
      <c r="M891" s="1" t="n">
        <f aca="false">(E891+M890)-N891</f>
        <v>14.41</v>
      </c>
      <c r="N891" s="1" t="n">
        <v>3.2</v>
      </c>
    </row>
    <row r="892" customFormat="false" ht="15" hidden="false" customHeight="true" outlineLevel="0" collapsed="false">
      <c r="D892" s="11"/>
      <c r="H892" s="1" t="s">
        <v>49</v>
      </c>
      <c r="I892" s="1" t="s">
        <v>34</v>
      </c>
      <c r="J892" s="1" t="n">
        <f aca="false">K891</f>
        <v>171033</v>
      </c>
      <c r="K892" s="1" t="n">
        <f aca="false">J892+L892</f>
        <v>171060</v>
      </c>
      <c r="L892" s="1" t="n">
        <v>27</v>
      </c>
      <c r="M892" s="1" t="n">
        <f aca="false">(E892+M891)-N892</f>
        <v>11.21</v>
      </c>
      <c r="N892" s="1" t="n">
        <v>3.2</v>
      </c>
    </row>
    <row r="893" customFormat="false" ht="15" hidden="false" customHeight="true" outlineLevel="0" collapsed="false">
      <c r="D893" s="11" t="n">
        <v>44960</v>
      </c>
      <c r="E893" s="0" t="n">
        <v>33.18</v>
      </c>
      <c r="F893" s="1" t="n">
        <v>51.6</v>
      </c>
      <c r="G893" s="6" t="n">
        <f aca="false">E893*F893</f>
        <v>1712.088</v>
      </c>
      <c r="H893" s="1" t="s">
        <v>34</v>
      </c>
      <c r="I893" s="1" t="s">
        <v>35</v>
      </c>
      <c r="J893" s="1" t="n">
        <f aca="false">K892</f>
        <v>171060</v>
      </c>
      <c r="K893" s="1" t="n">
        <f aca="false">J893+L893</f>
        <v>171072</v>
      </c>
      <c r="L893" s="1" t="n">
        <v>12</v>
      </c>
      <c r="M893" s="1" t="n">
        <f aca="false">(E893+M892)-N893</f>
        <v>43.14</v>
      </c>
      <c r="N893" s="1" t="n">
        <v>1.25</v>
      </c>
    </row>
    <row r="894" customFormat="false" ht="15" hidden="false" customHeight="true" outlineLevel="0" collapsed="false">
      <c r="D894" s="11"/>
      <c r="H894" s="1" t="s">
        <v>35</v>
      </c>
      <c r="I894" s="1" t="s">
        <v>34</v>
      </c>
      <c r="J894" s="1" t="n">
        <f aca="false">K893</f>
        <v>171072</v>
      </c>
      <c r="K894" s="1" t="n">
        <f aca="false">J894+L894</f>
        <v>171084</v>
      </c>
      <c r="L894" s="1" t="n">
        <v>12</v>
      </c>
      <c r="M894" s="1" t="n">
        <f aca="false">(E894+M893)-N894</f>
        <v>41.89</v>
      </c>
      <c r="N894" s="1" t="n">
        <v>1.25</v>
      </c>
    </row>
    <row r="895" customFormat="false" ht="15" hidden="false" customHeight="true" outlineLevel="0" collapsed="false">
      <c r="D895" s="11"/>
      <c r="H895" s="1" t="s">
        <v>34</v>
      </c>
      <c r="I895" s="1" t="s">
        <v>32</v>
      </c>
      <c r="J895" s="1" t="n">
        <f aca="false">K894</f>
        <v>171084</v>
      </c>
      <c r="K895" s="1" t="n">
        <f aca="false">J895+L895</f>
        <v>171109</v>
      </c>
      <c r="L895" s="1" t="n">
        <v>25</v>
      </c>
      <c r="M895" s="1" t="n">
        <f aca="false">(E895+M894)-N895</f>
        <v>38.89</v>
      </c>
      <c r="N895" s="1" t="n">
        <v>3</v>
      </c>
    </row>
    <row r="896" customFormat="false" ht="15" hidden="false" customHeight="true" outlineLevel="0" collapsed="false">
      <c r="D896" s="11"/>
      <c r="H896" s="1" t="s">
        <v>32</v>
      </c>
      <c r="I896" s="1" t="s">
        <v>34</v>
      </c>
      <c r="J896" s="1" t="n">
        <f aca="false">K895</f>
        <v>171109</v>
      </c>
      <c r="K896" s="1" t="n">
        <f aca="false">J896+L896</f>
        <v>171134</v>
      </c>
      <c r="L896" s="1" t="n">
        <v>25</v>
      </c>
      <c r="M896" s="1" t="n">
        <f aca="false">(E896+M895)-N896</f>
        <v>35.89</v>
      </c>
      <c r="N896" s="1" t="n">
        <v>3</v>
      </c>
    </row>
    <row r="897" customFormat="false" ht="15" hidden="false" customHeight="true" outlineLevel="0" collapsed="false">
      <c r="D897" s="11" t="n">
        <v>44963</v>
      </c>
      <c r="H897" s="1" t="s">
        <v>34</v>
      </c>
      <c r="I897" s="1" t="s">
        <v>54</v>
      </c>
      <c r="J897" s="1" t="n">
        <f aca="false">K896</f>
        <v>171134</v>
      </c>
      <c r="K897" s="1" t="n">
        <f aca="false">J897+L897</f>
        <v>171161</v>
      </c>
      <c r="L897" s="1" t="n">
        <v>27</v>
      </c>
      <c r="M897" s="1" t="n">
        <f aca="false">(E897+M896)-N897</f>
        <v>32.69</v>
      </c>
      <c r="N897" s="1" t="n">
        <v>3.2</v>
      </c>
    </row>
    <row r="898" customFormat="false" ht="15" hidden="false" customHeight="true" outlineLevel="0" collapsed="false">
      <c r="D898" s="11"/>
      <c r="H898" s="1" t="s">
        <v>54</v>
      </c>
      <c r="I898" s="1" t="s">
        <v>34</v>
      </c>
      <c r="J898" s="1" t="n">
        <f aca="false">K897</f>
        <v>171161</v>
      </c>
      <c r="K898" s="1" t="n">
        <f aca="false">J898+L898</f>
        <v>171188</v>
      </c>
      <c r="L898" s="1" t="n">
        <v>27</v>
      </c>
      <c r="M898" s="1" t="n">
        <f aca="false">(E898+M897)-N898</f>
        <v>29.49</v>
      </c>
      <c r="N898" s="1" t="n">
        <v>3.2</v>
      </c>
    </row>
    <row r="899" customFormat="false" ht="15" hidden="false" customHeight="true" outlineLevel="0" collapsed="false">
      <c r="D899" s="11" t="n">
        <v>44964</v>
      </c>
      <c r="H899" s="1" t="s">
        <v>34</v>
      </c>
      <c r="I899" s="1" t="s">
        <v>35</v>
      </c>
      <c r="J899" s="1" t="n">
        <f aca="false">K898</f>
        <v>171188</v>
      </c>
      <c r="K899" s="1" t="n">
        <f aca="false">J899+L899</f>
        <v>171200</v>
      </c>
      <c r="L899" s="1" t="n">
        <v>12</v>
      </c>
      <c r="M899" s="1" t="n">
        <f aca="false">(E899+M898)-N899</f>
        <v>28.24</v>
      </c>
      <c r="N899" s="1" t="n">
        <v>1.25</v>
      </c>
    </row>
    <row r="900" customFormat="false" ht="15" hidden="false" customHeight="true" outlineLevel="0" collapsed="false">
      <c r="D900" s="11"/>
      <c r="H900" s="1" t="s">
        <v>35</v>
      </c>
      <c r="I900" s="1" t="s">
        <v>34</v>
      </c>
      <c r="J900" s="1" t="n">
        <f aca="false">K899</f>
        <v>171200</v>
      </c>
      <c r="K900" s="1" t="n">
        <f aca="false">J900+L900</f>
        <v>171212</v>
      </c>
      <c r="L900" s="1" t="n">
        <v>12</v>
      </c>
      <c r="M900" s="1" t="n">
        <f aca="false">(E900+M899)-N900</f>
        <v>26.99</v>
      </c>
      <c r="N900" s="1" t="n">
        <v>1.25</v>
      </c>
    </row>
    <row r="901" customFormat="false" ht="15" hidden="false" customHeight="true" outlineLevel="0" collapsed="false">
      <c r="D901" s="11" t="n">
        <v>44965</v>
      </c>
      <c r="H901" s="1" t="s">
        <v>34</v>
      </c>
      <c r="I901" s="1" t="s">
        <v>35</v>
      </c>
      <c r="J901" s="1" t="n">
        <f aca="false">K900</f>
        <v>171212</v>
      </c>
      <c r="K901" s="1" t="n">
        <f aca="false">J901+L901</f>
        <v>171224</v>
      </c>
      <c r="L901" s="1" t="n">
        <v>12</v>
      </c>
      <c r="M901" s="1" t="n">
        <f aca="false">(E901+M900)-N901</f>
        <v>25.74</v>
      </c>
      <c r="N901" s="1" t="n">
        <v>1.25</v>
      </c>
    </row>
    <row r="902" customFormat="false" ht="15" hidden="false" customHeight="true" outlineLevel="0" collapsed="false">
      <c r="D902" s="11"/>
      <c r="H902" s="1" t="s">
        <v>35</v>
      </c>
      <c r="I902" s="1" t="s">
        <v>34</v>
      </c>
      <c r="J902" s="1" t="n">
        <f aca="false">K901</f>
        <v>171224</v>
      </c>
      <c r="K902" s="1" t="n">
        <f aca="false">J902+L902</f>
        <v>171236</v>
      </c>
      <c r="L902" s="1" t="n">
        <v>12</v>
      </c>
      <c r="M902" s="1" t="n">
        <f aca="false">(E902+M901)-N902</f>
        <v>24.49</v>
      </c>
      <c r="N902" s="1" t="n">
        <v>1.25</v>
      </c>
    </row>
    <row r="903" customFormat="false" ht="15" hidden="false" customHeight="true" outlineLevel="0" collapsed="false">
      <c r="D903" s="11"/>
      <c r="H903" s="1" t="s">
        <v>34</v>
      </c>
      <c r="I903" s="1" t="s">
        <v>37</v>
      </c>
      <c r="J903" s="1" t="n">
        <f aca="false">K902</f>
        <v>171236</v>
      </c>
      <c r="K903" s="1" t="n">
        <f aca="false">J903+L903</f>
        <v>171276</v>
      </c>
      <c r="L903" s="1" t="n">
        <v>40</v>
      </c>
      <c r="M903" s="1" t="n">
        <f aca="false">(E903+M902)-N903</f>
        <v>19.69</v>
      </c>
      <c r="N903" s="1" t="n">
        <v>4.8</v>
      </c>
    </row>
    <row r="904" customFormat="false" ht="15" hidden="false" customHeight="true" outlineLevel="0" collapsed="false">
      <c r="D904" s="11"/>
      <c r="H904" s="1" t="s">
        <v>37</v>
      </c>
      <c r="I904" s="1" t="s">
        <v>34</v>
      </c>
      <c r="J904" s="1" t="n">
        <f aca="false">K903</f>
        <v>171276</v>
      </c>
      <c r="K904" s="1" t="n">
        <f aca="false">J904+L904</f>
        <v>171316</v>
      </c>
      <c r="L904" s="1" t="n">
        <v>40</v>
      </c>
      <c r="M904" s="1" t="n">
        <f aca="false">(E904+M903)-N904</f>
        <v>14.89</v>
      </c>
      <c r="N904" s="1" t="n">
        <v>4.8</v>
      </c>
    </row>
    <row r="905" customFormat="false" ht="15" hidden="false" customHeight="true" outlineLevel="0" collapsed="false">
      <c r="D905" s="11" t="n">
        <v>44966</v>
      </c>
      <c r="H905" s="1" t="s">
        <v>34</v>
      </c>
      <c r="I905" s="1" t="s">
        <v>54</v>
      </c>
      <c r="J905" s="1" t="n">
        <f aca="false">K904</f>
        <v>171316</v>
      </c>
      <c r="K905" s="1" t="n">
        <f aca="false">J905+L905</f>
        <v>171343</v>
      </c>
      <c r="L905" s="1" t="n">
        <v>27</v>
      </c>
      <c r="M905" s="1" t="n">
        <f aca="false">(E905+M904)-N905</f>
        <v>11.69</v>
      </c>
      <c r="N905" s="1" t="n">
        <v>3.2</v>
      </c>
    </row>
    <row r="906" customFormat="false" ht="15" hidden="false" customHeight="true" outlineLevel="0" collapsed="false">
      <c r="D906" s="11"/>
      <c r="H906" s="1" t="s">
        <v>54</v>
      </c>
      <c r="I906" s="1" t="s">
        <v>34</v>
      </c>
      <c r="J906" s="1" t="n">
        <f aca="false">K905</f>
        <v>171343</v>
      </c>
      <c r="K906" s="1" t="n">
        <f aca="false">J906+L906</f>
        <v>171370</v>
      </c>
      <c r="L906" s="1" t="n">
        <v>27</v>
      </c>
      <c r="M906" s="1" t="n">
        <f aca="false">(E906+M905)-N906</f>
        <v>8.48999999999998</v>
      </c>
      <c r="N906" s="1" t="n">
        <v>3.2</v>
      </c>
    </row>
    <row r="907" customFormat="false" ht="15" hidden="false" customHeight="true" outlineLevel="0" collapsed="false">
      <c r="D907" s="11" t="n">
        <v>44967</v>
      </c>
      <c r="E907" s="0" t="n">
        <v>31.79</v>
      </c>
      <c r="F907" s="1" t="n">
        <v>51.6</v>
      </c>
      <c r="G907" s="6" t="n">
        <f aca="false">E907*F907</f>
        <v>1640.364</v>
      </c>
      <c r="H907" s="1" t="s">
        <v>34</v>
      </c>
      <c r="I907" s="1" t="s">
        <v>43</v>
      </c>
      <c r="J907" s="1" t="n">
        <f aca="false">K906</f>
        <v>171370</v>
      </c>
      <c r="K907" s="1" t="n">
        <f aca="false">J907+L907</f>
        <v>171382</v>
      </c>
      <c r="L907" s="1" t="n">
        <v>12</v>
      </c>
      <c r="M907" s="1" t="n">
        <f aca="false">(E907+M906)-N907</f>
        <v>39.03</v>
      </c>
      <c r="N907" s="1" t="n">
        <v>1.25</v>
      </c>
    </row>
    <row r="908" customFormat="false" ht="15" hidden="false" customHeight="true" outlineLevel="0" collapsed="false">
      <c r="D908" s="11"/>
      <c r="H908" s="1" t="s">
        <v>43</v>
      </c>
      <c r="I908" s="1" t="s">
        <v>34</v>
      </c>
      <c r="J908" s="1" t="n">
        <f aca="false">K907</f>
        <v>171382</v>
      </c>
      <c r="K908" s="1" t="n">
        <f aca="false">J908+L908</f>
        <v>171394</v>
      </c>
      <c r="L908" s="1" t="n">
        <v>12</v>
      </c>
      <c r="M908" s="1" t="n">
        <f aca="false">(E908+M907)-N908</f>
        <v>37.78</v>
      </c>
      <c r="N908" s="1" t="n">
        <v>1.25</v>
      </c>
    </row>
    <row r="909" customFormat="false" ht="15" hidden="false" customHeight="true" outlineLevel="0" collapsed="false">
      <c r="D909" s="11" t="n">
        <v>44970</v>
      </c>
      <c r="H909" s="1" t="s">
        <v>34</v>
      </c>
      <c r="I909" s="1" t="s">
        <v>49</v>
      </c>
      <c r="J909" s="1" t="n">
        <f aca="false">K908</f>
        <v>171394</v>
      </c>
      <c r="K909" s="1" t="n">
        <f aca="false">J909+L909</f>
        <v>171421</v>
      </c>
      <c r="L909" s="1" t="n">
        <v>27</v>
      </c>
      <c r="M909" s="1" t="n">
        <f aca="false">(E909+M908)-N909</f>
        <v>34.58</v>
      </c>
      <c r="N909" s="1" t="n">
        <v>3.2</v>
      </c>
    </row>
    <row r="910" customFormat="false" ht="15" hidden="false" customHeight="true" outlineLevel="0" collapsed="false">
      <c r="D910" s="11"/>
      <c r="H910" s="1" t="s">
        <v>49</v>
      </c>
      <c r="I910" s="1" t="s">
        <v>34</v>
      </c>
      <c r="J910" s="1" t="n">
        <f aca="false">K909</f>
        <v>171421</v>
      </c>
      <c r="K910" s="1" t="n">
        <f aca="false">J910+L910</f>
        <v>171448</v>
      </c>
      <c r="L910" s="1" t="n">
        <v>27</v>
      </c>
      <c r="M910" s="1" t="n">
        <f aca="false">(E910+M909)-N910</f>
        <v>31.38</v>
      </c>
      <c r="N910" s="1" t="n">
        <v>3.2</v>
      </c>
    </row>
    <row r="911" customFormat="false" ht="15" hidden="false" customHeight="true" outlineLevel="0" collapsed="false">
      <c r="D911" s="11"/>
      <c r="H911" s="1" t="s">
        <v>34</v>
      </c>
      <c r="I911" s="1" t="s">
        <v>58</v>
      </c>
      <c r="J911" s="1" t="n">
        <f aca="false">K910</f>
        <v>171448</v>
      </c>
      <c r="K911" s="1" t="n">
        <f aca="false">J911+L911</f>
        <v>171475</v>
      </c>
      <c r="L911" s="1" t="n">
        <v>27</v>
      </c>
      <c r="M911" s="1" t="n">
        <f aca="false">(E911+M910)-N911</f>
        <v>28.18</v>
      </c>
      <c r="N911" s="1" t="n">
        <v>3.2</v>
      </c>
    </row>
    <row r="912" customFormat="false" ht="15" hidden="false" customHeight="true" outlineLevel="0" collapsed="false">
      <c r="D912" s="11"/>
      <c r="H912" s="1" t="s">
        <v>58</v>
      </c>
      <c r="I912" s="1" t="s">
        <v>34</v>
      </c>
      <c r="J912" s="1" t="n">
        <f aca="false">K911</f>
        <v>171475</v>
      </c>
      <c r="K912" s="1" t="n">
        <f aca="false">J912+L912</f>
        <v>171502</v>
      </c>
      <c r="L912" s="1" t="n">
        <v>27</v>
      </c>
      <c r="M912" s="1" t="n">
        <f aca="false">(E912+M911)-N912</f>
        <v>24.98</v>
      </c>
      <c r="N912" s="1" t="n">
        <v>3.2</v>
      </c>
    </row>
    <row r="913" customFormat="false" ht="15" hidden="false" customHeight="true" outlineLevel="0" collapsed="false">
      <c r="D913" s="11" t="n">
        <v>44971</v>
      </c>
      <c r="H913" s="1" t="s">
        <v>34</v>
      </c>
      <c r="I913" s="1" t="s">
        <v>54</v>
      </c>
      <c r="J913" s="1" t="n">
        <f aca="false">K912</f>
        <v>171502</v>
      </c>
      <c r="K913" s="1" t="n">
        <f aca="false">J913+L913</f>
        <v>171529</v>
      </c>
      <c r="L913" s="1" t="n">
        <v>27</v>
      </c>
      <c r="M913" s="1" t="n">
        <f aca="false">(E913+M912)-N913</f>
        <v>21.78</v>
      </c>
      <c r="N913" s="1" t="n">
        <v>3.2</v>
      </c>
    </row>
    <row r="914" customFormat="false" ht="15" hidden="false" customHeight="true" outlineLevel="0" collapsed="false">
      <c r="D914" s="11"/>
      <c r="H914" s="1" t="s">
        <v>54</v>
      </c>
      <c r="I914" s="1" t="s">
        <v>34</v>
      </c>
      <c r="J914" s="1" t="n">
        <f aca="false">K913</f>
        <v>171529</v>
      </c>
      <c r="K914" s="1" t="n">
        <f aca="false">J914+L914</f>
        <v>171556</v>
      </c>
      <c r="L914" s="1" t="n">
        <v>27</v>
      </c>
      <c r="M914" s="1" t="n">
        <f aca="false">(E914+M913)-N914</f>
        <v>18.58</v>
      </c>
      <c r="N914" s="1" t="n">
        <v>3.2</v>
      </c>
    </row>
    <row r="915" customFormat="false" ht="15" hidden="false" customHeight="true" outlineLevel="0" collapsed="false">
      <c r="D915" s="11"/>
      <c r="H915" s="1" t="s">
        <v>34</v>
      </c>
      <c r="I915" s="1" t="s">
        <v>43</v>
      </c>
      <c r="J915" s="1" t="n">
        <f aca="false">K914</f>
        <v>171556</v>
      </c>
      <c r="K915" s="1" t="n">
        <f aca="false">J915+L915</f>
        <v>171568</v>
      </c>
      <c r="L915" s="1" t="n">
        <v>12</v>
      </c>
      <c r="M915" s="1" t="n">
        <f aca="false">(E915+M914)-N915</f>
        <v>17.33</v>
      </c>
      <c r="N915" s="1" t="n">
        <v>1.25</v>
      </c>
    </row>
    <row r="916" customFormat="false" ht="15" hidden="false" customHeight="true" outlineLevel="0" collapsed="false">
      <c r="D916" s="11"/>
      <c r="H916" s="1" t="s">
        <v>43</v>
      </c>
      <c r="I916" s="1" t="s">
        <v>34</v>
      </c>
      <c r="J916" s="1" t="n">
        <f aca="false">K915</f>
        <v>171568</v>
      </c>
      <c r="K916" s="1" t="n">
        <f aca="false">J916+L916</f>
        <v>171580</v>
      </c>
      <c r="L916" s="1" t="n">
        <v>12</v>
      </c>
      <c r="M916" s="1" t="n">
        <f aca="false">(E916+M915)-N916</f>
        <v>16.08</v>
      </c>
      <c r="N916" s="1" t="n">
        <v>1.25</v>
      </c>
    </row>
    <row r="917" customFormat="false" ht="15" hidden="false" customHeight="true" outlineLevel="0" collapsed="false">
      <c r="D917" s="11"/>
      <c r="H917" s="1" t="s">
        <v>34</v>
      </c>
      <c r="I917" s="1" t="s">
        <v>39</v>
      </c>
      <c r="J917" s="1" t="n">
        <f aca="false">K916</f>
        <v>171580</v>
      </c>
      <c r="K917" s="1" t="n">
        <f aca="false">J917+L917</f>
        <v>171630</v>
      </c>
      <c r="L917" s="1" t="n">
        <v>50</v>
      </c>
      <c r="M917" s="1" t="n">
        <f aca="false">(E917+M916)-N917</f>
        <v>10.58</v>
      </c>
      <c r="N917" s="1" t="n">
        <v>5.5</v>
      </c>
    </row>
    <row r="918" customFormat="false" ht="15" hidden="false" customHeight="true" outlineLevel="0" collapsed="false">
      <c r="D918" s="11"/>
      <c r="H918" s="1" t="s">
        <v>39</v>
      </c>
      <c r="I918" s="1" t="s">
        <v>34</v>
      </c>
      <c r="J918" s="1" t="n">
        <f aca="false">K917</f>
        <v>171630</v>
      </c>
      <c r="K918" s="1" t="n">
        <f aca="false">J918+L918</f>
        <v>171680</v>
      </c>
      <c r="L918" s="1" t="n">
        <v>50</v>
      </c>
      <c r="M918" s="1" t="n">
        <f aca="false">(E918+M917)-N918</f>
        <v>5.07999999999999</v>
      </c>
      <c r="N918" s="1" t="n">
        <v>5.5</v>
      </c>
    </row>
    <row r="919" customFormat="false" ht="15" hidden="false" customHeight="true" outlineLevel="0" collapsed="false">
      <c r="D919" s="11" t="n">
        <v>44972</v>
      </c>
      <c r="E919" s="0" t="n">
        <v>32.05</v>
      </c>
      <c r="F919" s="1" t="n">
        <v>51.9</v>
      </c>
      <c r="G919" s="6" t="n">
        <f aca="false">E919*F919</f>
        <v>1663.395</v>
      </c>
      <c r="H919" s="1" t="s">
        <v>34</v>
      </c>
      <c r="I919" s="1" t="s">
        <v>35</v>
      </c>
      <c r="J919" s="1" t="n">
        <f aca="false">K918</f>
        <v>171680</v>
      </c>
      <c r="K919" s="1" t="n">
        <f aca="false">J919+L919</f>
        <v>171692</v>
      </c>
      <c r="L919" s="1" t="n">
        <v>12</v>
      </c>
      <c r="M919" s="1" t="n">
        <f aca="false">(E919+M918)-N919</f>
        <v>35.88</v>
      </c>
      <c r="N919" s="1" t="n">
        <v>1.25</v>
      </c>
    </row>
    <row r="920" customFormat="false" ht="15" hidden="false" customHeight="true" outlineLevel="0" collapsed="false">
      <c r="D920" s="11"/>
      <c r="H920" s="1" t="s">
        <v>35</v>
      </c>
      <c r="I920" s="1" t="s">
        <v>34</v>
      </c>
      <c r="J920" s="1" t="n">
        <f aca="false">K919</f>
        <v>171692</v>
      </c>
      <c r="K920" s="1" t="n">
        <f aca="false">J920+L920</f>
        <v>171704</v>
      </c>
      <c r="L920" s="1" t="n">
        <v>12</v>
      </c>
      <c r="M920" s="1" t="n">
        <f aca="false">(E920+M919)-N920</f>
        <v>34.63</v>
      </c>
      <c r="N920" s="1" t="n">
        <v>1.25</v>
      </c>
    </row>
    <row r="921" customFormat="false" ht="15" hidden="false" customHeight="true" outlineLevel="0" collapsed="false">
      <c r="D921" s="11"/>
      <c r="H921" s="1" t="s">
        <v>34</v>
      </c>
      <c r="I921" s="1" t="s">
        <v>59</v>
      </c>
      <c r="J921" s="1" t="n">
        <f aca="false">K920</f>
        <v>171704</v>
      </c>
      <c r="K921" s="1" t="n">
        <f aca="false">J921+L921</f>
        <v>171731</v>
      </c>
      <c r="L921" s="1" t="n">
        <v>27</v>
      </c>
      <c r="M921" s="1" t="n">
        <f aca="false">(E921+M920)-N921</f>
        <v>31.43</v>
      </c>
      <c r="N921" s="1" t="n">
        <v>3.2</v>
      </c>
    </row>
    <row r="922" customFormat="false" ht="15" hidden="false" customHeight="true" outlineLevel="0" collapsed="false">
      <c r="D922" s="11"/>
      <c r="H922" s="1" t="s">
        <v>59</v>
      </c>
      <c r="I922" s="1" t="s">
        <v>34</v>
      </c>
      <c r="J922" s="1" t="n">
        <f aca="false">K921</f>
        <v>171731</v>
      </c>
      <c r="K922" s="1" t="n">
        <f aca="false">J922+L922</f>
        <v>171758</v>
      </c>
      <c r="L922" s="1" t="n">
        <v>27</v>
      </c>
      <c r="M922" s="1" t="n">
        <f aca="false">(E922+M921)-N922</f>
        <v>28.23</v>
      </c>
      <c r="N922" s="1" t="n">
        <v>3.2</v>
      </c>
    </row>
    <row r="923" customFormat="false" ht="15" hidden="false" customHeight="true" outlineLevel="0" collapsed="false">
      <c r="D923" s="11" t="n">
        <v>44973</v>
      </c>
      <c r="H923" s="1" t="s">
        <v>34</v>
      </c>
      <c r="I923" s="1" t="s">
        <v>35</v>
      </c>
      <c r="J923" s="1" t="n">
        <f aca="false">K922</f>
        <v>171758</v>
      </c>
      <c r="K923" s="1" t="n">
        <f aca="false">J923+L923</f>
        <v>171770</v>
      </c>
      <c r="L923" s="1" t="n">
        <v>12</v>
      </c>
      <c r="M923" s="1" t="n">
        <f aca="false">(E923+M922)-N923</f>
        <v>26.98</v>
      </c>
      <c r="N923" s="1" t="n">
        <v>1.25</v>
      </c>
    </row>
    <row r="924" customFormat="false" ht="15" hidden="false" customHeight="true" outlineLevel="0" collapsed="false">
      <c r="D924" s="11"/>
      <c r="H924" s="1" t="s">
        <v>35</v>
      </c>
      <c r="I924" s="1" t="s">
        <v>34</v>
      </c>
      <c r="J924" s="1" t="n">
        <f aca="false">K923</f>
        <v>171770</v>
      </c>
      <c r="K924" s="1" t="n">
        <f aca="false">J924+L924</f>
        <v>171782</v>
      </c>
      <c r="L924" s="1" t="n">
        <v>12</v>
      </c>
      <c r="M924" s="1" t="n">
        <f aca="false">(E924+M923)-N924</f>
        <v>25.73</v>
      </c>
      <c r="N924" s="1" t="n">
        <v>1.25</v>
      </c>
    </row>
    <row r="925" customFormat="false" ht="15" hidden="false" customHeight="true" outlineLevel="0" collapsed="false">
      <c r="D925" s="11" t="n">
        <v>44974</v>
      </c>
      <c r="H925" s="1" t="s">
        <v>34</v>
      </c>
      <c r="I925" s="1" t="s">
        <v>43</v>
      </c>
      <c r="J925" s="1" t="n">
        <f aca="false">K924</f>
        <v>171782</v>
      </c>
      <c r="K925" s="1" t="n">
        <f aca="false">J925+L925</f>
        <v>171794</v>
      </c>
      <c r="L925" s="1" t="n">
        <v>12</v>
      </c>
      <c r="M925" s="1" t="n">
        <f aca="false">(E925+M924)-N925</f>
        <v>24.48</v>
      </c>
      <c r="N925" s="1" t="n">
        <v>1.25</v>
      </c>
    </row>
    <row r="926" customFormat="false" ht="15" hidden="false" customHeight="true" outlineLevel="0" collapsed="false">
      <c r="D926" s="11"/>
      <c r="H926" s="1" t="s">
        <v>43</v>
      </c>
      <c r="I926" s="1" t="s">
        <v>34</v>
      </c>
      <c r="J926" s="1" t="n">
        <f aca="false">K925</f>
        <v>171794</v>
      </c>
      <c r="K926" s="1" t="n">
        <f aca="false">J926+L926</f>
        <v>171806</v>
      </c>
      <c r="L926" s="1" t="n">
        <v>12</v>
      </c>
      <c r="M926" s="1" t="n">
        <f aca="false">(E926+M925)-N926</f>
        <v>23.23</v>
      </c>
      <c r="N926" s="1" t="n">
        <v>1.25</v>
      </c>
    </row>
    <row r="927" customFormat="false" ht="15" hidden="false" customHeight="true" outlineLevel="0" collapsed="false">
      <c r="D927" s="11" t="n">
        <v>44977</v>
      </c>
      <c r="H927" s="1" t="s">
        <v>34</v>
      </c>
      <c r="I927" s="1" t="s">
        <v>24</v>
      </c>
      <c r="J927" s="1" t="n">
        <f aca="false">K926</f>
        <v>171806</v>
      </c>
      <c r="K927" s="1" t="n">
        <f aca="false">J927+L927</f>
        <v>171820</v>
      </c>
      <c r="L927" s="1" t="n">
        <v>14</v>
      </c>
      <c r="M927" s="1" t="n">
        <f aca="false">(E927+M926)-N927</f>
        <v>21.73</v>
      </c>
      <c r="N927" s="1" t="n">
        <v>1.5</v>
      </c>
    </row>
    <row r="928" customFormat="false" ht="15" hidden="false" customHeight="true" outlineLevel="0" collapsed="false">
      <c r="D928" s="11"/>
      <c r="H928" s="1" t="s">
        <v>24</v>
      </c>
      <c r="I928" s="1" t="s">
        <v>34</v>
      </c>
      <c r="J928" s="1" t="n">
        <f aca="false">K927</f>
        <v>171820</v>
      </c>
      <c r="K928" s="1" t="n">
        <f aca="false">J928+L928</f>
        <v>171834</v>
      </c>
      <c r="L928" s="1" t="n">
        <v>14</v>
      </c>
      <c r="M928" s="1" t="n">
        <f aca="false">(E928+M927)-N928</f>
        <v>20.23</v>
      </c>
      <c r="N928" s="1" t="n">
        <v>1.5</v>
      </c>
    </row>
    <row r="929" customFormat="false" ht="15" hidden="false" customHeight="true" outlineLevel="0" collapsed="false">
      <c r="D929" s="11" t="n">
        <v>44978</v>
      </c>
      <c r="H929" s="1" t="s">
        <v>34</v>
      </c>
      <c r="I929" s="1" t="s">
        <v>58</v>
      </c>
      <c r="J929" s="1" t="n">
        <f aca="false">K928</f>
        <v>171834</v>
      </c>
      <c r="K929" s="1" t="n">
        <f aca="false">J929+L929</f>
        <v>171861</v>
      </c>
      <c r="L929" s="1" t="n">
        <v>27</v>
      </c>
      <c r="M929" s="1" t="n">
        <f aca="false">(E929+M928)-N929</f>
        <v>17.03</v>
      </c>
      <c r="N929" s="1" t="n">
        <v>3.2</v>
      </c>
    </row>
    <row r="930" customFormat="false" ht="15" hidden="false" customHeight="true" outlineLevel="0" collapsed="false">
      <c r="D930" s="11"/>
      <c r="H930" s="1" t="s">
        <v>58</v>
      </c>
      <c r="I930" s="1" t="s">
        <v>34</v>
      </c>
      <c r="J930" s="1" t="n">
        <f aca="false">K929</f>
        <v>171861</v>
      </c>
      <c r="K930" s="1" t="n">
        <f aca="false">J930+L930</f>
        <v>171888</v>
      </c>
      <c r="L930" s="1" t="n">
        <v>27</v>
      </c>
      <c r="M930" s="1" t="n">
        <f aca="false">(E930+M929)-N930</f>
        <v>13.83</v>
      </c>
      <c r="N930" s="1" t="n">
        <v>3.2</v>
      </c>
    </row>
    <row r="931" customFormat="false" ht="15" hidden="false" customHeight="true" outlineLevel="0" collapsed="false">
      <c r="D931" s="11" t="n">
        <v>44979</v>
      </c>
      <c r="H931" s="1" t="s">
        <v>34</v>
      </c>
      <c r="I931" s="1" t="s">
        <v>37</v>
      </c>
      <c r="J931" s="1" t="n">
        <f aca="false">K930</f>
        <v>171888</v>
      </c>
      <c r="K931" s="1" t="n">
        <f aca="false">J931+L931</f>
        <v>171928</v>
      </c>
      <c r="L931" s="1" t="n">
        <v>40</v>
      </c>
      <c r="M931" s="1" t="n">
        <f aca="false">(E931+M930)-N931</f>
        <v>9.02999999999998</v>
      </c>
      <c r="N931" s="1" t="n">
        <v>4.8</v>
      </c>
    </row>
    <row r="932" customFormat="false" ht="15" hidden="false" customHeight="true" outlineLevel="0" collapsed="false">
      <c r="D932" s="11"/>
      <c r="H932" s="1" t="s">
        <v>37</v>
      </c>
      <c r="I932" s="1" t="s">
        <v>34</v>
      </c>
      <c r="J932" s="1" t="n">
        <f aca="false">K931</f>
        <v>171928</v>
      </c>
      <c r="K932" s="1" t="n">
        <f aca="false">J932+L932</f>
        <v>171968</v>
      </c>
      <c r="L932" s="1" t="n">
        <v>40</v>
      </c>
      <c r="M932" s="1" t="n">
        <f aca="false">(E932+M931)-N932</f>
        <v>4.22999999999998</v>
      </c>
      <c r="N932" s="1" t="n">
        <v>4.8</v>
      </c>
    </row>
    <row r="933" customFormat="false" ht="15" hidden="false" customHeight="true" outlineLevel="0" collapsed="false">
      <c r="D933" s="11" t="n">
        <v>44984</v>
      </c>
      <c r="H933" s="1" t="s">
        <v>34</v>
      </c>
      <c r="I933" s="1" t="s">
        <v>35</v>
      </c>
      <c r="J933" s="1" t="n">
        <f aca="false">K932</f>
        <v>171968</v>
      </c>
      <c r="K933" s="1" t="n">
        <f aca="false">J933+L933</f>
        <v>171980</v>
      </c>
      <c r="L933" s="1" t="n">
        <v>12</v>
      </c>
      <c r="M933" s="1" t="n">
        <f aca="false">(E933+M932)-N933</f>
        <v>2.97999999999998</v>
      </c>
      <c r="N933" s="1" t="n">
        <v>1.25</v>
      </c>
    </row>
    <row r="934" customFormat="false" ht="15" hidden="false" customHeight="true" outlineLevel="0" collapsed="false">
      <c r="D934" s="11"/>
      <c r="H934" s="1" t="s">
        <v>35</v>
      </c>
      <c r="I934" s="1" t="s">
        <v>34</v>
      </c>
      <c r="J934" s="1" t="n">
        <f aca="false">K933</f>
        <v>171980</v>
      </c>
      <c r="K934" s="1" t="n">
        <f aca="false">J934+L934</f>
        <v>171992</v>
      </c>
      <c r="L934" s="1" t="n">
        <v>12</v>
      </c>
      <c r="M934" s="1" t="n">
        <f aca="false">(E934+M933)-N934</f>
        <v>1.72999999999998</v>
      </c>
      <c r="N934" s="1" t="n">
        <v>1.25</v>
      </c>
    </row>
    <row r="935" customFormat="false" ht="15" hidden="false" customHeight="true" outlineLevel="0" collapsed="false">
      <c r="D935" s="11" t="n">
        <v>44985</v>
      </c>
      <c r="E935" s="0" t="n">
        <v>32.95</v>
      </c>
      <c r="F935" s="1" t="n">
        <v>51.9</v>
      </c>
      <c r="G935" s="6" t="n">
        <f aca="false">E935*F935</f>
        <v>1710.105</v>
      </c>
      <c r="H935" s="1" t="s">
        <v>34</v>
      </c>
      <c r="I935" s="1" t="s">
        <v>49</v>
      </c>
      <c r="J935" s="1" t="n">
        <f aca="false">K934</f>
        <v>171992</v>
      </c>
      <c r="K935" s="1" t="n">
        <f aca="false">J935+L935</f>
        <v>172019</v>
      </c>
      <c r="L935" s="1" t="n">
        <v>27</v>
      </c>
      <c r="M935" s="1" t="n">
        <f aca="false">(E935+M934)-N935</f>
        <v>31.48</v>
      </c>
      <c r="N935" s="1" t="n">
        <v>3.2</v>
      </c>
    </row>
    <row r="936" customFormat="false" ht="15" hidden="false" customHeight="true" outlineLevel="0" collapsed="false">
      <c r="D936" s="11"/>
      <c r="H936" s="1" t="s">
        <v>49</v>
      </c>
      <c r="I936" s="1" t="s">
        <v>34</v>
      </c>
      <c r="J936" s="1" t="n">
        <f aca="false">K935</f>
        <v>172019</v>
      </c>
      <c r="K936" s="1" t="n">
        <f aca="false">J936+L936</f>
        <v>172046</v>
      </c>
      <c r="L936" s="1" t="n">
        <v>27</v>
      </c>
      <c r="M936" s="1" t="n">
        <f aca="false">(E936+M935)-N936</f>
        <v>28.28</v>
      </c>
      <c r="N936" s="1" t="n">
        <v>3.2</v>
      </c>
    </row>
    <row r="937" customFormat="false" ht="15" hidden="false" customHeight="true" outlineLevel="0" collapsed="false">
      <c r="D937" s="11"/>
      <c r="H937" s="1" t="s">
        <v>34</v>
      </c>
      <c r="I937" s="1" t="s">
        <v>32</v>
      </c>
      <c r="J937" s="1" t="n">
        <f aca="false">K936</f>
        <v>172046</v>
      </c>
      <c r="K937" s="1" t="n">
        <f aca="false">J937+L937</f>
        <v>172071</v>
      </c>
      <c r="L937" s="1" t="n">
        <v>25</v>
      </c>
      <c r="M937" s="1" t="n">
        <f aca="false">(E937+M936)-N937</f>
        <v>25.28</v>
      </c>
      <c r="N937" s="1" t="n">
        <v>3</v>
      </c>
    </row>
    <row r="938" customFormat="false" ht="15" hidden="false" customHeight="true" outlineLevel="0" collapsed="false">
      <c r="D938" s="11"/>
      <c r="H938" s="1" t="s">
        <v>32</v>
      </c>
      <c r="I938" s="1" t="s">
        <v>34</v>
      </c>
      <c r="J938" s="1" t="n">
        <f aca="false">K937</f>
        <v>172071</v>
      </c>
      <c r="K938" s="1" t="n">
        <f aca="false">J938+L938</f>
        <v>172096</v>
      </c>
      <c r="L938" s="1" t="n">
        <v>25</v>
      </c>
      <c r="M938" s="1" t="n">
        <f aca="false">(E938+M937)-N938</f>
        <v>22.28</v>
      </c>
      <c r="N938" s="1" t="n">
        <v>3</v>
      </c>
    </row>
    <row r="939" customFormat="false" ht="15" hidden="false" customHeight="true" outlineLevel="0" collapsed="false">
      <c r="D939" s="11"/>
    </row>
    <row r="941" customFormat="false" ht="15" hidden="false" customHeight="true" outlineLevel="0" collapsed="false">
      <c r="D941" s="4" t="s">
        <v>60</v>
      </c>
      <c r="E941" s="4"/>
      <c r="F941" s="4"/>
      <c r="G941" s="4"/>
    </row>
    <row r="942" customFormat="false" ht="15" hidden="false" customHeight="true" outlineLevel="0" collapsed="false">
      <c r="D942" s="11" t="n">
        <v>44986</v>
      </c>
      <c r="H942" s="1" t="s">
        <v>34</v>
      </c>
      <c r="I942" s="1" t="s">
        <v>35</v>
      </c>
      <c r="J942" s="1" t="n">
        <f aca="false">K938</f>
        <v>172096</v>
      </c>
      <c r="K942" s="1" t="n">
        <f aca="false">J942+L942</f>
        <v>172108</v>
      </c>
      <c r="L942" s="1" t="n">
        <v>12</v>
      </c>
      <c r="M942" s="1" t="n">
        <f aca="false">(E942+M938)-N942</f>
        <v>21.03</v>
      </c>
      <c r="N942" s="1" t="n">
        <v>1.25</v>
      </c>
    </row>
    <row r="943" customFormat="false" ht="15" hidden="false" customHeight="true" outlineLevel="0" collapsed="false">
      <c r="D943" s="11"/>
      <c r="H943" s="1" t="s">
        <v>35</v>
      </c>
      <c r="I943" s="1" t="s">
        <v>34</v>
      </c>
      <c r="J943" s="1" t="n">
        <f aca="false">K942</f>
        <v>172108</v>
      </c>
      <c r="K943" s="1" t="n">
        <f aca="false">J943+L943</f>
        <v>172120</v>
      </c>
      <c r="L943" s="1" t="n">
        <v>12</v>
      </c>
      <c r="M943" s="1" t="n">
        <f aca="false">(E943+M942)-N943</f>
        <v>19.78</v>
      </c>
      <c r="N943" s="1" t="n">
        <v>1.25</v>
      </c>
    </row>
    <row r="944" customFormat="false" ht="15" hidden="false" customHeight="true" outlineLevel="0" collapsed="false">
      <c r="D944" s="11" t="n">
        <v>44987</v>
      </c>
      <c r="H944" s="1" t="s">
        <v>34</v>
      </c>
      <c r="I944" s="1" t="s">
        <v>43</v>
      </c>
      <c r="J944" s="1" t="n">
        <f aca="false">K943</f>
        <v>172120</v>
      </c>
      <c r="K944" s="1" t="n">
        <f aca="false">J944+L944</f>
        <v>172132</v>
      </c>
      <c r="L944" s="1" t="n">
        <v>12</v>
      </c>
      <c r="M944" s="1" t="n">
        <f aca="false">(E944+M943)-N944</f>
        <v>18.53</v>
      </c>
      <c r="N944" s="1" t="n">
        <v>1.25</v>
      </c>
    </row>
    <row r="945" customFormat="false" ht="15" hidden="false" customHeight="true" outlineLevel="0" collapsed="false">
      <c r="D945" s="11"/>
      <c r="H945" s="1" t="s">
        <v>43</v>
      </c>
      <c r="I945" s="1" t="s">
        <v>34</v>
      </c>
      <c r="J945" s="1" t="n">
        <f aca="false">K944</f>
        <v>172132</v>
      </c>
      <c r="K945" s="1" t="n">
        <f aca="false">J945+L945</f>
        <v>172144</v>
      </c>
      <c r="L945" s="1" t="n">
        <v>12</v>
      </c>
      <c r="M945" s="1" t="n">
        <f aca="false">(E945+M944)-N945</f>
        <v>17.28</v>
      </c>
      <c r="N945" s="1" t="n">
        <v>1.25</v>
      </c>
    </row>
    <row r="946" customFormat="false" ht="15" hidden="false" customHeight="true" outlineLevel="0" collapsed="false">
      <c r="D946" s="11" t="n">
        <v>44988</v>
      </c>
      <c r="H946" s="1" t="s">
        <v>34</v>
      </c>
      <c r="I946" s="1" t="s">
        <v>58</v>
      </c>
      <c r="J946" s="1" t="n">
        <f aca="false">K945</f>
        <v>172144</v>
      </c>
      <c r="K946" s="1" t="n">
        <f aca="false">J946+L946</f>
        <v>172171</v>
      </c>
      <c r="L946" s="1" t="n">
        <v>27</v>
      </c>
      <c r="M946" s="1" t="n">
        <f aca="false">(E946+M945)-N946</f>
        <v>14.08</v>
      </c>
      <c r="N946" s="1" t="n">
        <v>3.2</v>
      </c>
    </row>
    <row r="947" customFormat="false" ht="15" hidden="false" customHeight="true" outlineLevel="0" collapsed="false">
      <c r="D947" s="11"/>
      <c r="H947" s="1" t="s">
        <v>58</v>
      </c>
      <c r="I947" s="1" t="s">
        <v>34</v>
      </c>
      <c r="J947" s="1" t="n">
        <f aca="false">K946</f>
        <v>172171</v>
      </c>
      <c r="K947" s="1" t="n">
        <f aca="false">J947+L947</f>
        <v>172198</v>
      </c>
      <c r="L947" s="1" t="n">
        <v>27</v>
      </c>
      <c r="M947" s="1" t="n">
        <f aca="false">(E947+M946)-N947</f>
        <v>10.88</v>
      </c>
      <c r="N947" s="1" t="n">
        <v>3.2</v>
      </c>
    </row>
    <row r="948" customFormat="false" ht="15" hidden="false" customHeight="true" outlineLevel="0" collapsed="false">
      <c r="D948" s="11" t="n">
        <v>44991</v>
      </c>
      <c r="H948" s="1" t="s">
        <v>34</v>
      </c>
      <c r="I948" s="1" t="s">
        <v>61</v>
      </c>
      <c r="J948" s="1" t="n">
        <f aca="false">K947</f>
        <v>172198</v>
      </c>
      <c r="K948" s="1" t="n">
        <f aca="false">J948+L948</f>
        <v>172204</v>
      </c>
      <c r="L948" s="1" t="n">
        <v>6</v>
      </c>
      <c r="M948" s="1" t="n">
        <f aca="false">(E948+M947)-N948</f>
        <v>10.18</v>
      </c>
      <c r="N948" s="1" t="n">
        <v>0.7</v>
      </c>
    </row>
    <row r="949" customFormat="false" ht="15" hidden="false" customHeight="true" outlineLevel="0" collapsed="false">
      <c r="D949" s="11"/>
      <c r="H949" s="1" t="s">
        <v>61</v>
      </c>
      <c r="I949" s="1" t="s">
        <v>34</v>
      </c>
      <c r="J949" s="1" t="n">
        <f aca="false">K948</f>
        <v>172204</v>
      </c>
      <c r="K949" s="1" t="n">
        <f aca="false">J949+L949</f>
        <v>172210</v>
      </c>
      <c r="L949" s="1" t="n">
        <v>6</v>
      </c>
      <c r="M949" s="1" t="n">
        <f aca="false">(E949+M948)-N949</f>
        <v>9.47999999999999</v>
      </c>
      <c r="N949" s="1" t="n">
        <v>0.7</v>
      </c>
    </row>
    <row r="950" customFormat="false" ht="15" hidden="false" customHeight="true" outlineLevel="0" collapsed="false">
      <c r="D950" s="11" t="n">
        <v>44992</v>
      </c>
      <c r="H950" s="1" t="s">
        <v>34</v>
      </c>
      <c r="I950" s="1" t="s">
        <v>35</v>
      </c>
      <c r="J950" s="1" t="n">
        <f aca="false">K949</f>
        <v>172210</v>
      </c>
      <c r="K950" s="1" t="n">
        <f aca="false">J950+L950</f>
        <v>172222</v>
      </c>
      <c r="L950" s="1" t="n">
        <v>12</v>
      </c>
      <c r="M950" s="1" t="n">
        <f aca="false">(E950+M949)-N950</f>
        <v>8.22999999999999</v>
      </c>
      <c r="N950" s="1" t="n">
        <v>1.25</v>
      </c>
    </row>
    <row r="951" customFormat="false" ht="15" hidden="false" customHeight="true" outlineLevel="0" collapsed="false">
      <c r="D951" s="11"/>
      <c r="H951" s="1" t="s">
        <v>35</v>
      </c>
      <c r="I951" s="1" t="s">
        <v>34</v>
      </c>
      <c r="J951" s="1" t="n">
        <f aca="false">K950</f>
        <v>172222</v>
      </c>
      <c r="K951" s="1" t="n">
        <f aca="false">J951+L951</f>
        <v>172234</v>
      </c>
      <c r="L951" s="1" t="n">
        <v>12</v>
      </c>
      <c r="M951" s="1" t="n">
        <f aca="false">(E951+M950)-N951</f>
        <v>6.97999999999999</v>
      </c>
      <c r="N951" s="1" t="n">
        <v>1.25</v>
      </c>
    </row>
    <row r="952" customFormat="false" ht="15" hidden="false" customHeight="true" outlineLevel="0" collapsed="false">
      <c r="D952" s="11" t="n">
        <v>44994</v>
      </c>
      <c r="H952" s="1" t="s">
        <v>34</v>
      </c>
      <c r="I952" s="1" t="s">
        <v>43</v>
      </c>
      <c r="J952" s="1" t="n">
        <f aca="false">K951</f>
        <v>172234</v>
      </c>
      <c r="K952" s="1" t="n">
        <f aca="false">J952+L952</f>
        <v>172246</v>
      </c>
      <c r="L952" s="1" t="n">
        <v>12</v>
      </c>
      <c r="M952" s="1" t="n">
        <f aca="false">(E952+M951)-N952</f>
        <v>5.72999999999999</v>
      </c>
      <c r="N952" s="1" t="n">
        <v>1.25</v>
      </c>
    </row>
    <row r="953" customFormat="false" ht="15" hidden="false" customHeight="true" outlineLevel="0" collapsed="false">
      <c r="D953" s="11"/>
      <c r="H953" s="1" t="s">
        <v>43</v>
      </c>
      <c r="I953" s="1" t="s">
        <v>34</v>
      </c>
      <c r="J953" s="1" t="n">
        <f aca="false">K952</f>
        <v>172246</v>
      </c>
      <c r="K953" s="1" t="n">
        <f aca="false">J953+L953</f>
        <v>172258</v>
      </c>
      <c r="L953" s="1" t="n">
        <v>12</v>
      </c>
      <c r="M953" s="1" t="n">
        <f aca="false">(E953+M952)-N953</f>
        <v>4.47999999999999</v>
      </c>
      <c r="N953" s="1" t="n">
        <v>1.25</v>
      </c>
    </row>
    <row r="954" customFormat="false" ht="15" hidden="false" customHeight="true" outlineLevel="0" collapsed="false">
      <c r="D954" s="11" t="n">
        <v>44995</v>
      </c>
      <c r="H954" s="1" t="s">
        <v>34</v>
      </c>
      <c r="I954" s="1" t="s">
        <v>35</v>
      </c>
      <c r="J954" s="1" t="n">
        <f aca="false">K953</f>
        <v>172258</v>
      </c>
      <c r="K954" s="1" t="n">
        <f aca="false">J954+L954</f>
        <v>172270</v>
      </c>
      <c r="L954" s="1" t="n">
        <v>12</v>
      </c>
      <c r="M954" s="1" t="n">
        <f aca="false">(E954+M953)-N954</f>
        <v>3.22999999999999</v>
      </c>
      <c r="N954" s="1" t="n">
        <v>1.25</v>
      </c>
    </row>
    <row r="955" customFormat="false" ht="15" hidden="false" customHeight="true" outlineLevel="0" collapsed="false">
      <c r="D955" s="11"/>
      <c r="H955" s="1" t="s">
        <v>35</v>
      </c>
      <c r="I955" s="1" t="s">
        <v>34</v>
      </c>
      <c r="J955" s="1" t="n">
        <f aca="false">K954</f>
        <v>172270</v>
      </c>
      <c r="K955" s="1" t="n">
        <f aca="false">J955+L955</f>
        <v>172282</v>
      </c>
      <c r="L955" s="1" t="n">
        <v>12</v>
      </c>
      <c r="M955" s="1" t="n">
        <f aca="false">(E955+M954)-N955</f>
        <v>1.97999999999999</v>
      </c>
      <c r="N955" s="1" t="n">
        <v>1.25</v>
      </c>
    </row>
    <row r="956" customFormat="false" ht="15" hidden="false" customHeight="true" outlineLevel="0" collapsed="false">
      <c r="D956" s="11" t="n">
        <v>44998</v>
      </c>
      <c r="E956" s="0" t="n">
        <v>24.33</v>
      </c>
      <c r="F956" s="1" t="n">
        <v>51.45</v>
      </c>
      <c r="G956" s="6" t="n">
        <f aca="false">E956*F956</f>
        <v>1251.7785</v>
      </c>
      <c r="H956" s="1" t="s">
        <v>34</v>
      </c>
      <c r="I956" s="1" t="s">
        <v>59</v>
      </c>
      <c r="J956" s="1" t="n">
        <f aca="false">K955</f>
        <v>172282</v>
      </c>
      <c r="K956" s="1" t="n">
        <f aca="false">J956+L956</f>
        <v>172309</v>
      </c>
      <c r="L956" s="1" t="n">
        <v>27</v>
      </c>
      <c r="M956" s="1" t="n">
        <f aca="false">(E956+M955)-N956</f>
        <v>23.11</v>
      </c>
      <c r="N956" s="1" t="n">
        <v>3.2</v>
      </c>
    </row>
    <row r="957" customFormat="false" ht="15" hidden="false" customHeight="true" outlineLevel="0" collapsed="false">
      <c r="D957" s="11"/>
      <c r="G957" s="6"/>
      <c r="H957" s="1" t="s">
        <v>59</v>
      </c>
      <c r="I957" s="1" t="s">
        <v>34</v>
      </c>
      <c r="J957" s="1" t="n">
        <f aca="false">K956</f>
        <v>172309</v>
      </c>
      <c r="K957" s="1" t="n">
        <f aca="false">J957+L957</f>
        <v>172336</v>
      </c>
      <c r="L957" s="1" t="n">
        <v>27</v>
      </c>
      <c r="M957" s="1" t="n">
        <f aca="false">(E957+M956)-N957</f>
        <v>19.91</v>
      </c>
      <c r="N957" s="1" t="n">
        <v>3.2</v>
      </c>
    </row>
    <row r="958" customFormat="false" ht="15" hidden="false" customHeight="true" outlineLevel="0" collapsed="false">
      <c r="D958" s="11" t="n">
        <v>44999</v>
      </c>
      <c r="H958" s="1" t="s">
        <v>34</v>
      </c>
      <c r="I958" s="1" t="s">
        <v>61</v>
      </c>
      <c r="J958" s="1" t="n">
        <f aca="false">K957</f>
        <v>172336</v>
      </c>
      <c r="K958" s="1" t="n">
        <f aca="false">J958+L958</f>
        <v>172342</v>
      </c>
      <c r="L958" s="1" t="n">
        <v>6</v>
      </c>
      <c r="M958" s="1" t="n">
        <f aca="false">(E958+M957)-N958</f>
        <v>19.21</v>
      </c>
      <c r="N958" s="1" t="n">
        <v>0.7</v>
      </c>
    </row>
    <row r="959" customFormat="false" ht="15" hidden="false" customHeight="true" outlineLevel="0" collapsed="false">
      <c r="D959" s="11"/>
      <c r="H959" s="1" t="s">
        <v>61</v>
      </c>
      <c r="I959" s="1" t="s">
        <v>34</v>
      </c>
      <c r="J959" s="1" t="n">
        <f aca="false">K958</f>
        <v>172342</v>
      </c>
      <c r="K959" s="1" t="n">
        <f aca="false">J959+L959</f>
        <v>172348</v>
      </c>
      <c r="L959" s="1" t="n">
        <v>6</v>
      </c>
      <c r="M959" s="1" t="n">
        <f aca="false">(E959+M958)-N959</f>
        <v>18.51</v>
      </c>
      <c r="N959" s="1" t="n">
        <v>0.7</v>
      </c>
    </row>
    <row r="960" customFormat="false" ht="15" hidden="false" customHeight="true" outlineLevel="0" collapsed="false">
      <c r="D960" s="11" t="n">
        <v>45000</v>
      </c>
      <c r="H960" s="1" t="s">
        <v>34</v>
      </c>
      <c r="I960" s="1" t="s">
        <v>37</v>
      </c>
      <c r="J960" s="1" t="n">
        <f aca="false">K959</f>
        <v>172348</v>
      </c>
      <c r="K960" s="1" t="n">
        <f aca="false">J960+L960</f>
        <v>172388</v>
      </c>
      <c r="L960" s="1" t="n">
        <v>40</v>
      </c>
      <c r="M960" s="1" t="n">
        <f aca="false">(E960+M959)-N960</f>
        <v>13.71</v>
      </c>
      <c r="N960" s="1" t="n">
        <v>4.8</v>
      </c>
    </row>
    <row r="961" customFormat="false" ht="15" hidden="false" customHeight="true" outlineLevel="0" collapsed="false">
      <c r="D961" s="11"/>
      <c r="H961" s="1" t="s">
        <v>37</v>
      </c>
      <c r="I961" s="1" t="s">
        <v>34</v>
      </c>
      <c r="J961" s="1" t="n">
        <f aca="false">K960</f>
        <v>172388</v>
      </c>
      <c r="K961" s="1" t="n">
        <f aca="false">J961+L961</f>
        <v>172428</v>
      </c>
      <c r="L961" s="1" t="n">
        <v>40</v>
      </c>
      <c r="M961" s="1" t="n">
        <f aca="false">(E961+M960)-N961</f>
        <v>8.90999999999999</v>
      </c>
      <c r="N961" s="1" t="n">
        <v>4.8</v>
      </c>
    </row>
    <row r="962" customFormat="false" ht="15" hidden="false" customHeight="true" outlineLevel="0" collapsed="false">
      <c r="D962" s="11" t="n">
        <v>45001</v>
      </c>
      <c r="E962" s="0" t="n">
        <v>43.75</v>
      </c>
      <c r="F962" s="1" t="n">
        <v>51.9</v>
      </c>
      <c r="G962" s="6" t="n">
        <f aca="false">E962*F962</f>
        <v>2270.625</v>
      </c>
      <c r="H962" s="1" t="s">
        <v>34</v>
      </c>
      <c r="I962" s="1" t="s">
        <v>58</v>
      </c>
      <c r="J962" s="1" t="n">
        <f aca="false">K961</f>
        <v>172428</v>
      </c>
      <c r="K962" s="1" t="n">
        <f aca="false">J962+L962</f>
        <v>172455</v>
      </c>
      <c r="L962" s="1" t="n">
        <v>27</v>
      </c>
      <c r="M962" s="1" t="n">
        <f aca="false">(E962+M961)-N962</f>
        <v>49.46</v>
      </c>
      <c r="N962" s="1" t="n">
        <v>3.2</v>
      </c>
    </row>
    <row r="963" customFormat="false" ht="15" hidden="false" customHeight="true" outlineLevel="0" collapsed="false">
      <c r="D963" s="11"/>
      <c r="G963" s="6"/>
      <c r="H963" s="1" t="s">
        <v>58</v>
      </c>
      <c r="I963" s="1" t="s">
        <v>34</v>
      </c>
      <c r="J963" s="1" t="n">
        <f aca="false">K962</f>
        <v>172455</v>
      </c>
      <c r="K963" s="1" t="n">
        <f aca="false">J963+L963</f>
        <v>172482</v>
      </c>
      <c r="L963" s="1" t="n">
        <v>27</v>
      </c>
      <c r="M963" s="1" t="n">
        <f aca="false">(E963+M962)-N963</f>
        <v>46.26</v>
      </c>
      <c r="N963" s="1" t="n">
        <v>3.2</v>
      </c>
    </row>
    <row r="964" customFormat="false" ht="15" hidden="false" customHeight="true" outlineLevel="0" collapsed="false">
      <c r="D964" s="11" t="n">
        <v>45002</v>
      </c>
      <c r="H964" s="1" t="s">
        <v>34</v>
      </c>
      <c r="I964" s="1" t="s">
        <v>39</v>
      </c>
      <c r="J964" s="1" t="n">
        <f aca="false">K963</f>
        <v>172482</v>
      </c>
      <c r="K964" s="1" t="n">
        <f aca="false">J964+L964</f>
        <v>172532</v>
      </c>
      <c r="L964" s="1" t="n">
        <v>50</v>
      </c>
      <c r="M964" s="1" t="n">
        <f aca="false">(E964+M963)-N964</f>
        <v>40.76</v>
      </c>
      <c r="N964" s="1" t="n">
        <v>5.5</v>
      </c>
    </row>
    <row r="965" customFormat="false" ht="15" hidden="false" customHeight="true" outlineLevel="0" collapsed="false">
      <c r="D965" s="11"/>
      <c r="H965" s="1" t="s">
        <v>39</v>
      </c>
      <c r="I965" s="1" t="s">
        <v>34</v>
      </c>
      <c r="J965" s="1" t="n">
        <f aca="false">K964</f>
        <v>172532</v>
      </c>
      <c r="K965" s="1" t="n">
        <f aca="false">J965+L965</f>
        <v>172582</v>
      </c>
      <c r="L965" s="1" t="n">
        <v>50</v>
      </c>
      <c r="M965" s="1" t="n">
        <f aca="false">(E965+M964)-N965</f>
        <v>35.26</v>
      </c>
      <c r="N965" s="1" t="n">
        <v>5.5</v>
      </c>
    </row>
    <row r="966" customFormat="false" ht="15" hidden="false" customHeight="true" outlineLevel="0" collapsed="false">
      <c r="D966" s="11" t="n">
        <v>45005</v>
      </c>
      <c r="H966" s="1" t="s">
        <v>34</v>
      </c>
      <c r="I966" s="1" t="s">
        <v>43</v>
      </c>
      <c r="J966" s="1" t="n">
        <f aca="false">K965</f>
        <v>172582</v>
      </c>
      <c r="K966" s="1" t="n">
        <f aca="false">J966+L966</f>
        <v>172594</v>
      </c>
      <c r="L966" s="1" t="n">
        <v>12</v>
      </c>
      <c r="M966" s="1" t="n">
        <f aca="false">(E966+M965)-N966</f>
        <v>34.01</v>
      </c>
      <c r="N966" s="1" t="n">
        <v>1.25</v>
      </c>
    </row>
    <row r="967" customFormat="false" ht="15" hidden="false" customHeight="true" outlineLevel="0" collapsed="false">
      <c r="D967" s="11"/>
      <c r="H967" s="1" t="s">
        <v>43</v>
      </c>
      <c r="I967" s="1" t="s">
        <v>34</v>
      </c>
      <c r="J967" s="1" t="n">
        <f aca="false">K966</f>
        <v>172594</v>
      </c>
      <c r="K967" s="1" t="n">
        <f aca="false">J967+L967</f>
        <v>172606</v>
      </c>
      <c r="L967" s="1" t="n">
        <v>12</v>
      </c>
      <c r="M967" s="1" t="n">
        <f aca="false">(E967+M966)-N967</f>
        <v>32.76</v>
      </c>
      <c r="N967" s="1" t="n">
        <v>1.25</v>
      </c>
    </row>
    <row r="968" customFormat="false" ht="15" hidden="false" customHeight="true" outlineLevel="0" collapsed="false">
      <c r="D968" s="11" t="n">
        <v>45006</v>
      </c>
      <c r="H968" s="1" t="s">
        <v>34</v>
      </c>
      <c r="I968" s="1" t="s">
        <v>32</v>
      </c>
      <c r="J968" s="1" t="n">
        <f aca="false">K967</f>
        <v>172606</v>
      </c>
      <c r="K968" s="1" t="n">
        <f aca="false">J968+L968</f>
        <v>172631</v>
      </c>
      <c r="L968" s="1" t="n">
        <v>25</v>
      </c>
      <c r="M968" s="1" t="n">
        <f aca="false">(E968+M967)-N968</f>
        <v>29.76</v>
      </c>
      <c r="N968" s="1" t="n">
        <v>3</v>
      </c>
    </row>
    <row r="969" customFormat="false" ht="15" hidden="false" customHeight="true" outlineLevel="0" collapsed="false">
      <c r="D969" s="11"/>
      <c r="H969" s="1" t="s">
        <v>32</v>
      </c>
      <c r="I969" s="1" t="s">
        <v>34</v>
      </c>
      <c r="J969" s="1" t="n">
        <f aca="false">K968</f>
        <v>172631</v>
      </c>
      <c r="K969" s="1" t="n">
        <f aca="false">J969+L969</f>
        <v>172656</v>
      </c>
      <c r="L969" s="1" t="n">
        <v>25</v>
      </c>
      <c r="M969" s="1" t="n">
        <f aca="false">(E969+M968)-N969</f>
        <v>26.76</v>
      </c>
      <c r="N969" s="1" t="n">
        <v>3</v>
      </c>
    </row>
    <row r="970" customFormat="false" ht="15" hidden="false" customHeight="true" outlineLevel="0" collapsed="false">
      <c r="D970" s="11"/>
      <c r="H970" s="1" t="s">
        <v>34</v>
      </c>
      <c r="I970" s="1" t="s">
        <v>58</v>
      </c>
      <c r="J970" s="1" t="n">
        <f aca="false">K969</f>
        <v>172656</v>
      </c>
      <c r="K970" s="1" t="n">
        <f aca="false">J970+L970</f>
        <v>172683</v>
      </c>
      <c r="L970" s="1" t="n">
        <v>27</v>
      </c>
      <c r="M970" s="1" t="n">
        <f aca="false">(E970+M969)-N970</f>
        <v>23.56</v>
      </c>
      <c r="N970" s="1" t="n">
        <v>3.2</v>
      </c>
    </row>
    <row r="971" customFormat="false" ht="15" hidden="false" customHeight="true" outlineLevel="0" collapsed="false">
      <c r="D971" s="11"/>
      <c r="H971" s="1" t="s">
        <v>58</v>
      </c>
      <c r="I971" s="1" t="s">
        <v>34</v>
      </c>
      <c r="J971" s="1" t="n">
        <f aca="false">K970</f>
        <v>172683</v>
      </c>
      <c r="K971" s="1" t="n">
        <f aca="false">J971+L971</f>
        <v>172710</v>
      </c>
      <c r="L971" s="1" t="n">
        <v>27</v>
      </c>
      <c r="M971" s="1" t="n">
        <f aca="false">(E971+M970)-N971</f>
        <v>20.36</v>
      </c>
      <c r="N971" s="1" t="n">
        <v>3.2</v>
      </c>
    </row>
    <row r="972" customFormat="false" ht="15" hidden="false" customHeight="true" outlineLevel="0" collapsed="false">
      <c r="D972" s="11" t="n">
        <v>45007</v>
      </c>
      <c r="E972" s="0" t="n">
        <v>31.82</v>
      </c>
      <c r="F972" s="1" t="n">
        <v>50.8</v>
      </c>
      <c r="G972" s="6" t="n">
        <f aca="false">E972*F972</f>
        <v>1616.456</v>
      </c>
      <c r="H972" s="1" t="s">
        <v>34</v>
      </c>
      <c r="I972" s="1" t="s">
        <v>43</v>
      </c>
      <c r="J972" s="1" t="n">
        <f aca="false">K971</f>
        <v>172710</v>
      </c>
      <c r="K972" s="1" t="n">
        <f aca="false">J972+L972</f>
        <v>172722</v>
      </c>
      <c r="L972" s="1" t="n">
        <v>12</v>
      </c>
      <c r="M972" s="1" t="n">
        <f aca="false">(E972+M971)-N972</f>
        <v>50.93</v>
      </c>
      <c r="N972" s="1" t="n">
        <v>1.25</v>
      </c>
    </row>
    <row r="973" customFormat="false" ht="15" hidden="false" customHeight="true" outlineLevel="0" collapsed="false">
      <c r="D973" s="11"/>
      <c r="G973" s="6"/>
      <c r="H973" s="1" t="s">
        <v>43</v>
      </c>
      <c r="I973" s="1" t="s">
        <v>34</v>
      </c>
      <c r="J973" s="1" t="n">
        <f aca="false">K972</f>
        <v>172722</v>
      </c>
      <c r="K973" s="1" t="n">
        <f aca="false">J973+L973</f>
        <v>172734</v>
      </c>
      <c r="L973" s="1" t="n">
        <v>12</v>
      </c>
      <c r="M973" s="1" t="n">
        <f aca="false">(E973+M972)-N973</f>
        <v>49.68</v>
      </c>
      <c r="N973" s="1" t="n">
        <v>1.25</v>
      </c>
    </row>
    <row r="974" customFormat="false" ht="15" hidden="false" customHeight="true" outlineLevel="0" collapsed="false">
      <c r="D974" s="11" t="n">
        <v>45008</v>
      </c>
      <c r="H974" s="1" t="s">
        <v>34</v>
      </c>
      <c r="I974" s="1" t="s">
        <v>43</v>
      </c>
      <c r="J974" s="1" t="n">
        <f aca="false">K973</f>
        <v>172734</v>
      </c>
      <c r="K974" s="1" t="n">
        <f aca="false">J974+L974</f>
        <v>172746</v>
      </c>
      <c r="L974" s="1" t="n">
        <v>12</v>
      </c>
      <c r="M974" s="1" t="n">
        <f aca="false">(E974+M973)-N974</f>
        <v>48.43</v>
      </c>
      <c r="N974" s="1" t="n">
        <v>1.25</v>
      </c>
    </row>
    <row r="975" customFormat="false" ht="15" hidden="false" customHeight="true" outlineLevel="0" collapsed="false">
      <c r="D975" s="11"/>
      <c r="H975" s="1" t="s">
        <v>43</v>
      </c>
      <c r="I975" s="1" t="s">
        <v>34</v>
      </c>
      <c r="J975" s="1" t="n">
        <f aca="false">K974</f>
        <v>172746</v>
      </c>
      <c r="K975" s="1" t="n">
        <f aca="false">J975+L975</f>
        <v>172758</v>
      </c>
      <c r="L975" s="1" t="n">
        <v>12</v>
      </c>
      <c r="M975" s="1" t="n">
        <f aca="false">(E975+M974)-N975</f>
        <v>47.18</v>
      </c>
      <c r="N975" s="1" t="n">
        <v>1.25</v>
      </c>
    </row>
    <row r="976" customFormat="false" ht="15" hidden="false" customHeight="true" outlineLevel="0" collapsed="false">
      <c r="D976" s="11" t="n">
        <v>45009</v>
      </c>
      <c r="H976" s="1" t="s">
        <v>34</v>
      </c>
      <c r="I976" s="1" t="s">
        <v>59</v>
      </c>
      <c r="J976" s="1" t="n">
        <f aca="false">K975</f>
        <v>172758</v>
      </c>
      <c r="K976" s="1" t="n">
        <f aca="false">J976+L976</f>
        <v>172785</v>
      </c>
      <c r="L976" s="1" t="n">
        <v>27</v>
      </c>
      <c r="M976" s="1" t="n">
        <f aca="false">(E976+M975)-N976</f>
        <v>43.98</v>
      </c>
      <c r="N976" s="1" t="n">
        <v>3.2</v>
      </c>
    </row>
    <row r="977" customFormat="false" ht="15" hidden="false" customHeight="true" outlineLevel="0" collapsed="false">
      <c r="D977" s="11"/>
      <c r="H977" s="1" t="s">
        <v>59</v>
      </c>
      <c r="I977" s="1" t="s">
        <v>34</v>
      </c>
      <c r="J977" s="1" t="n">
        <f aca="false">K976</f>
        <v>172785</v>
      </c>
      <c r="K977" s="1" t="n">
        <f aca="false">J977+L977</f>
        <v>172812</v>
      </c>
      <c r="L977" s="1" t="n">
        <v>27</v>
      </c>
      <c r="M977" s="1" t="n">
        <f aca="false">(E977+M976)-N977</f>
        <v>40.78</v>
      </c>
      <c r="N977" s="1" t="n">
        <v>3.2</v>
      </c>
    </row>
    <row r="978" customFormat="false" ht="15" hidden="false" customHeight="true" outlineLevel="0" collapsed="false">
      <c r="D978" s="11"/>
      <c r="H978" s="1" t="s">
        <v>34</v>
      </c>
      <c r="I978" s="1" t="s">
        <v>54</v>
      </c>
      <c r="J978" s="1" t="n">
        <f aca="false">K977</f>
        <v>172812</v>
      </c>
      <c r="K978" s="1" t="n">
        <f aca="false">J978+L978</f>
        <v>172839</v>
      </c>
      <c r="L978" s="1" t="n">
        <v>27</v>
      </c>
      <c r="M978" s="1" t="n">
        <f aca="false">(E978+M977)-N978</f>
        <v>37.58</v>
      </c>
      <c r="N978" s="1" t="n">
        <v>3.2</v>
      </c>
    </row>
    <row r="979" customFormat="false" ht="15" hidden="false" customHeight="true" outlineLevel="0" collapsed="false">
      <c r="D979" s="11"/>
      <c r="H979" s="1" t="s">
        <v>54</v>
      </c>
      <c r="I979" s="1" t="s">
        <v>34</v>
      </c>
      <c r="J979" s="1" t="n">
        <f aca="false">K978</f>
        <v>172839</v>
      </c>
      <c r="K979" s="1" t="n">
        <f aca="false">J979+L979</f>
        <v>172866</v>
      </c>
      <c r="L979" s="1" t="n">
        <v>27</v>
      </c>
      <c r="M979" s="1" t="n">
        <f aca="false">(E979+M978)-N979</f>
        <v>34.38</v>
      </c>
      <c r="N979" s="1" t="n">
        <v>3.2</v>
      </c>
    </row>
    <row r="980" customFormat="false" ht="15" hidden="false" customHeight="true" outlineLevel="0" collapsed="false">
      <c r="D980" s="11" t="n">
        <v>45012</v>
      </c>
      <c r="H980" s="1" t="s">
        <v>34</v>
      </c>
      <c r="I980" s="1" t="s">
        <v>37</v>
      </c>
      <c r="J980" s="1" t="n">
        <f aca="false">K979</f>
        <v>172866</v>
      </c>
      <c r="K980" s="1" t="n">
        <f aca="false">J980+L980</f>
        <v>172906</v>
      </c>
      <c r="L980" s="1" t="n">
        <v>40</v>
      </c>
      <c r="M980" s="1" t="n">
        <f aca="false">(E980+M979)-N980</f>
        <v>29.58</v>
      </c>
      <c r="N980" s="1" t="n">
        <v>4.8</v>
      </c>
    </row>
    <row r="981" customFormat="false" ht="15" hidden="false" customHeight="true" outlineLevel="0" collapsed="false">
      <c r="D981" s="11"/>
      <c r="H981" s="1" t="s">
        <v>37</v>
      </c>
      <c r="I981" s="1" t="s">
        <v>34</v>
      </c>
      <c r="J981" s="1" t="n">
        <f aca="false">K980</f>
        <v>172906</v>
      </c>
      <c r="K981" s="1" t="n">
        <f aca="false">J981+L981</f>
        <v>172946</v>
      </c>
      <c r="L981" s="1" t="n">
        <v>40</v>
      </c>
      <c r="M981" s="1" t="n">
        <f aca="false">(E981+M980)-N981</f>
        <v>24.78</v>
      </c>
      <c r="N981" s="1" t="n">
        <v>4.8</v>
      </c>
    </row>
    <row r="982" customFormat="false" ht="15" hidden="false" customHeight="true" outlineLevel="0" collapsed="false">
      <c r="D982" s="11"/>
      <c r="H982" s="1" t="s">
        <v>34</v>
      </c>
      <c r="I982" s="1" t="s">
        <v>39</v>
      </c>
      <c r="J982" s="1" t="n">
        <f aca="false">K981</f>
        <v>172946</v>
      </c>
      <c r="K982" s="1" t="n">
        <f aca="false">J982+L982</f>
        <v>172996</v>
      </c>
      <c r="L982" s="1" t="n">
        <v>50</v>
      </c>
      <c r="M982" s="1" t="n">
        <f aca="false">(E982+M981)-N982</f>
        <v>19.28</v>
      </c>
      <c r="N982" s="1" t="n">
        <v>5.5</v>
      </c>
    </row>
    <row r="983" customFormat="false" ht="15" hidden="false" customHeight="true" outlineLevel="0" collapsed="false">
      <c r="D983" s="11"/>
      <c r="H983" s="1" t="s">
        <v>39</v>
      </c>
      <c r="I983" s="1" t="s">
        <v>34</v>
      </c>
      <c r="J983" s="1" t="n">
        <f aca="false">K982</f>
        <v>172996</v>
      </c>
      <c r="K983" s="1" t="n">
        <f aca="false">J983+L983</f>
        <v>173046</v>
      </c>
      <c r="L983" s="1" t="n">
        <v>50</v>
      </c>
      <c r="M983" s="1" t="n">
        <f aca="false">(E983+M982)-N983</f>
        <v>13.78</v>
      </c>
      <c r="N983" s="1" t="n">
        <v>5.5</v>
      </c>
    </row>
    <row r="984" customFormat="false" ht="15" hidden="false" customHeight="true" outlineLevel="0" collapsed="false">
      <c r="D984" s="11" t="n">
        <v>45013</v>
      </c>
      <c r="E984" s="0" t="n">
        <v>33.92</v>
      </c>
      <c r="F984" s="1" t="n">
        <v>51.6</v>
      </c>
      <c r="G984" s="6" t="n">
        <f aca="false">E984*F984</f>
        <v>1750.272</v>
      </c>
      <c r="H984" s="1" t="s">
        <v>34</v>
      </c>
      <c r="I984" s="1" t="s">
        <v>58</v>
      </c>
      <c r="J984" s="1" t="n">
        <f aca="false">K983</f>
        <v>173046</v>
      </c>
      <c r="K984" s="1" t="n">
        <f aca="false">J984+L984</f>
        <v>173073</v>
      </c>
      <c r="L984" s="1" t="n">
        <v>27</v>
      </c>
      <c r="M984" s="1" t="n">
        <f aca="false">(E984+M983)-N984</f>
        <v>44.5</v>
      </c>
      <c r="N984" s="1" t="n">
        <v>3.2</v>
      </c>
    </row>
    <row r="985" customFormat="false" ht="15" hidden="false" customHeight="true" outlineLevel="0" collapsed="false">
      <c r="D985" s="11"/>
      <c r="G985" s="6"/>
      <c r="H985" s="1" t="s">
        <v>58</v>
      </c>
      <c r="I985" s="1" t="s">
        <v>34</v>
      </c>
      <c r="J985" s="1" t="n">
        <f aca="false">K984</f>
        <v>173073</v>
      </c>
      <c r="K985" s="1" t="n">
        <f aca="false">J985+L985</f>
        <v>173100</v>
      </c>
      <c r="L985" s="1" t="n">
        <v>27</v>
      </c>
      <c r="M985" s="1" t="n">
        <f aca="false">(E985+M984)-N985</f>
        <v>41.3</v>
      </c>
      <c r="N985" s="1" t="n">
        <v>3.2</v>
      </c>
    </row>
    <row r="986" customFormat="false" ht="15" hidden="false" customHeight="true" outlineLevel="0" collapsed="false">
      <c r="D986" s="11" t="n">
        <v>45014</v>
      </c>
      <c r="H986" s="1" t="s">
        <v>34</v>
      </c>
      <c r="I986" s="1" t="s">
        <v>43</v>
      </c>
      <c r="J986" s="1" t="n">
        <f aca="false">K985</f>
        <v>173100</v>
      </c>
      <c r="K986" s="1" t="n">
        <f aca="false">J986+L986</f>
        <v>173112</v>
      </c>
      <c r="L986" s="1" t="n">
        <v>12</v>
      </c>
      <c r="M986" s="1" t="n">
        <f aca="false">(E986+M985)-N986</f>
        <v>40.05</v>
      </c>
      <c r="N986" s="1" t="n">
        <v>1.25</v>
      </c>
    </row>
    <row r="987" customFormat="false" ht="15" hidden="false" customHeight="true" outlineLevel="0" collapsed="false">
      <c r="D987" s="11"/>
      <c r="H987" s="1" t="s">
        <v>43</v>
      </c>
      <c r="I987" s="1" t="s">
        <v>34</v>
      </c>
      <c r="J987" s="1" t="n">
        <f aca="false">K986</f>
        <v>173112</v>
      </c>
      <c r="K987" s="1" t="n">
        <f aca="false">J987+L987</f>
        <v>173124</v>
      </c>
      <c r="L987" s="1" t="n">
        <v>12</v>
      </c>
      <c r="M987" s="1" t="n">
        <f aca="false">(E987+M986)-N987</f>
        <v>38.8</v>
      </c>
      <c r="N987" s="1" t="n">
        <v>1.25</v>
      </c>
    </row>
    <row r="988" customFormat="false" ht="15" hidden="false" customHeight="true" outlineLevel="0" collapsed="false">
      <c r="D988" s="11" t="n">
        <v>45015</v>
      </c>
      <c r="H988" s="1" t="s">
        <v>34</v>
      </c>
      <c r="I988" s="1" t="s">
        <v>59</v>
      </c>
      <c r="J988" s="1" t="n">
        <f aca="false">K987</f>
        <v>173124</v>
      </c>
      <c r="K988" s="1" t="n">
        <f aca="false">J988+L988</f>
        <v>173151</v>
      </c>
      <c r="L988" s="1" t="n">
        <v>27</v>
      </c>
      <c r="M988" s="1" t="n">
        <f aca="false">(E988+M987)-N988</f>
        <v>35.6</v>
      </c>
      <c r="N988" s="1" t="n">
        <v>3.2</v>
      </c>
    </row>
    <row r="989" customFormat="false" ht="15" hidden="false" customHeight="true" outlineLevel="0" collapsed="false">
      <c r="D989" s="11"/>
      <c r="H989" s="1" t="s">
        <v>59</v>
      </c>
      <c r="I989" s="1" t="s">
        <v>34</v>
      </c>
      <c r="J989" s="1" t="n">
        <f aca="false">K988</f>
        <v>173151</v>
      </c>
      <c r="K989" s="1" t="n">
        <f aca="false">J989+L989</f>
        <v>173178</v>
      </c>
      <c r="L989" s="1" t="n">
        <v>27</v>
      </c>
      <c r="M989" s="1" t="n">
        <f aca="false">(E989+M988)-N989</f>
        <v>32.4</v>
      </c>
      <c r="N989" s="1" t="n">
        <v>3.2</v>
      </c>
    </row>
    <row r="990" customFormat="false" ht="15" hidden="false" customHeight="true" outlineLevel="0" collapsed="false">
      <c r="D990" s="11" t="n">
        <v>45016</v>
      </c>
      <c r="H990" s="1" t="s">
        <v>34</v>
      </c>
      <c r="I990" s="1" t="s">
        <v>35</v>
      </c>
      <c r="J990" s="1" t="n">
        <f aca="false">K989</f>
        <v>173178</v>
      </c>
      <c r="K990" s="1" t="n">
        <f aca="false">J990+L990</f>
        <v>173190</v>
      </c>
      <c r="L990" s="1" t="n">
        <v>12</v>
      </c>
      <c r="M990" s="1" t="n">
        <f aca="false">(E990+M989)-N990</f>
        <v>31.15</v>
      </c>
      <c r="N990" s="1" t="n">
        <v>1.25</v>
      </c>
    </row>
    <row r="991" customFormat="false" ht="15" hidden="false" customHeight="true" outlineLevel="0" collapsed="false">
      <c r="H991" s="1" t="s">
        <v>35</v>
      </c>
      <c r="I991" s="1" t="s">
        <v>34</v>
      </c>
      <c r="J991" s="1" t="n">
        <f aca="false">K990</f>
        <v>173190</v>
      </c>
      <c r="K991" s="1" t="n">
        <f aca="false">J991+L991</f>
        <v>173202</v>
      </c>
      <c r="L991" s="1" t="n">
        <v>12</v>
      </c>
      <c r="M991" s="1" t="n">
        <f aca="false">(E991+M990)-N991</f>
        <v>29.9</v>
      </c>
      <c r="N991" s="1" t="n">
        <v>1.25</v>
      </c>
    </row>
    <row r="992" customFormat="false" ht="15" hidden="false" customHeight="true" outlineLevel="0" collapsed="false">
      <c r="H992" s="1" t="s">
        <v>34</v>
      </c>
      <c r="I992" s="1" t="s">
        <v>54</v>
      </c>
      <c r="J992" s="1" t="n">
        <f aca="false">K991</f>
        <v>173202</v>
      </c>
      <c r="K992" s="1" t="n">
        <f aca="false">J992+L992</f>
        <v>173229</v>
      </c>
      <c r="L992" s="1" t="n">
        <v>27</v>
      </c>
      <c r="M992" s="1" t="n">
        <f aca="false">(E992+M991)-N992</f>
        <v>26.7</v>
      </c>
      <c r="N992" s="1" t="n">
        <v>3.2</v>
      </c>
    </row>
    <row r="993" customFormat="false" ht="15" hidden="false" customHeight="true" outlineLevel="0" collapsed="false">
      <c r="H993" s="1" t="s">
        <v>54</v>
      </c>
      <c r="I993" s="1" t="s">
        <v>34</v>
      </c>
      <c r="J993" s="1" t="n">
        <f aca="false">K992</f>
        <v>173229</v>
      </c>
      <c r="K993" s="1" t="n">
        <f aca="false">J993+L993</f>
        <v>173256</v>
      </c>
      <c r="L993" s="1" t="n">
        <v>27</v>
      </c>
      <c r="M993" s="1" t="n">
        <f aca="false">(E993+M992)-N993</f>
        <v>23.5</v>
      </c>
      <c r="N993" s="1" t="n">
        <v>3.2</v>
      </c>
    </row>
    <row r="995" customFormat="false" ht="15" hidden="false" customHeight="true" outlineLevel="0" collapsed="false">
      <c r="D995" s="4" t="s">
        <v>62</v>
      </c>
      <c r="E995" s="4"/>
      <c r="F995" s="4"/>
      <c r="G995" s="4"/>
    </row>
    <row r="996" customFormat="false" ht="15" hidden="false" customHeight="true" outlineLevel="0" collapsed="false">
      <c r="D996" s="11" t="n">
        <v>45019</v>
      </c>
      <c r="E996" s="0" t="n">
        <v>32.81</v>
      </c>
      <c r="F996" s="1" t="n">
        <v>51.9</v>
      </c>
      <c r="G996" s="6" t="n">
        <f aca="false">E996*F996</f>
        <v>1702.839</v>
      </c>
      <c r="H996" s="1" t="s">
        <v>34</v>
      </c>
      <c r="I996" s="1" t="s">
        <v>54</v>
      </c>
      <c r="J996" s="1" t="n">
        <f aca="false">K993</f>
        <v>173256</v>
      </c>
      <c r="K996" s="1" t="n">
        <f aca="false">J996+L996</f>
        <v>173283</v>
      </c>
      <c r="L996" s="1" t="n">
        <v>27</v>
      </c>
      <c r="M996" s="1" t="n">
        <f aca="false">(E996+M993)-N996</f>
        <v>53.11</v>
      </c>
      <c r="N996" s="1" t="n">
        <v>3.2</v>
      </c>
    </row>
    <row r="997" customFormat="false" ht="15" hidden="false" customHeight="true" outlineLevel="0" collapsed="false">
      <c r="D997" s="11"/>
      <c r="G997" s="6"/>
      <c r="H997" s="1" t="s">
        <v>54</v>
      </c>
      <c r="I997" s="1" t="s">
        <v>34</v>
      </c>
      <c r="J997" s="1" t="n">
        <f aca="false">K996</f>
        <v>173283</v>
      </c>
      <c r="K997" s="1" t="n">
        <f aca="false">J997+L997</f>
        <v>173310</v>
      </c>
      <c r="L997" s="1" t="n">
        <v>27</v>
      </c>
      <c r="M997" s="1" t="n">
        <f aca="false">(E997+M996)-N997</f>
        <v>49.91</v>
      </c>
      <c r="N997" s="1" t="n">
        <v>3.2</v>
      </c>
    </row>
    <row r="998" customFormat="false" ht="15" hidden="false" customHeight="true" outlineLevel="0" collapsed="false">
      <c r="D998" s="11"/>
      <c r="G998" s="6"/>
      <c r="H998" s="1" t="s">
        <v>34</v>
      </c>
      <c r="I998" s="1" t="s">
        <v>37</v>
      </c>
      <c r="J998" s="1" t="n">
        <f aca="false">K997</f>
        <v>173310</v>
      </c>
      <c r="K998" s="1" t="n">
        <f aca="false">J998+L998</f>
        <v>173350</v>
      </c>
      <c r="L998" s="1" t="n">
        <v>40</v>
      </c>
      <c r="M998" s="1" t="n">
        <f aca="false">(E998+M997)-N998</f>
        <v>45.11</v>
      </c>
      <c r="N998" s="1" t="n">
        <v>4.8</v>
      </c>
    </row>
    <row r="999" customFormat="false" ht="15" hidden="false" customHeight="true" outlineLevel="0" collapsed="false">
      <c r="D999" s="11"/>
      <c r="G999" s="6"/>
      <c r="H999" s="1" t="s">
        <v>37</v>
      </c>
      <c r="I999" s="1" t="s">
        <v>34</v>
      </c>
      <c r="J999" s="1" t="n">
        <f aca="false">K998</f>
        <v>173350</v>
      </c>
      <c r="K999" s="1" t="n">
        <f aca="false">J999+L999</f>
        <v>173390</v>
      </c>
      <c r="L999" s="1" t="n">
        <v>40</v>
      </c>
      <c r="M999" s="1" t="n">
        <f aca="false">(E999+M998)-N999</f>
        <v>40.31</v>
      </c>
      <c r="N999" s="1" t="n">
        <v>4.8</v>
      </c>
    </row>
    <row r="1000" customFormat="false" ht="15" hidden="false" customHeight="true" outlineLevel="0" collapsed="false">
      <c r="D1000" s="11" t="n">
        <v>45020</v>
      </c>
      <c r="H1000" s="1" t="s">
        <v>34</v>
      </c>
      <c r="I1000" s="1" t="s">
        <v>32</v>
      </c>
      <c r="J1000" s="1" t="n">
        <f aca="false">K999</f>
        <v>173390</v>
      </c>
      <c r="K1000" s="1" t="n">
        <f aca="false">J1000+L1000</f>
        <v>173415</v>
      </c>
      <c r="L1000" s="1" t="n">
        <v>25</v>
      </c>
      <c r="M1000" s="1" t="n">
        <f aca="false">(E1000+M999)-N1000</f>
        <v>37.31</v>
      </c>
      <c r="N1000" s="1" t="n">
        <v>3</v>
      </c>
    </row>
    <row r="1001" customFormat="false" ht="15" hidden="false" customHeight="true" outlineLevel="0" collapsed="false">
      <c r="D1001" s="11"/>
      <c r="H1001" s="1" t="s">
        <v>32</v>
      </c>
      <c r="I1001" s="1" t="s">
        <v>34</v>
      </c>
      <c r="J1001" s="1" t="n">
        <f aca="false">K1000</f>
        <v>173415</v>
      </c>
      <c r="K1001" s="1" t="n">
        <f aca="false">J1001+L1001</f>
        <v>173440</v>
      </c>
      <c r="L1001" s="1" t="n">
        <v>25</v>
      </c>
      <c r="M1001" s="1" t="n">
        <f aca="false">(E1001+M1000)-N1001</f>
        <v>34.31</v>
      </c>
      <c r="N1001" s="1" t="n">
        <v>3</v>
      </c>
    </row>
    <row r="1002" customFormat="false" ht="15" hidden="false" customHeight="true" outlineLevel="0" collapsed="false">
      <c r="D1002" s="11" t="n">
        <v>45021</v>
      </c>
      <c r="H1002" s="1" t="s">
        <v>34</v>
      </c>
      <c r="I1002" s="1" t="s">
        <v>35</v>
      </c>
      <c r="J1002" s="1" t="n">
        <f aca="false">K1001</f>
        <v>173440</v>
      </c>
      <c r="K1002" s="1" t="n">
        <f aca="false">J1002+L1002</f>
        <v>173452</v>
      </c>
      <c r="L1002" s="1" t="n">
        <v>12</v>
      </c>
      <c r="M1002" s="1" t="n">
        <f aca="false">(E1002+M1001)-N1002</f>
        <v>33.06</v>
      </c>
      <c r="N1002" s="1" t="n">
        <v>1.25</v>
      </c>
    </row>
    <row r="1003" customFormat="false" ht="15" hidden="false" customHeight="true" outlineLevel="0" collapsed="false">
      <c r="D1003" s="11"/>
      <c r="H1003" s="1" t="s">
        <v>35</v>
      </c>
      <c r="I1003" s="1" t="s">
        <v>34</v>
      </c>
      <c r="J1003" s="1" t="n">
        <f aca="false">K1002</f>
        <v>173452</v>
      </c>
      <c r="K1003" s="1" t="n">
        <f aca="false">J1003+L1003</f>
        <v>173464</v>
      </c>
      <c r="L1003" s="1" t="n">
        <v>12</v>
      </c>
      <c r="M1003" s="1" t="n">
        <f aca="false">(E1003+M1002)-N1003</f>
        <v>31.81</v>
      </c>
      <c r="N1003" s="1" t="n">
        <v>1.25</v>
      </c>
    </row>
    <row r="1004" customFormat="false" ht="15" hidden="false" customHeight="true" outlineLevel="0" collapsed="false">
      <c r="D1004" s="11" t="n">
        <v>45022</v>
      </c>
      <c r="H1004" s="1" t="s">
        <v>34</v>
      </c>
      <c r="I1004" s="1" t="s">
        <v>43</v>
      </c>
      <c r="J1004" s="1" t="n">
        <f aca="false">K1003</f>
        <v>173464</v>
      </c>
      <c r="K1004" s="1" t="n">
        <f aca="false">J1004+L1004</f>
        <v>173476</v>
      </c>
      <c r="L1004" s="1" t="n">
        <v>12</v>
      </c>
      <c r="M1004" s="1" t="n">
        <f aca="false">(E1004+M1003)-N1004</f>
        <v>30.56</v>
      </c>
      <c r="N1004" s="1" t="n">
        <v>1.25</v>
      </c>
    </row>
    <row r="1005" customFormat="false" ht="15" hidden="false" customHeight="true" outlineLevel="0" collapsed="false">
      <c r="D1005" s="11"/>
      <c r="H1005" s="1" t="s">
        <v>43</v>
      </c>
      <c r="I1005" s="1" t="s">
        <v>34</v>
      </c>
      <c r="J1005" s="1" t="n">
        <f aca="false">K1004</f>
        <v>173476</v>
      </c>
      <c r="K1005" s="1" t="n">
        <f aca="false">J1005+L1005</f>
        <v>173488</v>
      </c>
      <c r="L1005" s="1" t="n">
        <v>12</v>
      </c>
      <c r="M1005" s="1" t="n">
        <f aca="false">(E1005+M1004)-N1005</f>
        <v>29.31</v>
      </c>
      <c r="N1005" s="1" t="n">
        <v>1.25</v>
      </c>
    </row>
    <row r="1006" customFormat="false" ht="15" hidden="false" customHeight="true" outlineLevel="0" collapsed="false">
      <c r="D1006" s="11" t="n">
        <v>45023</v>
      </c>
      <c r="H1006" s="1" t="s">
        <v>34</v>
      </c>
      <c r="I1006" s="1" t="s">
        <v>54</v>
      </c>
      <c r="J1006" s="1" t="n">
        <f aca="false">K1005</f>
        <v>173488</v>
      </c>
      <c r="K1006" s="1" t="n">
        <f aca="false">J1006+L1006</f>
        <v>173515</v>
      </c>
      <c r="L1006" s="1" t="n">
        <v>27</v>
      </c>
      <c r="M1006" s="1" t="n">
        <f aca="false">(E1006+M1005)-N1006</f>
        <v>26.11</v>
      </c>
      <c r="N1006" s="1" t="n">
        <v>3.2</v>
      </c>
    </row>
    <row r="1007" customFormat="false" ht="15" hidden="false" customHeight="true" outlineLevel="0" collapsed="false">
      <c r="D1007" s="11"/>
      <c r="H1007" s="1" t="s">
        <v>54</v>
      </c>
      <c r="I1007" s="1" t="s">
        <v>34</v>
      </c>
      <c r="J1007" s="1" t="n">
        <f aca="false">K1006</f>
        <v>173515</v>
      </c>
      <c r="K1007" s="1" t="n">
        <f aca="false">J1007+L1007</f>
        <v>173542</v>
      </c>
      <c r="L1007" s="1" t="n">
        <v>27</v>
      </c>
      <c r="M1007" s="1" t="n">
        <f aca="false">(E1007+M1006)-N1007</f>
        <v>22.91</v>
      </c>
      <c r="N1007" s="1" t="n">
        <v>3.2</v>
      </c>
    </row>
    <row r="1008" customFormat="false" ht="15" hidden="false" customHeight="true" outlineLevel="0" collapsed="false">
      <c r="D1008" s="11" t="n">
        <v>45026</v>
      </c>
      <c r="H1008" s="1" t="s">
        <v>34</v>
      </c>
      <c r="I1008" s="1" t="s">
        <v>59</v>
      </c>
      <c r="J1008" s="1" t="n">
        <f aca="false">K1007</f>
        <v>173542</v>
      </c>
      <c r="K1008" s="1" t="n">
        <f aca="false">J1008+L1008</f>
        <v>173569</v>
      </c>
      <c r="L1008" s="1" t="n">
        <v>27</v>
      </c>
      <c r="M1008" s="1" t="n">
        <f aca="false">(E1008+M1007)-N1008</f>
        <v>19.71</v>
      </c>
      <c r="N1008" s="1" t="n">
        <v>3.2</v>
      </c>
    </row>
    <row r="1009" customFormat="false" ht="15" hidden="false" customHeight="true" outlineLevel="0" collapsed="false">
      <c r="D1009" s="11"/>
      <c r="H1009" s="1" t="s">
        <v>59</v>
      </c>
      <c r="I1009" s="1" t="s">
        <v>34</v>
      </c>
      <c r="J1009" s="1" t="n">
        <f aca="false">K1008</f>
        <v>173569</v>
      </c>
      <c r="K1009" s="1" t="n">
        <f aca="false">J1009+L1009</f>
        <v>173596</v>
      </c>
      <c r="L1009" s="1" t="n">
        <v>27</v>
      </c>
      <c r="M1009" s="1" t="n">
        <f aca="false">(E1009+M1008)-N1009</f>
        <v>16.51</v>
      </c>
      <c r="N1009" s="1" t="n">
        <v>3.2</v>
      </c>
    </row>
    <row r="1010" customFormat="false" ht="15" hidden="false" customHeight="true" outlineLevel="0" collapsed="false">
      <c r="D1010" s="11"/>
      <c r="H1010" s="1" t="s">
        <v>34</v>
      </c>
      <c r="I1010" s="1" t="s">
        <v>37</v>
      </c>
      <c r="J1010" s="1" t="n">
        <f aca="false">K1009</f>
        <v>173596</v>
      </c>
      <c r="K1010" s="1" t="n">
        <f aca="false">J1010+L1010</f>
        <v>173636</v>
      </c>
      <c r="L1010" s="1" t="n">
        <v>40</v>
      </c>
      <c r="M1010" s="1" t="n">
        <f aca="false">(E1010+M1009)-N1010</f>
        <v>11.71</v>
      </c>
      <c r="N1010" s="1" t="n">
        <v>4.8</v>
      </c>
    </row>
    <row r="1011" customFormat="false" ht="15" hidden="false" customHeight="true" outlineLevel="0" collapsed="false">
      <c r="D1011" s="11"/>
      <c r="H1011" s="1" t="s">
        <v>37</v>
      </c>
      <c r="I1011" s="1" t="s">
        <v>34</v>
      </c>
      <c r="J1011" s="1" t="n">
        <f aca="false">K1010</f>
        <v>173636</v>
      </c>
      <c r="K1011" s="1" t="n">
        <f aca="false">J1011+L1011</f>
        <v>173676</v>
      </c>
      <c r="L1011" s="1" t="n">
        <v>40</v>
      </c>
      <c r="M1011" s="1" t="n">
        <f aca="false">(E1011+M1010)-N1011</f>
        <v>6.90999999999997</v>
      </c>
      <c r="N1011" s="1" t="n">
        <v>4.8</v>
      </c>
    </row>
    <row r="1012" customFormat="false" ht="15" hidden="false" customHeight="true" outlineLevel="0" collapsed="false">
      <c r="D1012" s="11" t="n">
        <v>45027</v>
      </c>
      <c r="E1012" s="0" t="n">
        <v>37.89</v>
      </c>
      <c r="F1012" s="1" t="n">
        <v>51.9</v>
      </c>
      <c r="G1012" s="6" t="n">
        <f aca="false">E1012*F1012</f>
        <v>1966.491</v>
      </c>
      <c r="H1012" s="1" t="s">
        <v>34</v>
      </c>
      <c r="I1012" s="1" t="s">
        <v>35</v>
      </c>
      <c r="J1012" s="1" t="n">
        <f aca="false">K1011</f>
        <v>173676</v>
      </c>
      <c r="K1012" s="1" t="n">
        <f aca="false">J1012+L1012</f>
        <v>173688</v>
      </c>
      <c r="L1012" s="1" t="n">
        <v>12</v>
      </c>
      <c r="M1012" s="1" t="n">
        <f aca="false">(E1012+M1011)-N1012</f>
        <v>43.55</v>
      </c>
      <c r="N1012" s="1" t="n">
        <v>1.25</v>
      </c>
    </row>
    <row r="1013" customFormat="false" ht="15" hidden="false" customHeight="true" outlineLevel="0" collapsed="false">
      <c r="D1013" s="11"/>
      <c r="G1013" s="6"/>
      <c r="H1013" s="1" t="s">
        <v>35</v>
      </c>
      <c r="I1013" s="1" t="s">
        <v>34</v>
      </c>
      <c r="J1013" s="1" t="n">
        <f aca="false">K1012</f>
        <v>173688</v>
      </c>
      <c r="K1013" s="1" t="n">
        <f aca="false">J1013+L1013</f>
        <v>173700</v>
      </c>
      <c r="L1013" s="1" t="n">
        <v>12</v>
      </c>
      <c r="M1013" s="1" t="n">
        <f aca="false">(E1013+M1012)-N1013</f>
        <v>42.3</v>
      </c>
      <c r="N1013" s="1" t="n">
        <v>1.25</v>
      </c>
    </row>
    <row r="1014" customFormat="false" ht="15" hidden="false" customHeight="true" outlineLevel="0" collapsed="false">
      <c r="D1014" s="11" t="n">
        <v>45028</v>
      </c>
      <c r="H1014" s="1" t="s">
        <v>34</v>
      </c>
      <c r="I1014" s="1" t="s">
        <v>43</v>
      </c>
      <c r="J1014" s="1" t="n">
        <f aca="false">K1013</f>
        <v>173700</v>
      </c>
      <c r="K1014" s="1" t="n">
        <f aca="false">J1014+L1014</f>
        <v>173712</v>
      </c>
      <c r="L1014" s="1" t="n">
        <v>12</v>
      </c>
      <c r="M1014" s="1" t="n">
        <f aca="false">(E1014+M1013)-N1014</f>
        <v>41.05</v>
      </c>
      <c r="N1014" s="1" t="n">
        <v>1.25</v>
      </c>
    </row>
    <row r="1015" customFormat="false" ht="15" hidden="false" customHeight="true" outlineLevel="0" collapsed="false">
      <c r="D1015" s="11"/>
      <c r="H1015" s="1" t="s">
        <v>43</v>
      </c>
      <c r="I1015" s="1" t="s">
        <v>34</v>
      </c>
      <c r="J1015" s="1" t="n">
        <f aca="false">K1014</f>
        <v>173712</v>
      </c>
      <c r="K1015" s="1" t="n">
        <f aca="false">J1015+L1015</f>
        <v>173724</v>
      </c>
      <c r="L1015" s="1" t="n">
        <v>12</v>
      </c>
      <c r="M1015" s="1" t="n">
        <f aca="false">(E1015+M1014)-N1015</f>
        <v>39.8</v>
      </c>
      <c r="N1015" s="1" t="n">
        <v>1.25</v>
      </c>
    </row>
    <row r="1016" customFormat="false" ht="15" hidden="false" customHeight="true" outlineLevel="0" collapsed="false">
      <c r="D1016" s="11" t="n">
        <v>45029</v>
      </c>
      <c r="H1016" s="1" t="s">
        <v>34</v>
      </c>
      <c r="I1016" s="1" t="s">
        <v>43</v>
      </c>
      <c r="J1016" s="1" t="n">
        <f aca="false">K1015</f>
        <v>173724</v>
      </c>
      <c r="K1016" s="1" t="n">
        <f aca="false">J1016+L1016</f>
        <v>173736</v>
      </c>
      <c r="L1016" s="1" t="n">
        <v>12</v>
      </c>
      <c r="M1016" s="1" t="n">
        <f aca="false">(E1016+M1015)-N1016</f>
        <v>38.55</v>
      </c>
      <c r="N1016" s="1" t="n">
        <v>1.25</v>
      </c>
    </row>
    <row r="1017" customFormat="false" ht="15" hidden="false" customHeight="true" outlineLevel="0" collapsed="false">
      <c r="D1017" s="11"/>
      <c r="H1017" s="1" t="s">
        <v>43</v>
      </c>
      <c r="I1017" s="1" t="s">
        <v>34</v>
      </c>
      <c r="J1017" s="1" t="n">
        <f aca="false">K1016</f>
        <v>173736</v>
      </c>
      <c r="K1017" s="1" t="n">
        <f aca="false">J1017+L1017</f>
        <v>173748</v>
      </c>
      <c r="L1017" s="1" t="n">
        <v>12</v>
      </c>
      <c r="M1017" s="1" t="n">
        <f aca="false">(E1017+M1016)-N1017</f>
        <v>37.3</v>
      </c>
      <c r="N1017" s="1" t="n">
        <v>1.25</v>
      </c>
    </row>
    <row r="1018" customFormat="false" ht="15" hidden="false" customHeight="true" outlineLevel="0" collapsed="false">
      <c r="D1018" s="11" t="n">
        <v>45030</v>
      </c>
      <c r="H1018" s="1" t="s">
        <v>34</v>
      </c>
      <c r="I1018" s="1" t="s">
        <v>43</v>
      </c>
      <c r="J1018" s="1" t="n">
        <f aca="false">K1017</f>
        <v>173748</v>
      </c>
      <c r="K1018" s="1" t="n">
        <f aca="false">J1018+L1018</f>
        <v>173760</v>
      </c>
      <c r="L1018" s="1" t="n">
        <v>12</v>
      </c>
      <c r="M1018" s="1" t="n">
        <f aca="false">(E1018+M1017)-N1018</f>
        <v>36.05</v>
      </c>
      <c r="N1018" s="1" t="n">
        <v>1.25</v>
      </c>
    </row>
    <row r="1019" customFormat="false" ht="15" hidden="false" customHeight="true" outlineLevel="0" collapsed="false">
      <c r="D1019" s="11"/>
      <c r="H1019" s="1" t="s">
        <v>43</v>
      </c>
      <c r="I1019" s="1" t="s">
        <v>34</v>
      </c>
      <c r="J1019" s="1" t="n">
        <f aca="false">K1018</f>
        <v>173760</v>
      </c>
      <c r="K1019" s="1" t="n">
        <f aca="false">J1019+L1019</f>
        <v>173772</v>
      </c>
      <c r="L1019" s="1" t="n">
        <v>12</v>
      </c>
      <c r="M1019" s="1" t="n">
        <f aca="false">(E1019+M1018)-N1019</f>
        <v>34.8</v>
      </c>
      <c r="N1019" s="1" t="n">
        <v>1.25</v>
      </c>
    </row>
    <row r="1020" customFormat="false" ht="15" hidden="false" customHeight="true" outlineLevel="0" collapsed="false">
      <c r="D1020" s="11" t="n">
        <v>45033</v>
      </c>
      <c r="H1020" s="1" t="s">
        <v>34</v>
      </c>
      <c r="I1020" s="1" t="s">
        <v>54</v>
      </c>
      <c r="J1020" s="1" t="n">
        <f aca="false">K1019</f>
        <v>173772</v>
      </c>
      <c r="K1020" s="1" t="n">
        <f aca="false">J1020+L1020</f>
        <v>173799</v>
      </c>
      <c r="L1020" s="1" t="n">
        <v>27</v>
      </c>
      <c r="M1020" s="1" t="n">
        <f aca="false">(E1020+M1019)-N1020</f>
        <v>31.6</v>
      </c>
      <c r="N1020" s="1" t="n">
        <v>3.2</v>
      </c>
    </row>
    <row r="1021" customFormat="false" ht="15" hidden="false" customHeight="true" outlineLevel="0" collapsed="false">
      <c r="D1021" s="11"/>
      <c r="H1021" s="1" t="s">
        <v>54</v>
      </c>
      <c r="I1021" s="1" t="s">
        <v>34</v>
      </c>
      <c r="J1021" s="1" t="n">
        <f aca="false">K1020</f>
        <v>173799</v>
      </c>
      <c r="K1021" s="1" t="n">
        <f aca="false">J1021+L1021</f>
        <v>173826</v>
      </c>
      <c r="L1021" s="1" t="n">
        <v>27</v>
      </c>
      <c r="M1021" s="1" t="n">
        <f aca="false">(E1021+M1020)-N1021</f>
        <v>28.4</v>
      </c>
      <c r="N1021" s="1" t="n">
        <v>3.2</v>
      </c>
    </row>
    <row r="1022" customFormat="false" ht="15" hidden="false" customHeight="true" outlineLevel="0" collapsed="false">
      <c r="D1022" s="11" t="n">
        <v>45034</v>
      </c>
      <c r="H1022" s="1" t="s">
        <v>34</v>
      </c>
      <c r="I1022" s="1" t="s">
        <v>58</v>
      </c>
      <c r="J1022" s="1" t="n">
        <f aca="false">K1021</f>
        <v>173826</v>
      </c>
      <c r="K1022" s="1" t="n">
        <f aca="false">J1022+L1022</f>
        <v>173853</v>
      </c>
      <c r="L1022" s="1" t="n">
        <v>27</v>
      </c>
      <c r="M1022" s="1" t="n">
        <f aca="false">(E1022+M1021)-N1022</f>
        <v>25.2</v>
      </c>
      <c r="N1022" s="1" t="n">
        <v>3.2</v>
      </c>
    </row>
    <row r="1023" customFormat="false" ht="15" hidden="false" customHeight="true" outlineLevel="0" collapsed="false">
      <c r="D1023" s="11"/>
      <c r="H1023" s="1" t="s">
        <v>58</v>
      </c>
      <c r="I1023" s="1" t="s">
        <v>34</v>
      </c>
      <c r="J1023" s="1" t="n">
        <f aca="false">K1022</f>
        <v>173853</v>
      </c>
      <c r="K1023" s="1" t="n">
        <f aca="false">J1023+L1023</f>
        <v>173880</v>
      </c>
      <c r="L1023" s="1" t="n">
        <v>27</v>
      </c>
      <c r="M1023" s="1" t="n">
        <f aca="false">(E1023+M1022)-N1023</f>
        <v>22</v>
      </c>
      <c r="N1023" s="1" t="n">
        <v>3.2</v>
      </c>
    </row>
    <row r="1024" customFormat="false" ht="15" hidden="false" customHeight="true" outlineLevel="0" collapsed="false">
      <c r="D1024" s="11" t="n">
        <v>45035</v>
      </c>
      <c r="H1024" s="1" t="s">
        <v>34</v>
      </c>
      <c r="I1024" s="1" t="s">
        <v>49</v>
      </c>
      <c r="J1024" s="1" t="n">
        <f aca="false">K1023</f>
        <v>173880</v>
      </c>
      <c r="K1024" s="1" t="n">
        <f aca="false">J1024+L1024</f>
        <v>173907</v>
      </c>
      <c r="L1024" s="1" t="n">
        <v>27</v>
      </c>
      <c r="M1024" s="1" t="n">
        <f aca="false">(E1024+M1023)-N1024</f>
        <v>18.8</v>
      </c>
      <c r="N1024" s="1" t="n">
        <v>3.2</v>
      </c>
    </row>
    <row r="1025" customFormat="false" ht="15" hidden="false" customHeight="true" outlineLevel="0" collapsed="false">
      <c r="D1025" s="11"/>
      <c r="H1025" s="1" t="s">
        <v>49</v>
      </c>
      <c r="I1025" s="1" t="s">
        <v>34</v>
      </c>
      <c r="J1025" s="1" t="n">
        <f aca="false">K1024</f>
        <v>173907</v>
      </c>
      <c r="K1025" s="1" t="n">
        <f aca="false">J1025+L1025</f>
        <v>173934</v>
      </c>
      <c r="L1025" s="1" t="n">
        <v>27</v>
      </c>
      <c r="M1025" s="1" t="n">
        <f aca="false">(E1025+M1024)-N1025</f>
        <v>15.6</v>
      </c>
      <c r="N1025" s="1" t="n">
        <v>3.2</v>
      </c>
    </row>
    <row r="1026" customFormat="false" ht="15" hidden="false" customHeight="true" outlineLevel="0" collapsed="false">
      <c r="D1026" s="11" t="n">
        <v>45036</v>
      </c>
      <c r="H1026" s="1" t="s">
        <v>34</v>
      </c>
      <c r="I1026" s="1" t="s">
        <v>43</v>
      </c>
      <c r="J1026" s="1" t="n">
        <f aca="false">K1025</f>
        <v>173934</v>
      </c>
      <c r="K1026" s="1" t="n">
        <f aca="false">J1026+L1026</f>
        <v>173946</v>
      </c>
      <c r="L1026" s="1" t="n">
        <v>12</v>
      </c>
      <c r="M1026" s="1" t="n">
        <f aca="false">(E1026+M1025)-N1026</f>
        <v>14.35</v>
      </c>
      <c r="N1026" s="1" t="n">
        <v>1.25</v>
      </c>
    </row>
    <row r="1027" customFormat="false" ht="15" hidden="false" customHeight="true" outlineLevel="0" collapsed="false">
      <c r="D1027" s="11"/>
      <c r="H1027" s="1" t="s">
        <v>43</v>
      </c>
      <c r="I1027" s="1" t="s">
        <v>34</v>
      </c>
      <c r="J1027" s="1" t="n">
        <f aca="false">K1026</f>
        <v>173946</v>
      </c>
      <c r="K1027" s="1" t="n">
        <f aca="false">J1027+L1027</f>
        <v>173958</v>
      </c>
      <c r="L1027" s="1" t="n">
        <v>12</v>
      </c>
      <c r="M1027" s="1" t="n">
        <f aca="false">(E1027+M1026)-N1027</f>
        <v>13.1</v>
      </c>
      <c r="N1027" s="1" t="n">
        <v>1.25</v>
      </c>
    </row>
    <row r="1028" customFormat="false" ht="15" hidden="false" customHeight="true" outlineLevel="0" collapsed="false">
      <c r="D1028" s="11" t="n">
        <v>45037</v>
      </c>
      <c r="H1028" s="1" t="s">
        <v>34</v>
      </c>
      <c r="I1028" s="1" t="s">
        <v>43</v>
      </c>
      <c r="J1028" s="1" t="n">
        <f aca="false">K1027</f>
        <v>173958</v>
      </c>
      <c r="K1028" s="1" t="n">
        <f aca="false">J1028+L1028</f>
        <v>173970</v>
      </c>
      <c r="L1028" s="1" t="n">
        <v>12</v>
      </c>
      <c r="M1028" s="1" t="n">
        <f aca="false">(E1028+M1027)-N1028</f>
        <v>11.85</v>
      </c>
      <c r="N1028" s="1" t="n">
        <v>1.25</v>
      </c>
    </row>
    <row r="1029" customFormat="false" ht="15" hidden="false" customHeight="true" outlineLevel="0" collapsed="false">
      <c r="D1029" s="11"/>
      <c r="H1029" s="1" t="s">
        <v>43</v>
      </c>
      <c r="I1029" s="1" t="s">
        <v>34</v>
      </c>
      <c r="J1029" s="1" t="n">
        <f aca="false">K1028</f>
        <v>173970</v>
      </c>
      <c r="K1029" s="1" t="n">
        <f aca="false">J1029+L1029</f>
        <v>173982</v>
      </c>
      <c r="L1029" s="1" t="n">
        <v>12</v>
      </c>
      <c r="M1029" s="1" t="n">
        <f aca="false">(E1029+M1028)-N1029</f>
        <v>10.6</v>
      </c>
      <c r="N1029" s="1" t="n">
        <v>1.25</v>
      </c>
    </row>
    <row r="1030" customFormat="false" ht="15" hidden="false" customHeight="true" outlineLevel="0" collapsed="false">
      <c r="D1030" s="11" t="n">
        <v>45040</v>
      </c>
      <c r="H1030" s="1" t="s">
        <v>34</v>
      </c>
      <c r="I1030" s="1" t="s">
        <v>54</v>
      </c>
      <c r="J1030" s="1" t="n">
        <f aca="false">K1029</f>
        <v>173982</v>
      </c>
      <c r="K1030" s="1" t="n">
        <f aca="false">J1030+L1030</f>
        <v>174009</v>
      </c>
      <c r="L1030" s="1" t="n">
        <v>27</v>
      </c>
      <c r="M1030" s="1" t="n">
        <f aca="false">(E1030+M1029)-N1030</f>
        <v>7.39999999999997</v>
      </c>
      <c r="N1030" s="1" t="n">
        <v>3.2</v>
      </c>
    </row>
    <row r="1031" customFormat="false" ht="15" hidden="false" customHeight="true" outlineLevel="0" collapsed="false">
      <c r="D1031" s="11"/>
      <c r="H1031" s="1" t="s">
        <v>54</v>
      </c>
      <c r="I1031" s="1" t="s">
        <v>34</v>
      </c>
      <c r="J1031" s="1" t="n">
        <f aca="false">K1030</f>
        <v>174009</v>
      </c>
      <c r="K1031" s="1" t="n">
        <f aca="false">J1031+L1031</f>
        <v>174036</v>
      </c>
      <c r="L1031" s="1" t="n">
        <v>27</v>
      </c>
      <c r="M1031" s="1" t="n">
        <f aca="false">(E1031+M1030)-N1031</f>
        <v>4.19999999999997</v>
      </c>
      <c r="N1031" s="1" t="n">
        <v>3.2</v>
      </c>
    </row>
    <row r="1032" customFormat="false" ht="15" hidden="false" customHeight="true" outlineLevel="0" collapsed="false">
      <c r="D1032" s="11" t="n">
        <v>45041</v>
      </c>
      <c r="E1032" s="0" t="n">
        <v>33.93</v>
      </c>
      <c r="F1032" s="1" t="n">
        <v>51.9</v>
      </c>
      <c r="G1032" s="6" t="n">
        <f aca="false">E1032*F1032</f>
        <v>1760.967</v>
      </c>
      <c r="H1032" s="1" t="s">
        <v>34</v>
      </c>
      <c r="I1032" s="1" t="s">
        <v>37</v>
      </c>
      <c r="J1032" s="1" t="n">
        <f aca="false">K1031</f>
        <v>174036</v>
      </c>
      <c r="K1032" s="1" t="n">
        <f aca="false">J1032+L1032</f>
        <v>174076</v>
      </c>
      <c r="L1032" s="1" t="n">
        <v>40</v>
      </c>
      <c r="M1032" s="1" t="n">
        <f aca="false">(E1032+M1031)-N1032</f>
        <v>33.33</v>
      </c>
      <c r="N1032" s="1" t="n">
        <v>4.8</v>
      </c>
    </row>
    <row r="1033" customFormat="false" ht="15" hidden="false" customHeight="true" outlineLevel="0" collapsed="false">
      <c r="D1033" s="11"/>
      <c r="G1033" s="6"/>
      <c r="H1033" s="1" t="s">
        <v>37</v>
      </c>
      <c r="I1033" s="1" t="s">
        <v>34</v>
      </c>
      <c r="J1033" s="1" t="n">
        <f aca="false">K1032</f>
        <v>174076</v>
      </c>
      <c r="K1033" s="1" t="n">
        <f aca="false">J1033+L1033</f>
        <v>174116</v>
      </c>
      <c r="L1033" s="1" t="n">
        <v>40</v>
      </c>
      <c r="M1033" s="1" t="n">
        <f aca="false">(E1033+M1032)-N1033</f>
        <v>28.53</v>
      </c>
      <c r="N1033" s="1" t="n">
        <v>4.8</v>
      </c>
    </row>
    <row r="1034" customFormat="false" ht="15" hidden="false" customHeight="true" outlineLevel="0" collapsed="false">
      <c r="D1034" s="11" t="n">
        <v>45042</v>
      </c>
      <c r="H1034" s="1" t="s">
        <v>34</v>
      </c>
      <c r="I1034" s="1" t="s">
        <v>35</v>
      </c>
      <c r="J1034" s="1" t="n">
        <f aca="false">K1033</f>
        <v>174116</v>
      </c>
      <c r="K1034" s="1" t="n">
        <f aca="false">J1034+L1034</f>
        <v>174128</v>
      </c>
      <c r="L1034" s="1" t="n">
        <v>12</v>
      </c>
      <c r="M1034" s="1" t="n">
        <f aca="false">(E1034+M1033)-N1034</f>
        <v>27.28</v>
      </c>
      <c r="N1034" s="1" t="n">
        <v>1.25</v>
      </c>
    </row>
    <row r="1035" customFormat="false" ht="15" hidden="false" customHeight="true" outlineLevel="0" collapsed="false">
      <c r="D1035" s="11"/>
      <c r="H1035" s="1" t="s">
        <v>35</v>
      </c>
      <c r="I1035" s="1" t="s">
        <v>34</v>
      </c>
      <c r="J1035" s="1" t="n">
        <f aca="false">K1034</f>
        <v>174128</v>
      </c>
      <c r="K1035" s="1" t="n">
        <f aca="false">J1035+L1035</f>
        <v>174140</v>
      </c>
      <c r="L1035" s="1" t="n">
        <v>12</v>
      </c>
      <c r="M1035" s="1" t="n">
        <f aca="false">(E1035+M1034)-N1035</f>
        <v>26.03</v>
      </c>
      <c r="N1035" s="1" t="n">
        <v>1.25</v>
      </c>
    </row>
    <row r="1036" customFormat="false" ht="15" hidden="false" customHeight="true" outlineLevel="0" collapsed="false">
      <c r="D1036" s="11" t="n">
        <v>45043</v>
      </c>
      <c r="H1036" s="1" t="s">
        <v>34</v>
      </c>
      <c r="I1036" s="1" t="s">
        <v>58</v>
      </c>
      <c r="J1036" s="1" t="n">
        <f aca="false">K1035</f>
        <v>174140</v>
      </c>
      <c r="K1036" s="1" t="n">
        <f aca="false">J1036+L1036</f>
        <v>174167</v>
      </c>
      <c r="L1036" s="1" t="n">
        <v>27</v>
      </c>
      <c r="M1036" s="1" t="n">
        <f aca="false">(E1036+M1035)-N1036</f>
        <v>22.83</v>
      </c>
      <c r="N1036" s="1" t="n">
        <v>3.2</v>
      </c>
    </row>
    <row r="1037" customFormat="false" ht="15" hidden="false" customHeight="true" outlineLevel="0" collapsed="false">
      <c r="D1037" s="11"/>
      <c r="H1037" s="1" t="s">
        <v>58</v>
      </c>
      <c r="I1037" s="1" t="s">
        <v>34</v>
      </c>
      <c r="J1037" s="1" t="n">
        <f aca="false">K1036</f>
        <v>174167</v>
      </c>
      <c r="K1037" s="1" t="n">
        <f aca="false">J1037+L1037</f>
        <v>174194</v>
      </c>
      <c r="L1037" s="1" t="n">
        <v>27</v>
      </c>
      <c r="M1037" s="1" t="n">
        <f aca="false">(E1037+M1036)-N1037</f>
        <v>19.63</v>
      </c>
      <c r="N1037" s="1" t="n">
        <v>3.2</v>
      </c>
    </row>
    <row r="1038" customFormat="false" ht="15" hidden="false" customHeight="true" outlineLevel="0" collapsed="false">
      <c r="D1038" s="11" t="n">
        <v>45044</v>
      </c>
      <c r="H1038" s="1" t="s">
        <v>34</v>
      </c>
      <c r="I1038" s="1" t="s">
        <v>59</v>
      </c>
      <c r="J1038" s="1" t="n">
        <f aca="false">K1037</f>
        <v>174194</v>
      </c>
      <c r="K1038" s="1" t="n">
        <f aca="false">J1038+L1038</f>
        <v>174221</v>
      </c>
      <c r="L1038" s="1" t="n">
        <v>27</v>
      </c>
      <c r="M1038" s="1" t="n">
        <f aca="false">(E1038+M1037)-N1038</f>
        <v>16.43</v>
      </c>
      <c r="N1038" s="1" t="n">
        <v>3.2</v>
      </c>
    </row>
    <row r="1039" customFormat="false" ht="15" hidden="false" customHeight="true" outlineLevel="0" collapsed="false">
      <c r="D1039" s="11"/>
      <c r="H1039" s="1" t="s">
        <v>59</v>
      </c>
      <c r="I1039" s="1" t="s">
        <v>34</v>
      </c>
      <c r="J1039" s="1" t="n">
        <f aca="false">K1038</f>
        <v>174221</v>
      </c>
      <c r="K1039" s="1" t="n">
        <f aca="false">J1039+L1039</f>
        <v>174248</v>
      </c>
      <c r="L1039" s="1" t="n">
        <v>27</v>
      </c>
      <c r="M1039" s="1" t="n">
        <f aca="false">(E1039+M1038)-N1039</f>
        <v>13.23</v>
      </c>
      <c r="N1039" s="1" t="n">
        <v>3.2</v>
      </c>
    </row>
    <row r="1040" customFormat="false" ht="15" hidden="false" customHeight="true" outlineLevel="0" collapsed="false">
      <c r="D1040" s="11"/>
    </row>
    <row r="1042" customFormat="false" ht="15" hidden="false" customHeight="true" outlineLevel="0" collapsed="false">
      <c r="D1042" s="4" t="s">
        <v>63</v>
      </c>
      <c r="E1042" s="4"/>
      <c r="F1042" s="4"/>
      <c r="G1042" s="4"/>
    </row>
    <row r="1043" customFormat="false" ht="15" hidden="false" customHeight="true" outlineLevel="0" collapsed="false">
      <c r="D1043" s="11"/>
    </row>
    <row r="1044" customFormat="false" ht="15" hidden="false" customHeight="true" outlineLevel="0" collapsed="false">
      <c r="D1044" s="11" t="n">
        <v>45048</v>
      </c>
      <c r="E1044" s="0" t="n">
        <v>43.1</v>
      </c>
      <c r="F1044" s="1" t="n">
        <v>51.6</v>
      </c>
      <c r="G1044" s="6" t="n">
        <f aca="false">E1044*F1044</f>
        <v>2223.96</v>
      </c>
      <c r="H1044" s="1" t="s">
        <v>34</v>
      </c>
      <c r="I1044" s="1" t="s">
        <v>59</v>
      </c>
      <c r="J1044" s="1" t="n">
        <f aca="false">K1039</f>
        <v>174248</v>
      </c>
      <c r="K1044" s="1" t="n">
        <f aca="false">J1044+L1044</f>
        <v>174275</v>
      </c>
      <c r="L1044" s="1" t="n">
        <v>27</v>
      </c>
      <c r="M1044" s="1" t="n">
        <f aca="false">(E1044+M1039)-N1044</f>
        <v>53.13</v>
      </c>
      <c r="N1044" s="1" t="n">
        <v>3.2</v>
      </c>
    </row>
    <row r="1045" customFormat="false" ht="15" hidden="false" customHeight="true" outlineLevel="0" collapsed="false">
      <c r="D1045" s="11"/>
      <c r="G1045" s="6"/>
      <c r="H1045" s="1" t="s">
        <v>59</v>
      </c>
      <c r="I1045" s="1" t="s">
        <v>34</v>
      </c>
      <c r="J1045" s="1" t="n">
        <f aca="false">K1044</f>
        <v>174275</v>
      </c>
      <c r="K1045" s="1" t="n">
        <f aca="false">J1045+L1045</f>
        <v>174302</v>
      </c>
      <c r="L1045" s="1" t="n">
        <v>27</v>
      </c>
      <c r="M1045" s="1" t="n">
        <f aca="false">(E1045+M1044)-N1045</f>
        <v>49.93</v>
      </c>
      <c r="N1045" s="1" t="n">
        <v>3.2</v>
      </c>
    </row>
    <row r="1046" customFormat="false" ht="15" hidden="false" customHeight="true" outlineLevel="0" collapsed="false">
      <c r="D1046" s="11"/>
      <c r="G1046" s="6"/>
      <c r="H1046" s="1" t="s">
        <v>34</v>
      </c>
      <c r="I1046" s="1" t="s">
        <v>37</v>
      </c>
      <c r="J1046" s="1" t="n">
        <f aca="false">K1045</f>
        <v>174302</v>
      </c>
      <c r="K1046" s="1" t="n">
        <f aca="false">J1046+L1046</f>
        <v>174342</v>
      </c>
      <c r="L1046" s="1" t="n">
        <v>40</v>
      </c>
      <c r="M1046" s="1" t="n">
        <f aca="false">(E1046+M1045)-N1046</f>
        <v>45.13</v>
      </c>
      <c r="N1046" s="1" t="n">
        <v>4.8</v>
      </c>
    </row>
    <row r="1047" customFormat="false" ht="15" hidden="false" customHeight="true" outlineLevel="0" collapsed="false">
      <c r="D1047" s="11"/>
      <c r="G1047" s="6"/>
      <c r="H1047" s="1" t="s">
        <v>37</v>
      </c>
      <c r="I1047" s="1" t="s">
        <v>34</v>
      </c>
      <c r="J1047" s="1" t="n">
        <f aca="false">K1046</f>
        <v>174342</v>
      </c>
      <c r="K1047" s="1" t="n">
        <f aca="false">J1047+L1047</f>
        <v>174382</v>
      </c>
      <c r="L1047" s="1" t="n">
        <v>40</v>
      </c>
      <c r="M1047" s="1" t="n">
        <f aca="false">(E1047+M1046)-N1047</f>
        <v>40.33</v>
      </c>
      <c r="N1047" s="1" t="n">
        <v>4.8</v>
      </c>
    </row>
    <row r="1048" customFormat="false" ht="15" hidden="false" customHeight="true" outlineLevel="0" collapsed="false">
      <c r="D1048" s="11" t="n">
        <v>45049</v>
      </c>
      <c r="H1048" s="1" t="s">
        <v>34</v>
      </c>
      <c r="I1048" s="1" t="s">
        <v>35</v>
      </c>
      <c r="J1048" s="1" t="n">
        <f aca="false">K1047</f>
        <v>174382</v>
      </c>
      <c r="K1048" s="1" t="n">
        <f aca="false">J1048+L1048</f>
        <v>174394</v>
      </c>
      <c r="L1048" s="1" t="n">
        <v>12</v>
      </c>
      <c r="M1048" s="1" t="n">
        <f aca="false">(E1048+M1047)-N1048</f>
        <v>39.08</v>
      </c>
      <c r="N1048" s="1" t="n">
        <v>1.25</v>
      </c>
    </row>
    <row r="1049" customFormat="false" ht="15" hidden="false" customHeight="true" outlineLevel="0" collapsed="false">
      <c r="D1049" s="11"/>
      <c r="H1049" s="1" t="s">
        <v>35</v>
      </c>
      <c r="I1049" s="1" t="s">
        <v>34</v>
      </c>
      <c r="J1049" s="1" t="n">
        <f aca="false">K1048</f>
        <v>174394</v>
      </c>
      <c r="K1049" s="1" t="n">
        <f aca="false">J1049+L1049</f>
        <v>174406</v>
      </c>
      <c r="L1049" s="1" t="n">
        <v>12</v>
      </c>
      <c r="M1049" s="1" t="n">
        <f aca="false">(E1049+M1048)-N1049</f>
        <v>37.83</v>
      </c>
      <c r="N1049" s="1" t="n">
        <v>1.25</v>
      </c>
    </row>
    <row r="1050" customFormat="false" ht="15" hidden="false" customHeight="true" outlineLevel="0" collapsed="false">
      <c r="D1050" s="11" t="n">
        <v>45050</v>
      </c>
      <c r="H1050" s="1" t="s">
        <v>34</v>
      </c>
      <c r="I1050" s="1" t="s">
        <v>39</v>
      </c>
      <c r="J1050" s="1" t="n">
        <f aca="false">K1049</f>
        <v>174406</v>
      </c>
      <c r="K1050" s="1" t="n">
        <f aca="false">J1050+L1050</f>
        <v>174456</v>
      </c>
      <c r="L1050" s="1" t="n">
        <v>50</v>
      </c>
      <c r="M1050" s="1" t="n">
        <f aca="false">(E1050+M1049)-N1050</f>
        <v>32.33</v>
      </c>
      <c r="N1050" s="1" t="n">
        <v>5.5</v>
      </c>
    </row>
    <row r="1051" customFormat="false" ht="15" hidden="false" customHeight="true" outlineLevel="0" collapsed="false">
      <c r="D1051" s="11"/>
      <c r="H1051" s="1" t="s">
        <v>39</v>
      </c>
      <c r="I1051" s="1" t="s">
        <v>34</v>
      </c>
      <c r="J1051" s="1" t="n">
        <f aca="false">K1050</f>
        <v>174456</v>
      </c>
      <c r="K1051" s="1" t="n">
        <f aca="false">J1051+L1051</f>
        <v>174506</v>
      </c>
      <c r="L1051" s="1" t="n">
        <v>50</v>
      </c>
      <c r="M1051" s="1" t="n">
        <f aca="false">(E1051+M1050)-N1051</f>
        <v>26.83</v>
      </c>
      <c r="N1051" s="1" t="n">
        <v>5.5</v>
      </c>
    </row>
    <row r="1052" customFormat="false" ht="15" hidden="false" customHeight="true" outlineLevel="0" collapsed="false">
      <c r="D1052" s="11" t="n">
        <v>45051</v>
      </c>
      <c r="H1052" s="1" t="s">
        <v>34</v>
      </c>
      <c r="I1052" s="1" t="s">
        <v>43</v>
      </c>
      <c r="J1052" s="1" t="n">
        <f aca="false">K1051</f>
        <v>174506</v>
      </c>
      <c r="K1052" s="1" t="n">
        <f aca="false">J1052+L1052</f>
        <v>174518</v>
      </c>
      <c r="L1052" s="1" t="n">
        <v>12</v>
      </c>
      <c r="M1052" s="1" t="n">
        <f aca="false">(E1052+M1051)-N1052</f>
        <v>25.58</v>
      </c>
      <c r="N1052" s="1" t="n">
        <v>1.25</v>
      </c>
    </row>
    <row r="1053" customFormat="false" ht="15" hidden="false" customHeight="true" outlineLevel="0" collapsed="false">
      <c r="D1053" s="11"/>
      <c r="H1053" s="1" t="s">
        <v>43</v>
      </c>
      <c r="I1053" s="1" t="s">
        <v>34</v>
      </c>
      <c r="J1053" s="1" t="n">
        <f aca="false">K1052</f>
        <v>174518</v>
      </c>
      <c r="K1053" s="1" t="n">
        <f aca="false">J1053+L1053</f>
        <v>174530</v>
      </c>
      <c r="L1053" s="1" t="n">
        <v>12</v>
      </c>
      <c r="M1053" s="1" t="n">
        <f aca="false">(E1053+M1052)-N1053</f>
        <v>24.33</v>
      </c>
      <c r="N1053" s="1" t="n">
        <v>1.25</v>
      </c>
    </row>
    <row r="1054" customFormat="false" ht="15" hidden="false" customHeight="true" outlineLevel="0" collapsed="false">
      <c r="D1054" s="11"/>
      <c r="H1054" s="1" t="s">
        <v>34</v>
      </c>
      <c r="I1054" s="1" t="s">
        <v>49</v>
      </c>
      <c r="J1054" s="1" t="n">
        <f aca="false">K1053</f>
        <v>174530</v>
      </c>
      <c r="K1054" s="1" t="n">
        <f aca="false">J1054+L1054</f>
        <v>174557</v>
      </c>
      <c r="L1054" s="1" t="n">
        <v>27</v>
      </c>
      <c r="M1054" s="1" t="n">
        <f aca="false">(E1054+M1053)-N1054</f>
        <v>21.13</v>
      </c>
      <c r="N1054" s="1" t="n">
        <v>3.2</v>
      </c>
    </row>
    <row r="1055" customFormat="false" ht="15" hidden="false" customHeight="true" outlineLevel="0" collapsed="false">
      <c r="D1055" s="11"/>
      <c r="H1055" s="1" t="s">
        <v>49</v>
      </c>
      <c r="I1055" s="1" t="s">
        <v>34</v>
      </c>
      <c r="J1055" s="1" t="n">
        <f aca="false">K1054</f>
        <v>174557</v>
      </c>
      <c r="K1055" s="1" t="n">
        <f aca="false">J1055+L1055</f>
        <v>174584</v>
      </c>
      <c r="L1055" s="1" t="n">
        <v>27</v>
      </c>
      <c r="M1055" s="1" t="n">
        <f aca="false">(E1055+M1054)-N1055</f>
        <v>17.93</v>
      </c>
      <c r="N1055" s="1" t="n">
        <v>3.2</v>
      </c>
    </row>
    <row r="1056" customFormat="false" ht="15" hidden="false" customHeight="true" outlineLevel="0" collapsed="false">
      <c r="D1056" s="11" t="n">
        <v>45056</v>
      </c>
      <c r="E1056" s="0" t="n">
        <v>6.83</v>
      </c>
      <c r="F1056" s="1" t="n">
        <v>51.9</v>
      </c>
      <c r="G1056" s="6" t="n">
        <f aca="false">E1056*F1056</f>
        <v>354.477</v>
      </c>
      <c r="H1056" s="1" t="s">
        <v>34</v>
      </c>
      <c r="I1056" s="1" t="s">
        <v>32</v>
      </c>
      <c r="J1056" s="1" t="n">
        <f aca="false">K1055</f>
        <v>174584</v>
      </c>
      <c r="K1056" s="1" t="n">
        <f aca="false">J1056+L1056</f>
        <v>174609</v>
      </c>
      <c r="L1056" s="1" t="n">
        <v>25</v>
      </c>
      <c r="M1056" s="1" t="n">
        <f aca="false">(E1056+M1055)-N1056</f>
        <v>21.76</v>
      </c>
      <c r="N1056" s="1" t="n">
        <v>3</v>
      </c>
    </row>
    <row r="1057" customFormat="false" ht="15" hidden="false" customHeight="true" outlineLevel="0" collapsed="false">
      <c r="D1057" s="11"/>
      <c r="G1057" s="6"/>
      <c r="H1057" s="1" t="s">
        <v>32</v>
      </c>
      <c r="I1057" s="1" t="s">
        <v>34</v>
      </c>
      <c r="J1057" s="1" t="n">
        <f aca="false">K1056</f>
        <v>174609</v>
      </c>
      <c r="K1057" s="1" t="n">
        <f aca="false">J1057+L1057</f>
        <v>174634</v>
      </c>
      <c r="L1057" s="1" t="n">
        <v>25</v>
      </c>
      <c r="M1057" s="1" t="n">
        <f aca="false">(E1057+M1056)-N1057</f>
        <v>18.76</v>
      </c>
      <c r="N1057" s="1" t="n">
        <v>3</v>
      </c>
    </row>
    <row r="1058" customFormat="false" ht="15" hidden="false" customHeight="true" outlineLevel="0" collapsed="false">
      <c r="D1058" s="11" t="n">
        <v>45057</v>
      </c>
      <c r="H1058" s="1" t="s">
        <v>34</v>
      </c>
      <c r="I1058" s="1" t="s">
        <v>35</v>
      </c>
      <c r="J1058" s="1" t="n">
        <f aca="false">K1057</f>
        <v>174634</v>
      </c>
      <c r="K1058" s="1" t="n">
        <f aca="false">J1058+L1058</f>
        <v>174646</v>
      </c>
      <c r="L1058" s="1" t="n">
        <v>12</v>
      </c>
      <c r="M1058" s="1" t="n">
        <f aca="false">(E1058+M1057)-N1058</f>
        <v>17.51</v>
      </c>
      <c r="N1058" s="1" t="n">
        <v>1.25</v>
      </c>
    </row>
    <row r="1059" customFormat="false" ht="15" hidden="false" customHeight="true" outlineLevel="0" collapsed="false">
      <c r="D1059" s="11"/>
      <c r="H1059" s="1" t="s">
        <v>35</v>
      </c>
      <c r="I1059" s="1" t="s">
        <v>34</v>
      </c>
      <c r="J1059" s="1" t="n">
        <f aca="false">K1058</f>
        <v>174646</v>
      </c>
      <c r="K1059" s="1" t="n">
        <f aca="false">J1059+L1059</f>
        <v>174658</v>
      </c>
      <c r="L1059" s="1" t="n">
        <v>12</v>
      </c>
      <c r="M1059" s="1" t="n">
        <f aca="false">(E1059+M1058)-N1059</f>
        <v>16.26</v>
      </c>
      <c r="N1059" s="1" t="n">
        <v>1.25</v>
      </c>
    </row>
    <row r="1060" customFormat="false" ht="15" hidden="false" customHeight="true" outlineLevel="0" collapsed="false">
      <c r="D1060" s="11" t="n">
        <v>45058</v>
      </c>
      <c r="H1060" s="1" t="s">
        <v>34</v>
      </c>
      <c r="I1060" s="1" t="s">
        <v>59</v>
      </c>
      <c r="J1060" s="1" t="n">
        <f aca="false">K1059</f>
        <v>174658</v>
      </c>
      <c r="K1060" s="1" t="n">
        <f aca="false">J1060+L1060</f>
        <v>174685</v>
      </c>
      <c r="L1060" s="1" t="n">
        <v>27</v>
      </c>
      <c r="M1060" s="1" t="n">
        <f aca="false">(E1060+M1059)-N1060</f>
        <v>13.06</v>
      </c>
      <c r="N1060" s="1" t="n">
        <v>3.2</v>
      </c>
    </row>
    <row r="1061" customFormat="false" ht="15" hidden="false" customHeight="true" outlineLevel="0" collapsed="false">
      <c r="D1061" s="11"/>
      <c r="H1061" s="1" t="s">
        <v>59</v>
      </c>
      <c r="I1061" s="1" t="s">
        <v>34</v>
      </c>
      <c r="J1061" s="1" t="n">
        <f aca="false">K1060</f>
        <v>174685</v>
      </c>
      <c r="K1061" s="1" t="n">
        <f aca="false">J1061+L1061</f>
        <v>174712</v>
      </c>
      <c r="L1061" s="1" t="n">
        <v>27</v>
      </c>
      <c r="M1061" s="1" t="n">
        <f aca="false">(E1061+M1060)-N1061</f>
        <v>9.85999999999999</v>
      </c>
      <c r="N1061" s="1" t="n">
        <v>3.2</v>
      </c>
    </row>
    <row r="1062" customFormat="false" ht="15" hidden="false" customHeight="true" outlineLevel="0" collapsed="false">
      <c r="D1062" s="11" t="n">
        <v>45061</v>
      </c>
      <c r="E1062" s="0" t="n">
        <v>10.28</v>
      </c>
      <c r="F1062" s="1" t="n">
        <v>52.3</v>
      </c>
      <c r="G1062" s="6" t="n">
        <f aca="false">E1062*F1062</f>
        <v>537.644</v>
      </c>
      <c r="H1062" s="1" t="s">
        <v>34</v>
      </c>
      <c r="I1062" s="1" t="s">
        <v>54</v>
      </c>
      <c r="J1062" s="1" t="n">
        <f aca="false">K1061</f>
        <v>174712</v>
      </c>
      <c r="K1062" s="1" t="n">
        <f aca="false">J1062+L1062</f>
        <v>174739</v>
      </c>
      <c r="L1062" s="1" t="n">
        <v>27</v>
      </c>
      <c r="M1062" s="1" t="n">
        <f aca="false">(E1062+M1061)-N1062</f>
        <v>16.94</v>
      </c>
      <c r="N1062" s="1" t="n">
        <v>3.2</v>
      </c>
    </row>
    <row r="1063" customFormat="false" ht="15" hidden="false" customHeight="true" outlineLevel="0" collapsed="false">
      <c r="D1063" s="11"/>
      <c r="G1063" s="6"/>
      <c r="H1063" s="1" t="s">
        <v>54</v>
      </c>
      <c r="I1063" s="1" t="s">
        <v>34</v>
      </c>
      <c r="J1063" s="1" t="n">
        <f aca="false">K1062</f>
        <v>174739</v>
      </c>
      <c r="K1063" s="1" t="n">
        <f aca="false">J1063+L1063</f>
        <v>174766</v>
      </c>
      <c r="L1063" s="1" t="n">
        <v>27</v>
      </c>
      <c r="M1063" s="1" t="n">
        <f aca="false">(E1063+M1062)-N1063</f>
        <v>13.74</v>
      </c>
      <c r="N1063" s="1" t="n">
        <v>3.2</v>
      </c>
    </row>
    <row r="1064" customFormat="false" ht="15" hidden="false" customHeight="true" outlineLevel="0" collapsed="false">
      <c r="D1064" s="11" t="n">
        <v>45062</v>
      </c>
      <c r="H1064" s="1" t="s">
        <v>34</v>
      </c>
      <c r="I1064" s="1" t="s">
        <v>54</v>
      </c>
      <c r="J1064" s="1" t="n">
        <f aca="false">K1063</f>
        <v>174766</v>
      </c>
      <c r="K1064" s="1" t="n">
        <f aca="false">J1064+L1064</f>
        <v>174793</v>
      </c>
      <c r="L1064" s="1" t="n">
        <v>27</v>
      </c>
      <c r="M1064" s="1" t="n">
        <f aca="false">(E1064+M1063)-N1064</f>
        <v>10.54</v>
      </c>
      <c r="N1064" s="1" t="n">
        <v>3.2</v>
      </c>
    </row>
    <row r="1065" customFormat="false" ht="15" hidden="false" customHeight="true" outlineLevel="0" collapsed="false">
      <c r="D1065" s="11"/>
      <c r="H1065" s="1" t="s">
        <v>54</v>
      </c>
      <c r="I1065" s="1" t="s">
        <v>34</v>
      </c>
      <c r="J1065" s="1" t="n">
        <f aca="false">K1064</f>
        <v>174793</v>
      </c>
      <c r="K1065" s="1" t="n">
        <f aca="false">J1065+L1065</f>
        <v>174820</v>
      </c>
      <c r="L1065" s="1" t="n">
        <v>27</v>
      </c>
      <c r="M1065" s="1" t="n">
        <f aca="false">(E1065+M1064)-N1065</f>
        <v>7.33999999999999</v>
      </c>
      <c r="N1065" s="1" t="n">
        <v>3.2</v>
      </c>
    </row>
    <row r="1066" customFormat="false" ht="15" hidden="false" customHeight="true" outlineLevel="0" collapsed="false">
      <c r="D1066" s="11" t="n">
        <v>45063</v>
      </c>
      <c r="H1066" s="1" t="s">
        <v>34</v>
      </c>
      <c r="I1066" s="1" t="s">
        <v>35</v>
      </c>
      <c r="J1066" s="1" t="n">
        <f aca="false">K1065</f>
        <v>174820</v>
      </c>
      <c r="K1066" s="1" t="n">
        <f aca="false">J1066+L1066</f>
        <v>174832</v>
      </c>
      <c r="L1066" s="1" t="n">
        <v>12</v>
      </c>
      <c r="M1066" s="1" t="n">
        <f aca="false">(E1066+M1065)-N1066</f>
        <v>6.08999999999999</v>
      </c>
      <c r="N1066" s="1" t="n">
        <v>1.25</v>
      </c>
    </row>
    <row r="1067" customFormat="false" ht="15" hidden="false" customHeight="true" outlineLevel="0" collapsed="false">
      <c r="D1067" s="11"/>
      <c r="H1067" s="1" t="s">
        <v>35</v>
      </c>
      <c r="I1067" s="1" t="s">
        <v>34</v>
      </c>
      <c r="J1067" s="1" t="n">
        <f aca="false">K1066</f>
        <v>174832</v>
      </c>
      <c r="K1067" s="1" t="n">
        <f aca="false">J1067+L1067</f>
        <v>174844</v>
      </c>
      <c r="L1067" s="1" t="n">
        <v>12</v>
      </c>
      <c r="M1067" s="1" t="n">
        <f aca="false">(E1067+M1066)-N1067</f>
        <v>4.83999999999999</v>
      </c>
      <c r="N1067" s="1" t="n">
        <v>1.25</v>
      </c>
    </row>
    <row r="1068" customFormat="false" ht="15" hidden="false" customHeight="true" outlineLevel="0" collapsed="false">
      <c r="D1068" s="11" t="n">
        <v>45064</v>
      </c>
      <c r="E1068" s="0" t="n">
        <v>9.27</v>
      </c>
      <c r="F1068" s="1" t="n">
        <v>52.3</v>
      </c>
      <c r="G1068" s="6" t="n">
        <f aca="false">E1068*F1068</f>
        <v>484.821</v>
      </c>
      <c r="H1068" s="1" t="s">
        <v>34</v>
      </c>
      <c r="I1068" s="1" t="s">
        <v>35</v>
      </c>
      <c r="J1068" s="1" t="n">
        <f aca="false">K1067</f>
        <v>174844</v>
      </c>
      <c r="K1068" s="1" t="n">
        <f aca="false">J1068+L1068</f>
        <v>174856</v>
      </c>
      <c r="L1068" s="1" t="n">
        <v>12</v>
      </c>
      <c r="M1068" s="1" t="n">
        <f aca="false">(E1068+M1067)-N1068</f>
        <v>12.86</v>
      </c>
      <c r="N1068" s="1" t="n">
        <v>1.25</v>
      </c>
    </row>
    <row r="1069" customFormat="false" ht="15" hidden="false" customHeight="true" outlineLevel="0" collapsed="false">
      <c r="D1069" s="11"/>
      <c r="G1069" s="6"/>
      <c r="H1069" s="1" t="s">
        <v>35</v>
      </c>
      <c r="I1069" s="1" t="s">
        <v>34</v>
      </c>
      <c r="J1069" s="1" t="n">
        <f aca="false">K1068</f>
        <v>174856</v>
      </c>
      <c r="K1069" s="1" t="n">
        <f aca="false">J1069+L1069</f>
        <v>174868</v>
      </c>
      <c r="L1069" s="1" t="n">
        <v>12</v>
      </c>
      <c r="M1069" s="1" t="n">
        <f aca="false">(E1069+M1068)-N1069</f>
        <v>11.61</v>
      </c>
      <c r="N1069" s="1" t="n">
        <v>1.25</v>
      </c>
    </row>
    <row r="1070" customFormat="false" ht="15" hidden="false" customHeight="true" outlineLevel="0" collapsed="false">
      <c r="D1070" s="11" t="n">
        <v>45065</v>
      </c>
      <c r="H1070" s="1" t="s">
        <v>34</v>
      </c>
      <c r="I1070" s="1" t="s">
        <v>43</v>
      </c>
      <c r="J1070" s="1" t="n">
        <f aca="false">K1069</f>
        <v>174868</v>
      </c>
      <c r="K1070" s="1" t="n">
        <f aca="false">J1070+L1070</f>
        <v>174880</v>
      </c>
      <c r="L1070" s="1" t="n">
        <v>12</v>
      </c>
      <c r="M1070" s="1" t="n">
        <f aca="false">(E1070+M1069)-N1070</f>
        <v>10.36</v>
      </c>
      <c r="N1070" s="1" t="n">
        <v>1.25</v>
      </c>
    </row>
    <row r="1071" customFormat="false" ht="15" hidden="false" customHeight="true" outlineLevel="0" collapsed="false">
      <c r="D1071" s="11"/>
      <c r="H1071" s="1" t="s">
        <v>43</v>
      </c>
      <c r="I1071" s="1" t="s">
        <v>34</v>
      </c>
      <c r="J1071" s="1" t="n">
        <f aca="false">K1070</f>
        <v>174880</v>
      </c>
      <c r="K1071" s="1" t="n">
        <f aca="false">J1071+L1071</f>
        <v>174892</v>
      </c>
      <c r="L1071" s="1" t="n">
        <v>12</v>
      </c>
      <c r="M1071" s="1" t="n">
        <f aca="false">(E1071+M1070)-N1071</f>
        <v>9.10999999999999</v>
      </c>
      <c r="N1071" s="1" t="n">
        <v>1.25</v>
      </c>
    </row>
    <row r="1072" customFormat="false" ht="15" hidden="false" customHeight="true" outlineLevel="0" collapsed="false">
      <c r="D1072" s="11" t="n">
        <v>45068</v>
      </c>
      <c r="H1072" s="1" t="s">
        <v>34</v>
      </c>
      <c r="I1072" s="1" t="s">
        <v>54</v>
      </c>
      <c r="J1072" s="1" t="n">
        <f aca="false">K1071</f>
        <v>174892</v>
      </c>
      <c r="K1072" s="1" t="n">
        <f aca="false">J1072+L1072</f>
        <v>174919</v>
      </c>
      <c r="L1072" s="1" t="n">
        <v>27</v>
      </c>
      <c r="M1072" s="1" t="n">
        <f aca="false">(E1072+M1071)-N1072</f>
        <v>5.90999999999999</v>
      </c>
      <c r="N1072" s="1" t="n">
        <v>3.2</v>
      </c>
    </row>
    <row r="1073" customFormat="false" ht="15" hidden="false" customHeight="true" outlineLevel="0" collapsed="false">
      <c r="D1073" s="11"/>
      <c r="H1073" s="1" t="s">
        <v>54</v>
      </c>
      <c r="I1073" s="1" t="s">
        <v>34</v>
      </c>
      <c r="J1073" s="1" t="n">
        <f aca="false">K1072</f>
        <v>174919</v>
      </c>
      <c r="K1073" s="1" t="n">
        <f aca="false">J1073+L1073</f>
        <v>174946</v>
      </c>
      <c r="L1073" s="1" t="n">
        <v>27</v>
      </c>
      <c r="M1073" s="1" t="n">
        <f aca="false">(E1073+M1072)-N1073</f>
        <v>2.70999999999999</v>
      </c>
      <c r="N1073" s="1" t="n">
        <v>3.2</v>
      </c>
    </row>
    <row r="1074" customFormat="false" ht="15" hidden="false" customHeight="true" outlineLevel="0" collapsed="false">
      <c r="D1074" s="11" t="n">
        <v>45069</v>
      </c>
      <c r="H1074" s="1" t="s">
        <v>34</v>
      </c>
      <c r="I1074" s="1" t="s">
        <v>35</v>
      </c>
      <c r="J1074" s="1" t="n">
        <f aca="false">K1073</f>
        <v>174946</v>
      </c>
      <c r="K1074" s="1" t="n">
        <f aca="false">J1074+L1074</f>
        <v>174958</v>
      </c>
      <c r="L1074" s="1" t="n">
        <v>12</v>
      </c>
      <c r="M1074" s="1" t="n">
        <f aca="false">(E1074+M1073)-N1074</f>
        <v>1.45999999999999</v>
      </c>
      <c r="N1074" s="1" t="n">
        <v>1.25</v>
      </c>
    </row>
    <row r="1075" customFormat="false" ht="15" hidden="false" customHeight="true" outlineLevel="0" collapsed="false">
      <c r="D1075" s="11"/>
      <c r="H1075" s="1" t="s">
        <v>35</v>
      </c>
      <c r="I1075" s="1" t="s">
        <v>34</v>
      </c>
      <c r="J1075" s="1" t="n">
        <f aca="false">K1074</f>
        <v>174958</v>
      </c>
      <c r="K1075" s="1" t="n">
        <f aca="false">J1075+L1075</f>
        <v>174970</v>
      </c>
      <c r="L1075" s="1" t="n">
        <v>12</v>
      </c>
      <c r="M1075" s="1" t="n">
        <f aca="false">(E1075+M1074)-N1075</f>
        <v>0.209999999999988</v>
      </c>
      <c r="N1075" s="1" t="n">
        <v>1.25</v>
      </c>
    </row>
    <row r="1076" customFormat="false" ht="15" hidden="false" customHeight="true" outlineLevel="0" collapsed="false">
      <c r="D1076" s="11" t="n">
        <v>45070</v>
      </c>
      <c r="E1076" s="0" t="n">
        <v>6.74</v>
      </c>
      <c r="F1076" s="1" t="n">
        <v>52.3</v>
      </c>
      <c r="G1076" s="6" t="n">
        <f aca="false">E1076*F1076</f>
        <v>352.502</v>
      </c>
      <c r="H1076" s="1" t="s">
        <v>34</v>
      </c>
      <c r="I1076" s="1" t="s">
        <v>58</v>
      </c>
      <c r="J1076" s="1" t="n">
        <f aca="false">K1075</f>
        <v>174970</v>
      </c>
      <c r="K1076" s="1" t="n">
        <f aca="false">J1076+L1076</f>
        <v>174997</v>
      </c>
      <c r="L1076" s="1" t="n">
        <v>27</v>
      </c>
      <c r="M1076" s="1" t="n">
        <f aca="false">(E1076+M1075)-N1076</f>
        <v>3.74999999999999</v>
      </c>
      <c r="N1076" s="1" t="n">
        <v>3.2</v>
      </c>
    </row>
    <row r="1077" customFormat="false" ht="15" hidden="false" customHeight="true" outlineLevel="0" collapsed="false">
      <c r="D1077" s="11"/>
      <c r="G1077" s="6"/>
      <c r="H1077" s="1" t="s">
        <v>58</v>
      </c>
      <c r="I1077" s="1" t="s">
        <v>34</v>
      </c>
      <c r="J1077" s="1" t="n">
        <f aca="false">K1076</f>
        <v>174997</v>
      </c>
      <c r="K1077" s="1" t="n">
        <f aca="false">J1077+L1077</f>
        <v>175024</v>
      </c>
      <c r="L1077" s="1" t="n">
        <v>27</v>
      </c>
      <c r="M1077" s="1" t="n">
        <f aca="false">(E1077+M1076)-N1077</f>
        <v>0.549999999999988</v>
      </c>
      <c r="N1077" s="1" t="n">
        <v>3.2</v>
      </c>
    </row>
    <row r="1079" customFormat="false" ht="15" hidden="false" customHeight="true" outlineLevel="0" collapsed="false">
      <c r="D1079" s="4" t="s">
        <v>64</v>
      </c>
      <c r="E1079" s="4"/>
      <c r="F1079" s="4"/>
      <c r="G1079" s="4"/>
    </row>
    <row r="1080" customFormat="false" ht="15" hidden="false" customHeight="true" outlineLevel="0" collapsed="false">
      <c r="D1080" s="11" t="n">
        <v>45079</v>
      </c>
      <c r="E1080" s="0" t="n">
        <v>35.5</v>
      </c>
      <c r="F1080" s="1" t="n">
        <v>52.9</v>
      </c>
      <c r="G1080" s="6" t="n">
        <f aca="false">E1080*F1080</f>
        <v>1877.95</v>
      </c>
      <c r="H1080" s="1" t="s">
        <v>34</v>
      </c>
      <c r="I1080" s="1" t="s">
        <v>58</v>
      </c>
      <c r="J1080" s="1" t="n">
        <f aca="false">K1077</f>
        <v>175024</v>
      </c>
      <c r="K1080" s="1" t="n">
        <f aca="false">J1080+L1080</f>
        <v>175051</v>
      </c>
      <c r="L1080" s="1" t="n">
        <v>27</v>
      </c>
      <c r="M1080" s="1" t="n">
        <f aca="false">(E1080+M1077)-N1080</f>
        <v>32.85</v>
      </c>
      <c r="N1080" s="1" t="n">
        <v>3.2</v>
      </c>
    </row>
    <row r="1081" customFormat="false" ht="15" hidden="false" customHeight="true" outlineLevel="0" collapsed="false">
      <c r="D1081" s="11"/>
      <c r="H1081" s="1" t="s">
        <v>58</v>
      </c>
      <c r="I1081" s="1" t="s">
        <v>34</v>
      </c>
      <c r="J1081" s="1" t="n">
        <f aca="false">K1080</f>
        <v>175051</v>
      </c>
      <c r="K1081" s="1" t="n">
        <f aca="false">J1081+L1081</f>
        <v>175078</v>
      </c>
      <c r="L1081" s="1" t="n">
        <v>27</v>
      </c>
      <c r="M1081" s="1" t="n">
        <f aca="false">(E1081+M1080)-N1081</f>
        <v>29.65</v>
      </c>
      <c r="N1081" s="1" t="n">
        <v>3.2</v>
      </c>
    </row>
    <row r="1082" customFormat="false" ht="15" hidden="false" customHeight="true" outlineLevel="0" collapsed="false">
      <c r="D1082" s="11"/>
      <c r="H1082" s="1" t="s">
        <v>34</v>
      </c>
      <c r="I1082" s="1" t="s">
        <v>54</v>
      </c>
      <c r="J1082" s="1" t="n">
        <f aca="false">K1081</f>
        <v>175078</v>
      </c>
      <c r="K1082" s="1" t="n">
        <f aca="false">J1082+L1082</f>
        <v>175105</v>
      </c>
      <c r="L1082" s="1" t="n">
        <v>27</v>
      </c>
      <c r="M1082" s="1" t="n">
        <f aca="false">(E1082+M1081)-N1082</f>
        <v>26.45</v>
      </c>
      <c r="N1082" s="1" t="n">
        <v>3.2</v>
      </c>
    </row>
    <row r="1083" customFormat="false" ht="15" hidden="false" customHeight="true" outlineLevel="0" collapsed="false">
      <c r="D1083" s="11"/>
      <c r="H1083" s="1" t="s">
        <v>54</v>
      </c>
      <c r="I1083" s="1" t="s">
        <v>34</v>
      </c>
      <c r="J1083" s="1" t="n">
        <f aca="false">K1082</f>
        <v>175105</v>
      </c>
      <c r="K1083" s="1" t="n">
        <f aca="false">J1083+L1083</f>
        <v>175132</v>
      </c>
      <c r="L1083" s="1" t="n">
        <v>27</v>
      </c>
      <c r="M1083" s="1" t="n">
        <f aca="false">(E1083+M1082)-N1083</f>
        <v>23.25</v>
      </c>
      <c r="N1083" s="1" t="n">
        <v>3.2</v>
      </c>
    </row>
    <row r="1084" customFormat="false" ht="15" hidden="false" customHeight="true" outlineLevel="0" collapsed="false">
      <c r="D1084" s="11" t="n">
        <v>45082</v>
      </c>
      <c r="H1084" s="1" t="s">
        <v>34</v>
      </c>
      <c r="I1084" s="1" t="s">
        <v>37</v>
      </c>
      <c r="J1084" s="1" t="n">
        <f aca="false">K1083</f>
        <v>175132</v>
      </c>
      <c r="K1084" s="1" t="n">
        <f aca="false">J1084+L1084</f>
        <v>175172</v>
      </c>
      <c r="L1084" s="1" t="n">
        <v>40</v>
      </c>
      <c r="M1084" s="1" t="n">
        <f aca="false">(E1084+M1083)-N1084</f>
        <v>18.45</v>
      </c>
      <c r="N1084" s="1" t="n">
        <v>4.8</v>
      </c>
    </row>
    <row r="1085" customFormat="false" ht="15" hidden="false" customHeight="true" outlineLevel="0" collapsed="false">
      <c r="D1085" s="11"/>
      <c r="H1085" s="1" t="s">
        <v>37</v>
      </c>
      <c r="I1085" s="1" t="s">
        <v>34</v>
      </c>
      <c r="J1085" s="1" t="n">
        <f aca="false">K1084</f>
        <v>175172</v>
      </c>
      <c r="K1085" s="1" t="n">
        <f aca="false">J1085+L1085</f>
        <v>175212</v>
      </c>
      <c r="L1085" s="1" t="n">
        <v>40</v>
      </c>
      <c r="M1085" s="1" t="n">
        <f aca="false">(E1085+M1084)-N1085</f>
        <v>13.65</v>
      </c>
      <c r="N1085" s="1" t="n">
        <v>4.8</v>
      </c>
    </row>
    <row r="1086" customFormat="false" ht="15" hidden="false" customHeight="true" outlineLevel="0" collapsed="false">
      <c r="D1086" s="11" t="n">
        <v>45083</v>
      </c>
      <c r="H1086" s="1" t="s">
        <v>34</v>
      </c>
      <c r="I1086" s="1" t="s">
        <v>35</v>
      </c>
      <c r="J1086" s="1" t="n">
        <f aca="false">K1085</f>
        <v>175212</v>
      </c>
      <c r="K1086" s="1" t="n">
        <f aca="false">J1086+L1086</f>
        <v>175224</v>
      </c>
      <c r="L1086" s="1" t="n">
        <v>12</v>
      </c>
      <c r="M1086" s="1" t="n">
        <f aca="false">(E1086+M1085)-N1086</f>
        <v>12.4</v>
      </c>
      <c r="N1086" s="1" t="n">
        <v>1.25</v>
      </c>
    </row>
    <row r="1087" customFormat="false" ht="15" hidden="false" customHeight="true" outlineLevel="0" collapsed="false">
      <c r="D1087" s="11"/>
      <c r="H1087" s="1" t="s">
        <v>35</v>
      </c>
      <c r="I1087" s="1" t="s">
        <v>34</v>
      </c>
      <c r="J1087" s="1" t="n">
        <f aca="false">K1086</f>
        <v>175224</v>
      </c>
      <c r="K1087" s="1" t="n">
        <f aca="false">J1087+L1087</f>
        <v>175236</v>
      </c>
      <c r="L1087" s="1" t="n">
        <v>12</v>
      </c>
      <c r="M1087" s="1" t="n">
        <f aca="false">(E1087+M1086)-N1087</f>
        <v>11.15</v>
      </c>
      <c r="N1087" s="1" t="n">
        <v>1.25</v>
      </c>
    </row>
    <row r="1088" customFormat="false" ht="15" hidden="false" customHeight="true" outlineLevel="0" collapsed="false">
      <c r="D1088" s="11" t="n">
        <v>45084</v>
      </c>
      <c r="H1088" s="1" t="s">
        <v>34</v>
      </c>
      <c r="I1088" s="1" t="s">
        <v>43</v>
      </c>
      <c r="J1088" s="1" t="n">
        <f aca="false">K1087</f>
        <v>175236</v>
      </c>
      <c r="K1088" s="1" t="n">
        <f aca="false">J1088+L1088</f>
        <v>175248</v>
      </c>
      <c r="L1088" s="1" t="n">
        <v>12</v>
      </c>
      <c r="M1088" s="1" t="n">
        <f aca="false">(E1088+M1087)-N1088</f>
        <v>9.89999999999999</v>
      </c>
      <c r="N1088" s="1" t="n">
        <v>1.25</v>
      </c>
    </row>
    <row r="1089" customFormat="false" ht="15" hidden="false" customHeight="true" outlineLevel="0" collapsed="false">
      <c r="D1089" s="11"/>
      <c r="H1089" s="1" t="s">
        <v>43</v>
      </c>
      <c r="I1089" s="1" t="s">
        <v>34</v>
      </c>
      <c r="J1089" s="1" t="n">
        <f aca="false">K1088</f>
        <v>175248</v>
      </c>
      <c r="K1089" s="1" t="n">
        <f aca="false">J1089+L1089</f>
        <v>175260</v>
      </c>
      <c r="L1089" s="1" t="n">
        <v>12</v>
      </c>
      <c r="M1089" s="1" t="n">
        <f aca="false">(E1089+M1088)-N1089</f>
        <v>8.64999999999999</v>
      </c>
      <c r="N1089" s="1" t="n">
        <v>1.25</v>
      </c>
    </row>
    <row r="1090" customFormat="false" ht="15" hidden="false" customHeight="true" outlineLevel="0" collapsed="false">
      <c r="D1090" s="11" t="n">
        <v>45085</v>
      </c>
      <c r="E1090" s="0" t="n">
        <v>33.75</v>
      </c>
      <c r="F1090" s="1" t="n">
        <v>52.8</v>
      </c>
      <c r="G1090" s="6" t="n">
        <f aca="false">E1090*F1090</f>
        <v>1782</v>
      </c>
      <c r="H1090" s="1" t="s">
        <v>34</v>
      </c>
      <c r="I1090" s="1" t="s">
        <v>58</v>
      </c>
      <c r="J1090" s="1" t="n">
        <f aca="false">K1089</f>
        <v>175260</v>
      </c>
      <c r="K1090" s="1" t="n">
        <f aca="false">J1090+L1090</f>
        <v>175287</v>
      </c>
      <c r="L1090" s="1" t="n">
        <v>27</v>
      </c>
      <c r="M1090" s="1" t="n">
        <f aca="false">(E1090+M1089)-N1090</f>
        <v>39.2</v>
      </c>
      <c r="N1090" s="1" t="n">
        <v>3.2</v>
      </c>
    </row>
    <row r="1091" customFormat="false" ht="15" hidden="false" customHeight="true" outlineLevel="0" collapsed="false">
      <c r="D1091" s="11"/>
      <c r="G1091" s="6"/>
      <c r="H1091" s="1" t="s">
        <v>58</v>
      </c>
      <c r="I1091" s="1" t="s">
        <v>34</v>
      </c>
      <c r="J1091" s="1" t="n">
        <f aca="false">K1090</f>
        <v>175287</v>
      </c>
      <c r="K1091" s="1" t="n">
        <f aca="false">J1091+L1091</f>
        <v>175314</v>
      </c>
      <c r="L1091" s="1" t="n">
        <v>27</v>
      </c>
      <c r="M1091" s="1" t="n">
        <f aca="false">(E1091+M1090)-N1091</f>
        <v>36</v>
      </c>
      <c r="N1091" s="1" t="n">
        <v>3.2</v>
      </c>
    </row>
    <row r="1092" customFormat="false" ht="15" hidden="false" customHeight="true" outlineLevel="0" collapsed="false">
      <c r="D1092" s="11" t="n">
        <v>45086</v>
      </c>
      <c r="E1092" s="0" t="n">
        <v>15.41</v>
      </c>
      <c r="F1092" s="1" t="n">
        <v>52.55</v>
      </c>
      <c r="G1092" s="6" t="n">
        <f aca="false">E1092*F1092</f>
        <v>809.7955</v>
      </c>
      <c r="H1092" s="1" t="s">
        <v>34</v>
      </c>
      <c r="I1092" s="1" t="s">
        <v>54</v>
      </c>
      <c r="J1092" s="1" t="n">
        <f aca="false">K1091</f>
        <v>175314</v>
      </c>
      <c r="K1092" s="1" t="n">
        <f aca="false">J1092+L1092</f>
        <v>175341</v>
      </c>
      <c r="L1092" s="1" t="n">
        <v>27</v>
      </c>
      <c r="M1092" s="1" t="n">
        <f aca="false">(E1092+M1091)-N1092</f>
        <v>48.21</v>
      </c>
      <c r="N1092" s="1" t="n">
        <v>3.2</v>
      </c>
    </row>
    <row r="1093" customFormat="false" ht="15" hidden="false" customHeight="true" outlineLevel="0" collapsed="false">
      <c r="D1093" s="11"/>
      <c r="H1093" s="1" t="s">
        <v>54</v>
      </c>
      <c r="I1093" s="1" t="s">
        <v>34</v>
      </c>
      <c r="J1093" s="1" t="n">
        <f aca="false">K1092</f>
        <v>175341</v>
      </c>
      <c r="K1093" s="1" t="n">
        <f aca="false">J1093+L1093</f>
        <v>175368</v>
      </c>
      <c r="L1093" s="1" t="n">
        <v>27</v>
      </c>
      <c r="M1093" s="1" t="n">
        <f aca="false">(E1093+M1092)-N1093</f>
        <v>45.01</v>
      </c>
      <c r="N1093" s="1" t="n">
        <v>3.2</v>
      </c>
    </row>
    <row r="1094" customFormat="false" ht="15" hidden="false" customHeight="true" outlineLevel="0" collapsed="false">
      <c r="D1094" s="11"/>
      <c r="H1094" s="1" t="s">
        <v>34</v>
      </c>
      <c r="I1094" s="1" t="s">
        <v>39</v>
      </c>
      <c r="J1094" s="1" t="n">
        <f aca="false">K1093</f>
        <v>175368</v>
      </c>
      <c r="K1094" s="1" t="n">
        <f aca="false">J1094+L1094</f>
        <v>175418</v>
      </c>
      <c r="L1094" s="1" t="n">
        <v>50</v>
      </c>
      <c r="M1094" s="1" t="n">
        <f aca="false">(E1094+M1093)-N1094</f>
        <v>39.51</v>
      </c>
      <c r="N1094" s="1" t="n">
        <v>5.5</v>
      </c>
    </row>
    <row r="1095" customFormat="false" ht="15" hidden="false" customHeight="true" outlineLevel="0" collapsed="false">
      <c r="D1095" s="11"/>
      <c r="H1095" s="1" t="s">
        <v>39</v>
      </c>
      <c r="I1095" s="1" t="s">
        <v>34</v>
      </c>
      <c r="J1095" s="1" t="n">
        <f aca="false">K1094</f>
        <v>175418</v>
      </c>
      <c r="K1095" s="1" t="n">
        <f aca="false">J1095+L1095</f>
        <v>175468</v>
      </c>
      <c r="L1095" s="1" t="n">
        <v>50</v>
      </c>
      <c r="M1095" s="1" t="n">
        <f aca="false">(E1095+M1094)-N1095</f>
        <v>34.01</v>
      </c>
      <c r="N1095" s="1" t="n">
        <v>5.5</v>
      </c>
    </row>
    <row r="1096" customFormat="false" ht="15" hidden="false" customHeight="true" outlineLevel="0" collapsed="false">
      <c r="D1096" s="11" t="n">
        <v>45090</v>
      </c>
      <c r="H1096" s="1" t="s">
        <v>34</v>
      </c>
      <c r="I1096" s="1" t="s">
        <v>65</v>
      </c>
      <c r="J1096" s="1" t="n">
        <f aca="false">K1095</f>
        <v>175468</v>
      </c>
      <c r="K1096" s="1" t="n">
        <f aca="false">J1096+L1096</f>
        <v>175548</v>
      </c>
      <c r="L1096" s="1" t="n">
        <v>80</v>
      </c>
      <c r="M1096" s="1" t="n">
        <f aca="false">(E1096+M1095)-N1096</f>
        <v>25.01</v>
      </c>
      <c r="N1096" s="1" t="n">
        <v>9</v>
      </c>
    </row>
    <row r="1097" customFormat="false" ht="15" hidden="false" customHeight="true" outlineLevel="0" collapsed="false">
      <c r="D1097" s="11"/>
      <c r="H1097" s="1" t="s">
        <v>65</v>
      </c>
      <c r="I1097" s="1" t="s">
        <v>34</v>
      </c>
      <c r="J1097" s="1" t="n">
        <f aca="false">K1096</f>
        <v>175548</v>
      </c>
      <c r="K1097" s="1" t="n">
        <f aca="false">J1097+L1097</f>
        <v>175628</v>
      </c>
      <c r="L1097" s="1" t="n">
        <v>80</v>
      </c>
      <c r="M1097" s="1" t="n">
        <f aca="false">(E1097+M1096)-N1097</f>
        <v>16.01</v>
      </c>
      <c r="N1097" s="1" t="n">
        <v>9</v>
      </c>
    </row>
    <row r="1098" customFormat="false" ht="15" hidden="false" customHeight="true" outlineLevel="0" collapsed="false">
      <c r="D1098" s="11" t="n">
        <v>45091</v>
      </c>
      <c r="H1098" s="1" t="s">
        <v>34</v>
      </c>
      <c r="I1098" s="1" t="s">
        <v>35</v>
      </c>
      <c r="J1098" s="1" t="n">
        <f aca="false">K1097</f>
        <v>175628</v>
      </c>
      <c r="K1098" s="1" t="n">
        <f aca="false">J1098+L1098</f>
        <v>175640</v>
      </c>
      <c r="L1098" s="1" t="n">
        <v>12</v>
      </c>
      <c r="M1098" s="1" t="n">
        <f aca="false">(E1098+M1097)-N1098</f>
        <v>14.76</v>
      </c>
      <c r="N1098" s="1" t="n">
        <v>1.25</v>
      </c>
    </row>
    <row r="1099" customFormat="false" ht="15" hidden="false" customHeight="true" outlineLevel="0" collapsed="false">
      <c r="D1099" s="11"/>
      <c r="H1099" s="1" t="s">
        <v>35</v>
      </c>
      <c r="I1099" s="1" t="s">
        <v>34</v>
      </c>
      <c r="J1099" s="1" t="n">
        <f aca="false">K1098</f>
        <v>175640</v>
      </c>
      <c r="K1099" s="1" t="n">
        <f aca="false">J1099+L1099</f>
        <v>175652</v>
      </c>
      <c r="L1099" s="1" t="n">
        <v>12</v>
      </c>
      <c r="M1099" s="1" t="n">
        <f aca="false">(E1099+M1098)-N1099</f>
        <v>13.51</v>
      </c>
      <c r="N1099" s="1" t="n">
        <v>1.25</v>
      </c>
    </row>
    <row r="1100" customFormat="false" ht="15" hidden="false" customHeight="true" outlineLevel="0" collapsed="false">
      <c r="D1100" s="11" t="n">
        <v>45092</v>
      </c>
      <c r="H1100" s="1" t="s">
        <v>34</v>
      </c>
      <c r="I1100" s="1" t="s">
        <v>43</v>
      </c>
      <c r="J1100" s="1" t="n">
        <f aca="false">K1099</f>
        <v>175652</v>
      </c>
      <c r="K1100" s="1" t="n">
        <f aca="false">J1100+L1100</f>
        <v>175664</v>
      </c>
      <c r="L1100" s="1" t="n">
        <v>12</v>
      </c>
      <c r="M1100" s="1" t="n">
        <f aca="false">(E1100+M1099)-N1100</f>
        <v>12.26</v>
      </c>
      <c r="N1100" s="1" t="n">
        <v>1.25</v>
      </c>
    </row>
    <row r="1101" customFormat="false" ht="15" hidden="false" customHeight="true" outlineLevel="0" collapsed="false">
      <c r="D1101" s="11"/>
      <c r="H1101" s="1" t="s">
        <v>43</v>
      </c>
      <c r="I1101" s="1" t="s">
        <v>34</v>
      </c>
      <c r="J1101" s="1" t="n">
        <f aca="false">K1100</f>
        <v>175664</v>
      </c>
      <c r="K1101" s="1" t="n">
        <f aca="false">J1101+L1101</f>
        <v>175676</v>
      </c>
      <c r="L1101" s="1" t="n">
        <v>12</v>
      </c>
      <c r="M1101" s="1" t="n">
        <f aca="false">(E1101+M1100)-N1101</f>
        <v>11.01</v>
      </c>
      <c r="N1101" s="1" t="n">
        <v>1.25</v>
      </c>
    </row>
    <row r="1102" customFormat="false" ht="15" hidden="false" customHeight="true" outlineLevel="0" collapsed="false">
      <c r="D1102" s="11" t="n">
        <v>45093</v>
      </c>
      <c r="H1102" s="1" t="s">
        <v>34</v>
      </c>
      <c r="I1102" s="1" t="s">
        <v>54</v>
      </c>
      <c r="J1102" s="1" t="n">
        <f aca="false">K1101</f>
        <v>175676</v>
      </c>
      <c r="K1102" s="1" t="n">
        <f aca="false">J1102+L1102</f>
        <v>175703</v>
      </c>
      <c r="L1102" s="1" t="n">
        <v>27</v>
      </c>
      <c r="M1102" s="1" t="n">
        <f aca="false">(E1102+M1101)-N1102</f>
        <v>7.80999999999998</v>
      </c>
      <c r="N1102" s="1" t="n">
        <v>3.2</v>
      </c>
    </row>
    <row r="1103" customFormat="false" ht="15" hidden="false" customHeight="true" outlineLevel="0" collapsed="false">
      <c r="D1103" s="11"/>
      <c r="H1103" s="1" t="s">
        <v>54</v>
      </c>
      <c r="I1103" s="1" t="s">
        <v>34</v>
      </c>
      <c r="J1103" s="1" t="n">
        <f aca="false">K1102</f>
        <v>175703</v>
      </c>
      <c r="K1103" s="1" t="n">
        <f aca="false">J1103+L1103</f>
        <v>175730</v>
      </c>
      <c r="L1103" s="1" t="n">
        <v>27</v>
      </c>
      <c r="M1103" s="1" t="n">
        <f aca="false">(E1103+M1102)-N1103</f>
        <v>4.60999999999998</v>
      </c>
      <c r="N1103" s="1" t="n">
        <v>3.2</v>
      </c>
    </row>
    <row r="1104" customFormat="false" ht="15" hidden="false" customHeight="true" outlineLevel="0" collapsed="false">
      <c r="D1104" s="11" t="n">
        <v>45096</v>
      </c>
      <c r="H1104" s="1" t="s">
        <v>34</v>
      </c>
      <c r="I1104" s="1" t="s">
        <v>35</v>
      </c>
      <c r="J1104" s="1" t="n">
        <f aca="false">K1103</f>
        <v>175730</v>
      </c>
      <c r="K1104" s="1" t="n">
        <f aca="false">J1104+L1104</f>
        <v>175742</v>
      </c>
      <c r="L1104" s="1" t="n">
        <v>12</v>
      </c>
      <c r="M1104" s="1" t="n">
        <f aca="false">(E1104+M1103)-N1104</f>
        <v>3.35999999999998</v>
      </c>
      <c r="N1104" s="1" t="n">
        <v>1.25</v>
      </c>
    </row>
    <row r="1105" customFormat="false" ht="15" hidden="false" customHeight="true" outlineLevel="0" collapsed="false">
      <c r="D1105" s="11"/>
      <c r="H1105" s="1" t="s">
        <v>35</v>
      </c>
      <c r="I1105" s="1" t="s">
        <v>34</v>
      </c>
      <c r="J1105" s="1" t="n">
        <f aca="false">K1104</f>
        <v>175742</v>
      </c>
      <c r="K1105" s="1" t="n">
        <f aca="false">J1105+L1105</f>
        <v>175754</v>
      </c>
      <c r="L1105" s="1" t="n">
        <v>12</v>
      </c>
      <c r="M1105" s="1" t="n">
        <f aca="false">(E1105+M1104)-N1105</f>
        <v>2.10999999999998</v>
      </c>
      <c r="N1105" s="1" t="n">
        <v>1.25</v>
      </c>
    </row>
    <row r="1106" customFormat="false" ht="15" hidden="false" customHeight="true" outlineLevel="0" collapsed="false">
      <c r="D1106" s="11" t="n">
        <v>45097</v>
      </c>
      <c r="E1106" s="0" t="n">
        <v>38.82</v>
      </c>
      <c r="F1106" s="1" t="n">
        <v>52.45</v>
      </c>
      <c r="G1106" s="6" t="n">
        <f aca="false">E1106*F1106</f>
        <v>2036.109</v>
      </c>
      <c r="H1106" s="1" t="s">
        <v>34</v>
      </c>
      <c r="I1106" s="1" t="s">
        <v>58</v>
      </c>
      <c r="J1106" s="1" t="n">
        <f aca="false">K1105</f>
        <v>175754</v>
      </c>
      <c r="K1106" s="1" t="n">
        <f aca="false">J1106+L1106</f>
        <v>175781</v>
      </c>
      <c r="L1106" s="1" t="n">
        <v>27</v>
      </c>
      <c r="M1106" s="1" t="n">
        <f aca="false">(E1106+M1105)-N1106</f>
        <v>37.73</v>
      </c>
      <c r="N1106" s="1" t="n">
        <v>3.2</v>
      </c>
    </row>
    <row r="1107" customFormat="false" ht="15" hidden="false" customHeight="true" outlineLevel="0" collapsed="false">
      <c r="D1107" s="11"/>
      <c r="G1107" s="6"/>
      <c r="H1107" s="1" t="s">
        <v>58</v>
      </c>
      <c r="I1107" s="1" t="s">
        <v>34</v>
      </c>
      <c r="J1107" s="1" t="n">
        <f aca="false">K1106</f>
        <v>175781</v>
      </c>
      <c r="K1107" s="1" t="n">
        <f aca="false">J1107+L1107</f>
        <v>175808</v>
      </c>
      <c r="L1107" s="1" t="n">
        <v>27</v>
      </c>
      <c r="M1107" s="1" t="n">
        <f aca="false">(E1107+M1106)-N1107</f>
        <v>34.53</v>
      </c>
      <c r="N1107" s="1" t="n">
        <v>3.2</v>
      </c>
    </row>
    <row r="1108" customFormat="false" ht="15" hidden="false" customHeight="true" outlineLevel="0" collapsed="false">
      <c r="D1108" s="11" t="n">
        <v>45098</v>
      </c>
      <c r="H1108" s="1" t="s">
        <v>34</v>
      </c>
      <c r="I1108" s="1" t="s">
        <v>43</v>
      </c>
      <c r="J1108" s="1" t="n">
        <f aca="false">K1107</f>
        <v>175808</v>
      </c>
      <c r="K1108" s="1" t="n">
        <f aca="false">J1108+L1108</f>
        <v>175820</v>
      </c>
      <c r="L1108" s="1" t="n">
        <v>12</v>
      </c>
      <c r="M1108" s="1" t="n">
        <f aca="false">(E1108+M1107)-N1108</f>
        <v>33.28</v>
      </c>
      <c r="N1108" s="1" t="n">
        <v>1.25</v>
      </c>
    </row>
    <row r="1109" customFormat="false" ht="15" hidden="false" customHeight="true" outlineLevel="0" collapsed="false">
      <c r="D1109" s="11"/>
      <c r="H1109" s="1" t="s">
        <v>43</v>
      </c>
      <c r="I1109" s="1" t="s">
        <v>34</v>
      </c>
      <c r="J1109" s="1" t="n">
        <f aca="false">K1108</f>
        <v>175820</v>
      </c>
      <c r="K1109" s="1" t="n">
        <f aca="false">J1109+L1109</f>
        <v>175832</v>
      </c>
      <c r="L1109" s="1" t="n">
        <v>12</v>
      </c>
      <c r="M1109" s="1" t="n">
        <f aca="false">(E1109+M1108)-N1109</f>
        <v>32.03</v>
      </c>
      <c r="N1109" s="1" t="n">
        <v>1.25</v>
      </c>
    </row>
    <row r="1110" customFormat="false" ht="15" hidden="false" customHeight="true" outlineLevel="0" collapsed="false">
      <c r="D1110" s="11" t="n">
        <v>45099</v>
      </c>
      <c r="H1110" s="1" t="s">
        <v>34</v>
      </c>
      <c r="I1110" s="1" t="s">
        <v>54</v>
      </c>
      <c r="J1110" s="1" t="n">
        <f aca="false">K1109</f>
        <v>175832</v>
      </c>
      <c r="K1110" s="1" t="n">
        <f aca="false">J1110+L1110</f>
        <v>175859</v>
      </c>
      <c r="L1110" s="1" t="n">
        <v>27</v>
      </c>
      <c r="M1110" s="1" t="n">
        <f aca="false">(E1110+M1109)-N1110</f>
        <v>28.83</v>
      </c>
      <c r="N1110" s="1" t="n">
        <v>3.2</v>
      </c>
    </row>
    <row r="1111" customFormat="false" ht="15" hidden="false" customHeight="true" outlineLevel="0" collapsed="false">
      <c r="D1111" s="11"/>
      <c r="H1111" s="1" t="s">
        <v>54</v>
      </c>
      <c r="I1111" s="1" t="s">
        <v>34</v>
      </c>
      <c r="J1111" s="1" t="n">
        <f aca="false">K1110</f>
        <v>175859</v>
      </c>
      <c r="K1111" s="1" t="n">
        <f aca="false">J1111+L1111</f>
        <v>175886</v>
      </c>
      <c r="L1111" s="1" t="n">
        <v>27</v>
      </c>
      <c r="M1111" s="1" t="n">
        <f aca="false">(E1111+M1110)-N1111</f>
        <v>25.63</v>
      </c>
      <c r="N1111" s="1" t="n">
        <v>3.2</v>
      </c>
    </row>
    <row r="1112" customFormat="false" ht="15" hidden="false" customHeight="true" outlineLevel="0" collapsed="false">
      <c r="D1112" s="11" t="n">
        <v>45100</v>
      </c>
      <c r="H1112" s="1" t="s">
        <v>34</v>
      </c>
      <c r="I1112" s="1" t="s">
        <v>58</v>
      </c>
      <c r="J1112" s="1" t="n">
        <f aca="false">K1111</f>
        <v>175886</v>
      </c>
      <c r="K1112" s="1" t="n">
        <f aca="false">J1112+L1112</f>
        <v>175913</v>
      </c>
      <c r="L1112" s="1" t="n">
        <v>27</v>
      </c>
      <c r="M1112" s="1" t="n">
        <f aca="false">(E1112+M1111)-N1112</f>
        <v>22.43</v>
      </c>
      <c r="N1112" s="1" t="n">
        <v>3.2</v>
      </c>
    </row>
    <row r="1113" customFormat="false" ht="15" hidden="false" customHeight="true" outlineLevel="0" collapsed="false">
      <c r="D1113" s="11"/>
      <c r="H1113" s="1" t="s">
        <v>58</v>
      </c>
      <c r="I1113" s="1" t="s">
        <v>34</v>
      </c>
      <c r="J1113" s="1" t="n">
        <f aca="false">K1112</f>
        <v>175913</v>
      </c>
      <c r="K1113" s="1" t="n">
        <f aca="false">J1113+L1113</f>
        <v>175940</v>
      </c>
      <c r="L1113" s="1" t="n">
        <v>27</v>
      </c>
      <c r="M1113" s="1" t="n">
        <f aca="false">(E1113+M1112)-N1113</f>
        <v>19.23</v>
      </c>
      <c r="N1113" s="1" t="n">
        <v>3.2</v>
      </c>
    </row>
    <row r="1114" customFormat="false" ht="15" hidden="false" customHeight="true" outlineLevel="0" collapsed="false">
      <c r="D1114" s="11" t="n">
        <v>45103</v>
      </c>
      <c r="H1114" s="1" t="s">
        <v>34</v>
      </c>
      <c r="I1114" s="1" t="s">
        <v>54</v>
      </c>
      <c r="J1114" s="1" t="n">
        <f aca="false">K1113</f>
        <v>175940</v>
      </c>
      <c r="K1114" s="1" t="n">
        <f aca="false">J1114+L1114</f>
        <v>175967</v>
      </c>
      <c r="L1114" s="1" t="n">
        <v>27</v>
      </c>
      <c r="M1114" s="1" t="n">
        <f aca="false">(E1114+M1113)-N1114</f>
        <v>16.03</v>
      </c>
      <c r="N1114" s="1" t="n">
        <v>3.2</v>
      </c>
    </row>
    <row r="1115" customFormat="false" ht="15" hidden="false" customHeight="true" outlineLevel="0" collapsed="false">
      <c r="D1115" s="11"/>
      <c r="H1115" s="1" t="s">
        <v>54</v>
      </c>
      <c r="I1115" s="1" t="s">
        <v>34</v>
      </c>
      <c r="J1115" s="1" t="n">
        <f aca="false">K1114</f>
        <v>175967</v>
      </c>
      <c r="K1115" s="1" t="n">
        <f aca="false">J1115+L1115</f>
        <v>175994</v>
      </c>
      <c r="L1115" s="1" t="n">
        <v>27</v>
      </c>
      <c r="M1115" s="1" t="n">
        <f aca="false">(E1115+M1114)-N1115</f>
        <v>12.83</v>
      </c>
      <c r="N1115" s="1" t="n">
        <v>3.2</v>
      </c>
    </row>
    <row r="1116" customFormat="false" ht="15" hidden="false" customHeight="true" outlineLevel="0" collapsed="false">
      <c r="D1116" s="11" t="n">
        <v>45104</v>
      </c>
      <c r="H1116" s="1" t="s">
        <v>34</v>
      </c>
      <c r="I1116" s="1" t="s">
        <v>39</v>
      </c>
      <c r="J1116" s="1" t="n">
        <f aca="false">K1115</f>
        <v>175994</v>
      </c>
      <c r="K1116" s="1" t="n">
        <f aca="false">J1116+L1116</f>
        <v>176044</v>
      </c>
      <c r="L1116" s="1" t="n">
        <v>50</v>
      </c>
      <c r="M1116" s="1" t="n">
        <f aca="false">(E1116+M1115)-N1116</f>
        <v>7.32999999999998</v>
      </c>
      <c r="N1116" s="1" t="n">
        <v>5.5</v>
      </c>
    </row>
    <row r="1117" customFormat="false" ht="15" hidden="false" customHeight="true" outlineLevel="0" collapsed="false">
      <c r="D1117" s="11"/>
      <c r="H1117" s="1" t="s">
        <v>39</v>
      </c>
      <c r="I1117" s="1" t="s">
        <v>34</v>
      </c>
      <c r="J1117" s="1" t="n">
        <f aca="false">K1116</f>
        <v>176044</v>
      </c>
      <c r="K1117" s="1" t="n">
        <f aca="false">J1117+L1117</f>
        <v>176094</v>
      </c>
      <c r="L1117" s="1" t="n">
        <v>50</v>
      </c>
      <c r="M1117" s="1" t="n">
        <f aca="false">(E1117+M1116)-N1117</f>
        <v>1.82999999999998</v>
      </c>
      <c r="N1117" s="1" t="n">
        <v>5.5</v>
      </c>
    </row>
    <row r="1118" customFormat="false" ht="15" hidden="false" customHeight="true" outlineLevel="0" collapsed="false">
      <c r="D1118" s="11" t="n">
        <v>45105</v>
      </c>
      <c r="E1118" s="0" t="n">
        <v>8.45</v>
      </c>
      <c r="F1118" s="1" t="n">
        <v>53</v>
      </c>
      <c r="G1118" s="6" t="n">
        <f aca="false">E1118*F1118</f>
        <v>447.85</v>
      </c>
      <c r="H1118" s="1" t="s">
        <v>34</v>
      </c>
      <c r="I1118" s="1" t="s">
        <v>43</v>
      </c>
      <c r="J1118" s="1" t="n">
        <f aca="false">K1117</f>
        <v>176094</v>
      </c>
      <c r="K1118" s="1" t="n">
        <f aca="false">J1118+L1118</f>
        <v>176106</v>
      </c>
      <c r="L1118" s="1" t="n">
        <v>12</v>
      </c>
      <c r="M1118" s="1" t="n">
        <f aca="false">(E1118+M1117)-N1118</f>
        <v>9.02999999999998</v>
      </c>
      <c r="N1118" s="1" t="n">
        <v>1.25</v>
      </c>
    </row>
    <row r="1119" customFormat="false" ht="15" hidden="false" customHeight="true" outlineLevel="0" collapsed="false">
      <c r="D1119" s="11"/>
      <c r="G1119" s="6"/>
      <c r="H1119" s="1" t="s">
        <v>43</v>
      </c>
      <c r="I1119" s="1" t="s">
        <v>34</v>
      </c>
      <c r="J1119" s="1" t="n">
        <f aca="false">K1118</f>
        <v>176106</v>
      </c>
      <c r="K1119" s="1" t="n">
        <f aca="false">J1119+L1119</f>
        <v>176118</v>
      </c>
      <c r="L1119" s="1" t="n">
        <v>12</v>
      </c>
      <c r="M1119" s="1" t="n">
        <f aca="false">(E1119+M1118)-N1119</f>
        <v>7.77999999999998</v>
      </c>
      <c r="N1119" s="1" t="n">
        <v>1.25</v>
      </c>
    </row>
    <row r="1120" customFormat="false" ht="15" hidden="false" customHeight="true" outlineLevel="0" collapsed="false">
      <c r="D1120" s="11" t="n">
        <v>45106</v>
      </c>
      <c r="E1120" s="0" t="n">
        <v>37.38</v>
      </c>
      <c r="F1120" s="1" t="n">
        <v>53.3</v>
      </c>
      <c r="G1120" s="6" t="n">
        <f aca="false">E1120*F1120</f>
        <v>1992.354</v>
      </c>
      <c r="H1120" s="1" t="s">
        <v>34</v>
      </c>
      <c r="I1120" s="1" t="s">
        <v>65</v>
      </c>
      <c r="J1120" s="1" t="n">
        <f aca="false">K1119</f>
        <v>176118</v>
      </c>
      <c r="K1120" s="1" t="n">
        <f aca="false">J1120+L1120</f>
        <v>176198</v>
      </c>
      <c r="L1120" s="1" t="n">
        <v>80</v>
      </c>
      <c r="M1120" s="1" t="n">
        <f aca="false">(E1120+M1119)-N1120</f>
        <v>36.16</v>
      </c>
      <c r="N1120" s="1" t="n">
        <v>9</v>
      </c>
    </row>
    <row r="1121" customFormat="false" ht="15" hidden="false" customHeight="true" outlineLevel="0" collapsed="false">
      <c r="D1121" s="11"/>
      <c r="G1121" s="6"/>
      <c r="H1121" s="1" t="s">
        <v>65</v>
      </c>
      <c r="I1121" s="1" t="s">
        <v>34</v>
      </c>
      <c r="J1121" s="1" t="n">
        <f aca="false">K1120</f>
        <v>176198</v>
      </c>
      <c r="K1121" s="1" t="n">
        <f aca="false">J1121+L1121</f>
        <v>176278</v>
      </c>
      <c r="L1121" s="1" t="n">
        <v>80</v>
      </c>
      <c r="M1121" s="1" t="n">
        <f aca="false">(E1121+M1120)-N1121</f>
        <v>27.16</v>
      </c>
      <c r="N1121" s="1" t="n">
        <v>9</v>
      </c>
    </row>
    <row r="1122" customFormat="false" ht="15" hidden="false" customHeight="true" outlineLevel="0" collapsed="false">
      <c r="D1122" s="11" t="n">
        <v>45107</v>
      </c>
      <c r="H1122" s="1" t="s">
        <v>34</v>
      </c>
      <c r="I1122" s="1" t="s">
        <v>37</v>
      </c>
      <c r="J1122" s="1" t="n">
        <f aca="false">K1121</f>
        <v>176278</v>
      </c>
      <c r="K1122" s="1" t="n">
        <f aca="false">J1122+L1122</f>
        <v>176318</v>
      </c>
      <c r="L1122" s="1" t="n">
        <v>40</v>
      </c>
      <c r="M1122" s="1" t="n">
        <f aca="false">(E1122+M1121)-N1122</f>
        <v>22.36</v>
      </c>
      <c r="N1122" s="1" t="n">
        <v>4.8</v>
      </c>
    </row>
    <row r="1123" customFormat="false" ht="15" hidden="false" customHeight="true" outlineLevel="0" collapsed="false">
      <c r="H1123" s="1" t="s">
        <v>37</v>
      </c>
      <c r="I1123" s="1" t="s">
        <v>34</v>
      </c>
      <c r="J1123" s="1" t="n">
        <f aca="false">K1122</f>
        <v>176318</v>
      </c>
      <c r="K1123" s="1" t="n">
        <f aca="false">J1123+L1123</f>
        <v>176358</v>
      </c>
      <c r="L1123" s="1" t="n">
        <v>40</v>
      </c>
      <c r="M1123" s="1" t="n">
        <f aca="false">(E1123+M1122)-N1123</f>
        <v>17.56</v>
      </c>
      <c r="N1123" s="1" t="n">
        <v>4.8</v>
      </c>
    </row>
    <row r="1125" customFormat="false" ht="15" hidden="false" customHeight="true" outlineLevel="0" collapsed="false">
      <c r="D1125" s="4" t="s">
        <v>66</v>
      </c>
      <c r="E1125" s="4"/>
      <c r="F1125" s="4"/>
      <c r="G1125" s="4"/>
    </row>
    <row r="1126" customFormat="false" ht="15" hidden="false" customHeight="true" outlineLevel="0" collapsed="false">
      <c r="D1126" s="11" t="n">
        <v>45110</v>
      </c>
      <c r="H1126" s="1" t="s">
        <v>34</v>
      </c>
      <c r="I1126" s="1" t="s">
        <v>58</v>
      </c>
      <c r="J1126" s="1" t="n">
        <f aca="false">K1123</f>
        <v>176358</v>
      </c>
      <c r="K1126" s="1" t="n">
        <f aca="false">J1126+L1126</f>
        <v>176385</v>
      </c>
      <c r="L1126" s="1" t="n">
        <v>27</v>
      </c>
      <c r="M1126" s="1" t="n">
        <f aca="false">(E1126+M1123)-N1126</f>
        <v>14.36</v>
      </c>
      <c r="N1126" s="1" t="n">
        <v>3.2</v>
      </c>
    </row>
    <row r="1127" customFormat="false" ht="15" hidden="false" customHeight="true" outlineLevel="0" collapsed="false">
      <c r="D1127" s="11"/>
      <c r="H1127" s="1" t="s">
        <v>58</v>
      </c>
      <c r="I1127" s="1" t="s">
        <v>34</v>
      </c>
      <c r="J1127" s="1" t="n">
        <f aca="false">K1126</f>
        <v>176385</v>
      </c>
      <c r="K1127" s="1" t="n">
        <f aca="false">J1127+L1127</f>
        <v>176412</v>
      </c>
      <c r="L1127" s="1" t="n">
        <v>27</v>
      </c>
      <c r="M1127" s="1" t="n">
        <f aca="false">(E1127+M1126)-N1127</f>
        <v>11.16</v>
      </c>
      <c r="N1127" s="1" t="n">
        <v>3.2</v>
      </c>
    </row>
    <row r="1128" customFormat="false" ht="15" hidden="false" customHeight="true" outlineLevel="0" collapsed="false">
      <c r="D1128" s="11" t="n">
        <v>45111</v>
      </c>
      <c r="H1128" s="1" t="s">
        <v>34</v>
      </c>
      <c r="I1128" s="1" t="s">
        <v>54</v>
      </c>
      <c r="J1128" s="1" t="n">
        <f aca="false">K1127</f>
        <v>176412</v>
      </c>
      <c r="K1128" s="1" t="n">
        <f aca="false">J1128+L1128</f>
        <v>176439</v>
      </c>
      <c r="L1128" s="1" t="n">
        <v>27</v>
      </c>
      <c r="M1128" s="1" t="n">
        <f aca="false">(E1128+M1127)-N1128</f>
        <v>7.95999999999998</v>
      </c>
      <c r="N1128" s="1" t="n">
        <v>3.2</v>
      </c>
    </row>
    <row r="1129" customFormat="false" ht="15" hidden="false" customHeight="true" outlineLevel="0" collapsed="false">
      <c r="D1129" s="11"/>
      <c r="H1129" s="1" t="s">
        <v>54</v>
      </c>
      <c r="I1129" s="1" t="s">
        <v>34</v>
      </c>
      <c r="J1129" s="1" t="n">
        <f aca="false">K1128</f>
        <v>176439</v>
      </c>
      <c r="K1129" s="1" t="n">
        <f aca="false">J1129+L1129</f>
        <v>176466</v>
      </c>
      <c r="L1129" s="1" t="n">
        <v>27</v>
      </c>
      <c r="M1129" s="1" t="n">
        <f aca="false">(E1129+M1128)-N1129</f>
        <v>4.75999999999998</v>
      </c>
      <c r="N1129" s="1" t="n">
        <v>3.2</v>
      </c>
    </row>
    <row r="1130" customFormat="false" ht="15" hidden="false" customHeight="true" outlineLevel="0" collapsed="false">
      <c r="D1130" s="11" t="n">
        <v>45112</v>
      </c>
      <c r="H1130" s="1" t="s">
        <v>34</v>
      </c>
      <c r="I1130" s="1" t="s">
        <v>35</v>
      </c>
      <c r="J1130" s="1" t="n">
        <f aca="false">K1129</f>
        <v>176466</v>
      </c>
      <c r="K1130" s="1" t="n">
        <f aca="false">J1130+L1130</f>
        <v>176478</v>
      </c>
      <c r="L1130" s="1" t="n">
        <v>12</v>
      </c>
      <c r="M1130" s="1" t="n">
        <f aca="false">(E1130+M1129)-N1130</f>
        <v>3.50999999999998</v>
      </c>
      <c r="N1130" s="1" t="n">
        <v>1.25</v>
      </c>
    </row>
    <row r="1131" customFormat="false" ht="15" hidden="false" customHeight="true" outlineLevel="0" collapsed="false">
      <c r="D1131" s="11"/>
      <c r="H1131" s="1" t="s">
        <v>35</v>
      </c>
      <c r="I1131" s="1" t="s">
        <v>34</v>
      </c>
      <c r="J1131" s="1" t="n">
        <f aca="false">K1130</f>
        <v>176478</v>
      </c>
      <c r="K1131" s="1" t="n">
        <f aca="false">J1131+L1131</f>
        <v>176490</v>
      </c>
      <c r="L1131" s="1" t="n">
        <v>12</v>
      </c>
      <c r="M1131" s="1" t="n">
        <f aca="false">(E1131+M1130)-N1131</f>
        <v>2.25999999999998</v>
      </c>
      <c r="N1131" s="1" t="n">
        <v>1.25</v>
      </c>
    </row>
    <row r="1132" customFormat="false" ht="15" hidden="false" customHeight="true" outlineLevel="0" collapsed="false">
      <c r="D1132" s="11" t="n">
        <v>45113</v>
      </c>
      <c r="E1132" s="0" t="n">
        <v>46.08</v>
      </c>
      <c r="F1132" s="1" t="n">
        <v>52.85</v>
      </c>
      <c r="G1132" s="6" t="n">
        <f aca="false">E1132*F1132</f>
        <v>2435.328</v>
      </c>
      <c r="H1132" s="1" t="s">
        <v>34</v>
      </c>
      <c r="I1132" s="1" t="s">
        <v>65</v>
      </c>
      <c r="J1132" s="1" t="n">
        <f aca="false">K1131</f>
        <v>176490</v>
      </c>
      <c r="K1132" s="1" t="n">
        <f aca="false">J1132+L1132</f>
        <v>176570</v>
      </c>
      <c r="L1132" s="1" t="n">
        <v>80</v>
      </c>
      <c r="M1132" s="1" t="n">
        <f aca="false">(E1132+M1131)-N1132</f>
        <v>39.34</v>
      </c>
      <c r="N1132" s="1" t="n">
        <v>9</v>
      </c>
    </row>
    <row r="1133" customFormat="false" ht="15" hidden="false" customHeight="true" outlineLevel="0" collapsed="false">
      <c r="D1133" s="11"/>
      <c r="G1133" s="6"/>
      <c r="H1133" s="1" t="s">
        <v>65</v>
      </c>
      <c r="I1133" s="1" t="s">
        <v>34</v>
      </c>
      <c r="J1133" s="1" t="n">
        <f aca="false">K1132</f>
        <v>176570</v>
      </c>
      <c r="K1133" s="1" t="n">
        <f aca="false">J1133+L1133</f>
        <v>176650</v>
      </c>
      <c r="L1133" s="1" t="n">
        <v>80</v>
      </c>
      <c r="M1133" s="1" t="n">
        <f aca="false">(E1133+M1132)-N1133</f>
        <v>30.34</v>
      </c>
      <c r="N1133" s="1" t="n">
        <v>9</v>
      </c>
    </row>
    <row r="1134" customFormat="false" ht="15" hidden="false" customHeight="true" outlineLevel="0" collapsed="false">
      <c r="D1134" s="11" t="n">
        <v>45114</v>
      </c>
      <c r="H1134" s="1" t="s">
        <v>34</v>
      </c>
      <c r="I1134" s="1" t="s">
        <v>43</v>
      </c>
      <c r="J1134" s="1" t="n">
        <f aca="false">K1133</f>
        <v>176650</v>
      </c>
      <c r="K1134" s="1" t="n">
        <f aca="false">J1134+L1134</f>
        <v>176662</v>
      </c>
      <c r="L1134" s="1" t="n">
        <v>12</v>
      </c>
      <c r="M1134" s="1" t="n">
        <f aca="false">(E1134+M1133)-N1134</f>
        <v>29.09</v>
      </c>
      <c r="N1134" s="1" t="n">
        <v>1.25</v>
      </c>
    </row>
    <row r="1135" customFormat="false" ht="15" hidden="false" customHeight="true" outlineLevel="0" collapsed="false">
      <c r="D1135" s="11"/>
      <c r="H1135" s="1" t="s">
        <v>43</v>
      </c>
      <c r="I1135" s="1" t="s">
        <v>34</v>
      </c>
      <c r="J1135" s="1" t="n">
        <f aca="false">K1134</f>
        <v>176662</v>
      </c>
      <c r="K1135" s="1" t="n">
        <f aca="false">J1135+L1135</f>
        <v>176674</v>
      </c>
      <c r="L1135" s="1" t="n">
        <v>12</v>
      </c>
      <c r="M1135" s="1" t="n">
        <f aca="false">(E1135+M1134)-N1135</f>
        <v>27.84</v>
      </c>
      <c r="N1135" s="1" t="n">
        <v>1.25</v>
      </c>
    </row>
    <row r="1136" customFormat="false" ht="15" hidden="false" customHeight="true" outlineLevel="0" collapsed="false">
      <c r="D1136" s="11" t="n">
        <v>45117</v>
      </c>
      <c r="H1136" s="1" t="s">
        <v>34</v>
      </c>
      <c r="I1136" s="1" t="s">
        <v>35</v>
      </c>
      <c r="J1136" s="1" t="n">
        <f aca="false">K1135</f>
        <v>176674</v>
      </c>
      <c r="K1136" s="1" t="n">
        <f aca="false">J1136+L1136</f>
        <v>176686</v>
      </c>
      <c r="L1136" s="1" t="n">
        <v>12</v>
      </c>
      <c r="M1136" s="1" t="n">
        <f aca="false">(E1136+M1135)-N1136</f>
        <v>26.59</v>
      </c>
      <c r="N1136" s="1" t="n">
        <v>1.25</v>
      </c>
    </row>
    <row r="1137" customFormat="false" ht="15" hidden="false" customHeight="true" outlineLevel="0" collapsed="false">
      <c r="D1137" s="11"/>
      <c r="H1137" s="1" t="s">
        <v>35</v>
      </c>
      <c r="I1137" s="1" t="s">
        <v>34</v>
      </c>
      <c r="J1137" s="1" t="n">
        <f aca="false">K1136</f>
        <v>176686</v>
      </c>
      <c r="K1137" s="1" t="n">
        <f aca="false">J1137+L1137</f>
        <v>176698</v>
      </c>
      <c r="L1137" s="1" t="n">
        <v>12</v>
      </c>
      <c r="M1137" s="1" t="n">
        <f aca="false">(E1137+M1136)-N1137</f>
        <v>25.34</v>
      </c>
      <c r="N1137" s="1" t="n">
        <v>1.25</v>
      </c>
    </row>
    <row r="1138" customFormat="false" ht="15" hidden="false" customHeight="true" outlineLevel="0" collapsed="false">
      <c r="D1138" s="11" t="n">
        <v>45118</v>
      </c>
      <c r="H1138" s="1" t="s">
        <v>34</v>
      </c>
      <c r="I1138" s="1" t="s">
        <v>39</v>
      </c>
      <c r="J1138" s="1" t="n">
        <f aca="false">K1137</f>
        <v>176698</v>
      </c>
      <c r="K1138" s="1" t="n">
        <f aca="false">J1138+L1138</f>
        <v>176748</v>
      </c>
      <c r="L1138" s="1" t="n">
        <v>50</v>
      </c>
      <c r="M1138" s="1" t="n">
        <f aca="false">(E1138+M1137)-N1138</f>
        <v>19.84</v>
      </c>
      <c r="N1138" s="1" t="n">
        <v>5.5</v>
      </c>
    </row>
    <row r="1139" customFormat="false" ht="15" hidden="false" customHeight="true" outlineLevel="0" collapsed="false">
      <c r="D1139" s="11"/>
      <c r="H1139" s="1" t="s">
        <v>39</v>
      </c>
      <c r="I1139" s="1" t="s">
        <v>34</v>
      </c>
      <c r="J1139" s="1" t="n">
        <f aca="false">K1138</f>
        <v>176748</v>
      </c>
      <c r="K1139" s="1" t="n">
        <f aca="false">J1139+L1139</f>
        <v>176798</v>
      </c>
      <c r="L1139" s="1" t="n">
        <v>50</v>
      </c>
      <c r="M1139" s="1" t="n">
        <f aca="false">(E1139+M1138)-N1139</f>
        <v>14.34</v>
      </c>
      <c r="N1139" s="1" t="n">
        <v>5.5</v>
      </c>
    </row>
    <row r="1140" customFormat="false" ht="15" hidden="false" customHeight="true" outlineLevel="0" collapsed="false">
      <c r="D1140" s="11" t="n">
        <v>45119</v>
      </c>
      <c r="E1140" s="0" t="n">
        <v>4.94</v>
      </c>
      <c r="F1140" s="1" t="n">
        <v>53.7</v>
      </c>
      <c r="G1140" s="6" t="n">
        <f aca="false">E1140*F1140</f>
        <v>265.278</v>
      </c>
      <c r="H1140" s="1" t="s">
        <v>34</v>
      </c>
      <c r="I1140" s="1" t="s">
        <v>58</v>
      </c>
      <c r="J1140" s="1" t="n">
        <f aca="false">K1139</f>
        <v>176798</v>
      </c>
      <c r="K1140" s="1" t="n">
        <f aca="false">J1140+L1140</f>
        <v>176825</v>
      </c>
      <c r="L1140" s="1" t="n">
        <v>27</v>
      </c>
      <c r="M1140" s="1" t="n">
        <f aca="false">(E1140+M1139)-N1140</f>
        <v>16.08</v>
      </c>
      <c r="N1140" s="1" t="n">
        <v>3.2</v>
      </c>
    </row>
    <row r="1141" customFormat="false" ht="15" hidden="false" customHeight="true" outlineLevel="0" collapsed="false">
      <c r="D1141" s="11"/>
      <c r="G1141" s="6"/>
      <c r="H1141" s="1" t="s">
        <v>58</v>
      </c>
      <c r="I1141" s="1" t="s">
        <v>34</v>
      </c>
      <c r="J1141" s="1" t="n">
        <f aca="false">K1140</f>
        <v>176825</v>
      </c>
      <c r="K1141" s="1" t="n">
        <f aca="false">J1141+L1141</f>
        <v>176852</v>
      </c>
      <c r="L1141" s="1" t="n">
        <v>27</v>
      </c>
      <c r="M1141" s="1" t="n">
        <f aca="false">(E1141+M1140)-N1141</f>
        <v>12.88</v>
      </c>
      <c r="N1141" s="1" t="n">
        <v>3.2</v>
      </c>
    </row>
    <row r="1142" customFormat="false" ht="15" hidden="false" customHeight="true" outlineLevel="0" collapsed="false">
      <c r="D1142" s="11" t="n">
        <v>45120</v>
      </c>
      <c r="H1142" s="1" t="s">
        <v>34</v>
      </c>
      <c r="I1142" s="1" t="s">
        <v>35</v>
      </c>
      <c r="J1142" s="1" t="n">
        <f aca="false">K1141</f>
        <v>176852</v>
      </c>
      <c r="K1142" s="1" t="n">
        <f aca="false">J1142+L1142</f>
        <v>176864</v>
      </c>
      <c r="L1142" s="1" t="n">
        <v>12</v>
      </c>
      <c r="M1142" s="1" t="n">
        <f aca="false">(E1142+M1141)-N1142</f>
        <v>11.63</v>
      </c>
      <c r="N1142" s="1" t="n">
        <v>1.25</v>
      </c>
    </row>
    <row r="1143" customFormat="false" ht="15" hidden="false" customHeight="true" outlineLevel="0" collapsed="false">
      <c r="D1143" s="11"/>
      <c r="H1143" s="1" t="s">
        <v>35</v>
      </c>
      <c r="I1143" s="1" t="s">
        <v>34</v>
      </c>
      <c r="J1143" s="1" t="n">
        <f aca="false">K1142</f>
        <v>176864</v>
      </c>
      <c r="K1143" s="1" t="n">
        <f aca="false">J1143+L1143</f>
        <v>176876</v>
      </c>
      <c r="L1143" s="1" t="n">
        <v>12</v>
      </c>
      <c r="M1143" s="1" t="n">
        <f aca="false">(E1143+M1142)-N1143</f>
        <v>10.38</v>
      </c>
      <c r="N1143" s="1" t="n">
        <v>1.25</v>
      </c>
    </row>
    <row r="1144" customFormat="false" ht="15" hidden="false" customHeight="true" outlineLevel="0" collapsed="false">
      <c r="D1144" s="11" t="n">
        <v>45121</v>
      </c>
      <c r="H1144" s="1" t="s">
        <v>34</v>
      </c>
      <c r="I1144" s="1" t="s">
        <v>43</v>
      </c>
      <c r="J1144" s="1" t="n">
        <f aca="false">K1143</f>
        <v>176876</v>
      </c>
      <c r="K1144" s="1" t="n">
        <f aca="false">J1144+L1144</f>
        <v>176888</v>
      </c>
      <c r="L1144" s="1" t="n">
        <v>12</v>
      </c>
      <c r="M1144" s="1" t="n">
        <f aca="false">(E1144+M1143)-N1144</f>
        <v>9.12999999999999</v>
      </c>
      <c r="N1144" s="1" t="n">
        <v>1.25</v>
      </c>
    </row>
    <row r="1145" customFormat="false" ht="15" hidden="false" customHeight="true" outlineLevel="0" collapsed="false">
      <c r="D1145" s="11"/>
      <c r="H1145" s="1" t="s">
        <v>43</v>
      </c>
      <c r="I1145" s="1" t="s">
        <v>34</v>
      </c>
      <c r="J1145" s="1" t="n">
        <f aca="false">K1144</f>
        <v>176888</v>
      </c>
      <c r="K1145" s="1" t="n">
        <f aca="false">J1145+L1145</f>
        <v>176900</v>
      </c>
      <c r="L1145" s="1" t="n">
        <v>12</v>
      </c>
      <c r="M1145" s="1" t="n">
        <f aca="false">(E1145+M1144)-N1145</f>
        <v>7.87999999999999</v>
      </c>
      <c r="N1145" s="1" t="n">
        <v>1.25</v>
      </c>
    </row>
    <row r="1146" customFormat="false" ht="15" hidden="false" customHeight="true" outlineLevel="0" collapsed="false">
      <c r="D1146" s="11" t="n">
        <v>45124</v>
      </c>
      <c r="H1146" s="1" t="s">
        <v>34</v>
      </c>
      <c r="I1146" s="1" t="s">
        <v>35</v>
      </c>
      <c r="J1146" s="1" t="n">
        <f aca="false">K1145</f>
        <v>176900</v>
      </c>
      <c r="K1146" s="1" t="n">
        <f aca="false">J1146+L1146</f>
        <v>176912</v>
      </c>
      <c r="L1146" s="1" t="n">
        <v>12</v>
      </c>
      <c r="M1146" s="1" t="n">
        <f aca="false">(E1146+M1145)-N1146</f>
        <v>6.62999999999999</v>
      </c>
      <c r="N1146" s="1" t="n">
        <v>1.25</v>
      </c>
    </row>
    <row r="1147" customFormat="false" ht="15" hidden="false" customHeight="true" outlineLevel="0" collapsed="false">
      <c r="D1147" s="11"/>
      <c r="H1147" s="1" t="s">
        <v>35</v>
      </c>
      <c r="I1147" s="1" t="s">
        <v>34</v>
      </c>
      <c r="J1147" s="1" t="n">
        <f aca="false">K1146</f>
        <v>176912</v>
      </c>
      <c r="K1147" s="1" t="n">
        <f aca="false">J1147+L1147</f>
        <v>176924</v>
      </c>
      <c r="L1147" s="1" t="n">
        <v>12</v>
      </c>
      <c r="M1147" s="1" t="n">
        <f aca="false">(E1147+M1146)-N1147</f>
        <v>5.37999999999999</v>
      </c>
      <c r="N1147" s="1" t="n">
        <v>1.25</v>
      </c>
    </row>
    <row r="1148" customFormat="false" ht="15" hidden="false" customHeight="true" outlineLevel="0" collapsed="false">
      <c r="D1148" s="11" t="n">
        <v>45125</v>
      </c>
      <c r="H1148" s="1" t="s">
        <v>34</v>
      </c>
      <c r="I1148" s="1" t="s">
        <v>43</v>
      </c>
      <c r="J1148" s="1" t="n">
        <f aca="false">K1147</f>
        <v>176924</v>
      </c>
      <c r="K1148" s="1" t="n">
        <f aca="false">J1148+L1148</f>
        <v>176936</v>
      </c>
      <c r="L1148" s="1" t="n">
        <v>12</v>
      </c>
      <c r="M1148" s="1" t="n">
        <f aca="false">(E1148+M1147)-N1148</f>
        <v>4.12999999999999</v>
      </c>
      <c r="N1148" s="1" t="n">
        <v>1.25</v>
      </c>
    </row>
    <row r="1149" customFormat="false" ht="15" hidden="false" customHeight="true" outlineLevel="0" collapsed="false">
      <c r="D1149" s="11"/>
      <c r="H1149" s="1" t="s">
        <v>43</v>
      </c>
      <c r="I1149" s="1" t="s">
        <v>34</v>
      </c>
      <c r="J1149" s="1" t="n">
        <f aca="false">K1148</f>
        <v>176936</v>
      </c>
      <c r="K1149" s="1" t="n">
        <f aca="false">J1149+L1149</f>
        <v>176948</v>
      </c>
      <c r="L1149" s="1" t="n">
        <v>12</v>
      </c>
      <c r="M1149" s="1" t="n">
        <f aca="false">(E1149+M1148)-N1149</f>
        <v>2.87999999999999</v>
      </c>
      <c r="N1149" s="1" t="n">
        <v>1.25</v>
      </c>
    </row>
    <row r="1150" customFormat="false" ht="15" hidden="false" customHeight="true" outlineLevel="0" collapsed="false">
      <c r="D1150" s="11" t="n">
        <v>45126</v>
      </c>
      <c r="E1150" s="0" t="n">
        <v>9.12</v>
      </c>
      <c r="F1150" s="1" t="n">
        <v>54</v>
      </c>
      <c r="G1150" s="6" t="n">
        <f aca="false">E1150*F1150</f>
        <v>492.48</v>
      </c>
      <c r="H1150" s="1" t="s">
        <v>34</v>
      </c>
      <c r="I1150" s="1" t="s">
        <v>58</v>
      </c>
      <c r="J1150" s="1" t="n">
        <f aca="false">K1149</f>
        <v>176948</v>
      </c>
      <c r="K1150" s="1" t="n">
        <f aca="false">J1150+L1150</f>
        <v>176975</v>
      </c>
      <c r="L1150" s="1" t="n">
        <v>27</v>
      </c>
      <c r="M1150" s="1" t="n">
        <f aca="false">(E1150+M1149)-N1150</f>
        <v>8.79999999999998</v>
      </c>
      <c r="N1150" s="1" t="n">
        <v>3.2</v>
      </c>
    </row>
    <row r="1151" customFormat="false" ht="15" hidden="false" customHeight="true" outlineLevel="0" collapsed="false">
      <c r="D1151" s="11"/>
      <c r="G1151" s="6"/>
      <c r="H1151" s="1" t="s">
        <v>58</v>
      </c>
      <c r="I1151" s="1" t="s">
        <v>34</v>
      </c>
      <c r="J1151" s="1" t="n">
        <f aca="false">K1150</f>
        <v>176975</v>
      </c>
      <c r="K1151" s="1" t="n">
        <f aca="false">J1151+L1151</f>
        <v>177002</v>
      </c>
      <c r="L1151" s="1" t="n">
        <v>27</v>
      </c>
      <c r="M1151" s="1" t="n">
        <f aca="false">(E1151+M1150)-N1151</f>
        <v>5.59999999999998</v>
      </c>
      <c r="N1151" s="1" t="n">
        <v>3.2</v>
      </c>
    </row>
    <row r="1152" customFormat="false" ht="15" hidden="false" customHeight="true" outlineLevel="0" collapsed="false">
      <c r="D1152" s="11" t="n">
        <v>45127</v>
      </c>
      <c r="H1152" s="1" t="s">
        <v>34</v>
      </c>
      <c r="I1152" s="1" t="s">
        <v>35</v>
      </c>
      <c r="J1152" s="1" t="n">
        <f aca="false">K1151</f>
        <v>177002</v>
      </c>
      <c r="K1152" s="1" t="n">
        <f aca="false">J1152+L1152</f>
        <v>177014</v>
      </c>
      <c r="L1152" s="1" t="n">
        <v>12</v>
      </c>
      <c r="M1152" s="1" t="n">
        <f aca="false">(E1152+M1151)-N1152</f>
        <v>4.34999999999998</v>
      </c>
      <c r="N1152" s="1" t="n">
        <v>1.25</v>
      </c>
    </row>
    <row r="1153" customFormat="false" ht="15" hidden="false" customHeight="true" outlineLevel="0" collapsed="false">
      <c r="D1153" s="11"/>
      <c r="H1153" s="1" t="s">
        <v>35</v>
      </c>
      <c r="I1153" s="1" t="s">
        <v>34</v>
      </c>
      <c r="J1153" s="1" t="n">
        <f aca="false">K1152</f>
        <v>177014</v>
      </c>
      <c r="K1153" s="1" t="n">
        <f aca="false">J1153+L1153</f>
        <v>177026</v>
      </c>
      <c r="L1153" s="1" t="n">
        <v>12</v>
      </c>
      <c r="M1153" s="1" t="n">
        <f aca="false">(E1153+M1152)-N1153</f>
        <v>3.09999999999998</v>
      </c>
      <c r="N1153" s="1" t="n">
        <v>1.25</v>
      </c>
    </row>
    <row r="1154" customFormat="false" ht="15" hidden="false" customHeight="true" outlineLevel="0" collapsed="false">
      <c r="D1154" s="11" t="n">
        <v>45128</v>
      </c>
      <c r="E1154" s="0" t="n">
        <v>39.51</v>
      </c>
      <c r="F1154" s="1" t="n">
        <v>53.7</v>
      </c>
      <c r="G1154" s="6" t="n">
        <f aca="false">E1154*F1154</f>
        <v>2121.687</v>
      </c>
      <c r="H1154" s="1" t="s">
        <v>34</v>
      </c>
      <c r="I1154" s="1" t="s">
        <v>65</v>
      </c>
      <c r="J1154" s="1" t="n">
        <f aca="false">K1153</f>
        <v>177026</v>
      </c>
      <c r="K1154" s="1" t="n">
        <f aca="false">J1154+L1154</f>
        <v>177106</v>
      </c>
      <c r="L1154" s="1" t="n">
        <v>80</v>
      </c>
      <c r="M1154" s="1" t="n">
        <f aca="false">(E1154+M1153)-N1154</f>
        <v>33.61</v>
      </c>
      <c r="N1154" s="1" t="n">
        <v>9</v>
      </c>
    </row>
    <row r="1155" customFormat="false" ht="15" hidden="false" customHeight="true" outlineLevel="0" collapsed="false">
      <c r="D1155" s="11"/>
      <c r="G1155" s="6"/>
      <c r="H1155" s="1" t="s">
        <v>65</v>
      </c>
      <c r="I1155" s="1" t="s">
        <v>34</v>
      </c>
      <c r="J1155" s="1" t="n">
        <f aca="false">K1154</f>
        <v>177106</v>
      </c>
      <c r="K1155" s="1" t="n">
        <f aca="false">J1155+L1155</f>
        <v>177186</v>
      </c>
      <c r="L1155" s="1" t="n">
        <v>80</v>
      </c>
      <c r="M1155" s="1" t="n">
        <f aca="false">(E1155+M1154)-N1155</f>
        <v>24.61</v>
      </c>
      <c r="N1155" s="1" t="n">
        <v>9</v>
      </c>
    </row>
    <row r="1156" customFormat="false" ht="15" hidden="false" customHeight="true" outlineLevel="0" collapsed="false">
      <c r="D1156" s="11" t="n">
        <v>45131</v>
      </c>
      <c r="H1156" s="1" t="s">
        <v>34</v>
      </c>
      <c r="I1156" s="1" t="s">
        <v>54</v>
      </c>
      <c r="J1156" s="1" t="n">
        <f aca="false">K1155</f>
        <v>177186</v>
      </c>
      <c r="K1156" s="1" t="n">
        <f aca="false">J1156+L1156</f>
        <v>177213</v>
      </c>
      <c r="L1156" s="1" t="n">
        <v>27</v>
      </c>
      <c r="M1156" s="1" t="n">
        <f aca="false">(E1156+M1155)-N1156</f>
        <v>21.41</v>
      </c>
      <c r="N1156" s="1" t="n">
        <v>3.2</v>
      </c>
    </row>
    <row r="1157" customFormat="false" ht="15" hidden="false" customHeight="true" outlineLevel="0" collapsed="false">
      <c r="D1157" s="11"/>
      <c r="H1157" s="1" t="s">
        <v>54</v>
      </c>
      <c r="I1157" s="1" t="s">
        <v>34</v>
      </c>
      <c r="J1157" s="1" t="n">
        <f aca="false">K1156</f>
        <v>177213</v>
      </c>
      <c r="K1157" s="1" t="n">
        <f aca="false">J1157+L1157</f>
        <v>177240</v>
      </c>
      <c r="L1157" s="1" t="n">
        <v>27</v>
      </c>
      <c r="M1157" s="1" t="n">
        <f aca="false">(E1157+M1156)-N1157</f>
        <v>18.21</v>
      </c>
      <c r="N1157" s="1" t="n">
        <v>3.2</v>
      </c>
    </row>
    <row r="1158" customFormat="false" ht="15" hidden="false" customHeight="true" outlineLevel="0" collapsed="false">
      <c r="D1158" s="11" t="n">
        <v>45132</v>
      </c>
      <c r="H1158" s="1" t="s">
        <v>34</v>
      </c>
      <c r="I1158" s="1" t="s">
        <v>39</v>
      </c>
      <c r="J1158" s="1" t="n">
        <f aca="false">K1157</f>
        <v>177240</v>
      </c>
      <c r="K1158" s="1" t="n">
        <f aca="false">J1158+L1158</f>
        <v>177290</v>
      </c>
      <c r="L1158" s="1" t="n">
        <v>50</v>
      </c>
      <c r="M1158" s="1" t="n">
        <f aca="false">(E1158+M1157)-N1158</f>
        <v>12.71</v>
      </c>
      <c r="N1158" s="1" t="n">
        <v>5.5</v>
      </c>
    </row>
    <row r="1159" customFormat="false" ht="15" hidden="false" customHeight="true" outlineLevel="0" collapsed="false">
      <c r="D1159" s="11"/>
      <c r="H1159" s="1" t="s">
        <v>39</v>
      </c>
      <c r="I1159" s="1" t="s">
        <v>34</v>
      </c>
      <c r="J1159" s="1" t="n">
        <f aca="false">K1158</f>
        <v>177290</v>
      </c>
      <c r="K1159" s="1" t="n">
        <f aca="false">J1159+L1159</f>
        <v>177340</v>
      </c>
      <c r="L1159" s="1" t="n">
        <v>50</v>
      </c>
      <c r="M1159" s="1" t="n">
        <f aca="false">(E1159+M1158)-N1159</f>
        <v>7.20999999999998</v>
      </c>
      <c r="N1159" s="1" t="n">
        <v>5.5</v>
      </c>
    </row>
    <row r="1160" customFormat="false" ht="15" hidden="false" customHeight="true" outlineLevel="0" collapsed="false">
      <c r="D1160" s="11" t="n">
        <v>45133</v>
      </c>
      <c r="E1160" s="0" t="n">
        <v>6.05</v>
      </c>
      <c r="F1160" s="1" t="n">
        <v>53.9</v>
      </c>
      <c r="G1160" s="6" t="n">
        <f aca="false">E1160*F1160</f>
        <v>326.095</v>
      </c>
      <c r="H1160" s="1" t="s">
        <v>34</v>
      </c>
      <c r="I1160" s="1" t="s">
        <v>24</v>
      </c>
      <c r="J1160" s="1" t="n">
        <f aca="false">K1159</f>
        <v>177340</v>
      </c>
      <c r="K1160" s="1" t="n">
        <f aca="false">J1160+L1160</f>
        <v>177354</v>
      </c>
      <c r="L1160" s="1" t="n">
        <v>14</v>
      </c>
      <c r="M1160" s="1" t="n">
        <f aca="false">(E1160+M1159)-N1160</f>
        <v>11.76</v>
      </c>
      <c r="N1160" s="1" t="n">
        <v>1.5</v>
      </c>
    </row>
    <row r="1161" customFormat="false" ht="15" hidden="false" customHeight="true" outlineLevel="0" collapsed="false">
      <c r="D1161" s="11"/>
      <c r="G1161" s="6"/>
      <c r="H1161" s="1" t="s">
        <v>24</v>
      </c>
      <c r="I1161" s="1" t="s">
        <v>34</v>
      </c>
      <c r="J1161" s="1" t="n">
        <f aca="false">K1160</f>
        <v>177354</v>
      </c>
      <c r="K1161" s="1" t="n">
        <f aca="false">J1161+L1161</f>
        <v>177368</v>
      </c>
      <c r="L1161" s="1" t="n">
        <v>14</v>
      </c>
      <c r="M1161" s="1" t="n">
        <f aca="false">(E1161+M1160)-N1161</f>
        <v>10.26</v>
      </c>
      <c r="N1161" s="1" t="n">
        <v>1.5</v>
      </c>
    </row>
    <row r="1162" customFormat="false" ht="15" hidden="false" customHeight="true" outlineLevel="0" collapsed="false">
      <c r="D1162" s="11" t="n">
        <v>45134</v>
      </c>
      <c r="H1162" s="1" t="s">
        <v>34</v>
      </c>
      <c r="I1162" s="1" t="s">
        <v>59</v>
      </c>
      <c r="J1162" s="1" t="n">
        <f aca="false">K1161</f>
        <v>177368</v>
      </c>
      <c r="K1162" s="1" t="n">
        <f aca="false">J1162+L1162</f>
        <v>177395</v>
      </c>
      <c r="L1162" s="1" t="n">
        <v>27</v>
      </c>
      <c r="M1162" s="1" t="n">
        <f aca="false">(E1162+M1161)-N1162</f>
        <v>7.05999999999998</v>
      </c>
      <c r="N1162" s="1" t="n">
        <v>3.2</v>
      </c>
    </row>
    <row r="1163" customFormat="false" ht="15" hidden="false" customHeight="true" outlineLevel="0" collapsed="false">
      <c r="D1163" s="11"/>
      <c r="H1163" s="1" t="s">
        <v>59</v>
      </c>
      <c r="I1163" s="1" t="s">
        <v>34</v>
      </c>
      <c r="J1163" s="1" t="n">
        <f aca="false">K1162</f>
        <v>177395</v>
      </c>
      <c r="K1163" s="1" t="n">
        <f aca="false">J1163+L1163</f>
        <v>177422</v>
      </c>
      <c r="L1163" s="1" t="n">
        <v>27</v>
      </c>
      <c r="M1163" s="1" t="n">
        <f aca="false">(E1163+M1162)-N1163</f>
        <v>3.85999999999998</v>
      </c>
      <c r="N1163" s="1" t="n">
        <v>3.2</v>
      </c>
    </row>
    <row r="1164" customFormat="false" ht="15" hidden="false" customHeight="true" outlineLevel="0" collapsed="false">
      <c r="D1164" s="11" t="n">
        <v>45135</v>
      </c>
      <c r="E1164" s="0" t="n">
        <v>36.66</v>
      </c>
      <c r="F1164" s="1" t="n">
        <v>54.2</v>
      </c>
      <c r="G1164" s="6" t="n">
        <f aca="false">E1164*F1164</f>
        <v>1986.972</v>
      </c>
      <c r="H1164" s="1" t="s">
        <v>34</v>
      </c>
      <c r="I1164" s="1" t="s">
        <v>35</v>
      </c>
      <c r="J1164" s="1" t="n">
        <f aca="false">K1163</f>
        <v>177422</v>
      </c>
      <c r="K1164" s="1" t="n">
        <f aca="false">J1164+L1164</f>
        <v>177434</v>
      </c>
      <c r="L1164" s="1" t="n">
        <v>12</v>
      </c>
      <c r="M1164" s="1" t="n">
        <f aca="false">(E1164+M1163)-N1164</f>
        <v>39.27</v>
      </c>
      <c r="N1164" s="1" t="n">
        <v>1.25</v>
      </c>
    </row>
    <row r="1165" customFormat="false" ht="15" hidden="false" customHeight="true" outlineLevel="0" collapsed="false">
      <c r="D1165" s="11"/>
      <c r="G1165" s="6"/>
      <c r="H1165" s="1" t="s">
        <v>35</v>
      </c>
      <c r="I1165" s="1" t="s">
        <v>34</v>
      </c>
      <c r="J1165" s="1" t="n">
        <f aca="false">K1164</f>
        <v>177434</v>
      </c>
      <c r="K1165" s="1" t="n">
        <f aca="false">J1165+L1165</f>
        <v>177446</v>
      </c>
      <c r="L1165" s="1" t="n">
        <v>12</v>
      </c>
      <c r="M1165" s="1" t="n">
        <f aca="false">(E1165+M1164)-N1165</f>
        <v>38.02</v>
      </c>
      <c r="N1165" s="1" t="n">
        <v>1.25</v>
      </c>
    </row>
    <row r="1166" customFormat="false" ht="15" hidden="false" customHeight="true" outlineLevel="0" collapsed="false">
      <c r="D1166" s="11" t="n">
        <v>45138</v>
      </c>
      <c r="H1166" s="1" t="s">
        <v>34</v>
      </c>
      <c r="I1166" s="1" t="s">
        <v>65</v>
      </c>
      <c r="J1166" s="1" t="n">
        <f aca="false">K1165</f>
        <v>177446</v>
      </c>
      <c r="K1166" s="1" t="n">
        <f aca="false">J1166+L1166</f>
        <v>177526</v>
      </c>
      <c r="L1166" s="1" t="n">
        <v>80</v>
      </c>
      <c r="M1166" s="1" t="n">
        <f aca="false">(E1166+M1165)-N1166</f>
        <v>29.02</v>
      </c>
      <c r="N1166" s="1" t="n">
        <v>9</v>
      </c>
    </row>
    <row r="1167" customFormat="false" ht="15" hidden="false" customHeight="true" outlineLevel="0" collapsed="false">
      <c r="H1167" s="1" t="s">
        <v>65</v>
      </c>
      <c r="I1167" s="1" t="s">
        <v>34</v>
      </c>
      <c r="J1167" s="1" t="n">
        <f aca="false">K1166</f>
        <v>177526</v>
      </c>
      <c r="K1167" s="1" t="n">
        <f aca="false">J1167+L1167</f>
        <v>177606</v>
      </c>
      <c r="L1167" s="1" t="n">
        <v>80</v>
      </c>
      <c r="M1167" s="1" t="n">
        <f aca="false">(E1167+M1166)-N1167</f>
        <v>20.02</v>
      </c>
      <c r="N1167" s="1" t="n">
        <v>9</v>
      </c>
    </row>
    <row r="1168" customFormat="false" ht="15" hidden="false" customHeight="true" outlineLevel="0" collapsed="false">
      <c r="H1168" s="1" t="s">
        <v>34</v>
      </c>
      <c r="I1168" s="1" t="s">
        <v>58</v>
      </c>
      <c r="J1168" s="1" t="n">
        <f aca="false">K1167</f>
        <v>177606</v>
      </c>
      <c r="K1168" s="1" t="n">
        <f aca="false">J1168+L1168</f>
        <v>177633</v>
      </c>
      <c r="L1168" s="1" t="n">
        <v>27</v>
      </c>
      <c r="M1168" s="1" t="n">
        <f aca="false">(E1168+M1167)-N1168</f>
        <v>16.82</v>
      </c>
      <c r="N1168" s="1" t="n">
        <v>3.2</v>
      </c>
    </row>
    <row r="1169" customFormat="false" ht="15" hidden="false" customHeight="true" outlineLevel="0" collapsed="false">
      <c r="H1169" s="1" t="s">
        <v>58</v>
      </c>
      <c r="I1169" s="1" t="s">
        <v>34</v>
      </c>
      <c r="J1169" s="1" t="n">
        <f aca="false">K1168</f>
        <v>177633</v>
      </c>
      <c r="K1169" s="1" t="n">
        <f aca="false">J1169+L1169</f>
        <v>177660</v>
      </c>
      <c r="L1169" s="1" t="n">
        <v>27</v>
      </c>
      <c r="M1169" s="1" t="n">
        <f aca="false">(E1169+M1168)-N1169</f>
        <v>13.62</v>
      </c>
      <c r="N1169" s="1" t="n">
        <v>3.2</v>
      </c>
    </row>
    <row r="1170" customFormat="false" ht="15" hidden="false" customHeight="true" outlineLevel="0" collapsed="false">
      <c r="H1170" s="1"/>
      <c r="I1170" s="1"/>
      <c r="M1170" s="1"/>
    </row>
    <row r="1171" customFormat="false" ht="15" hidden="false" customHeight="true" outlineLevel="0" collapsed="false">
      <c r="D1171" s="4" t="s">
        <v>67</v>
      </c>
      <c r="E1171" s="4"/>
      <c r="F1171" s="4"/>
      <c r="G1171" s="4"/>
    </row>
    <row r="1172" customFormat="false" ht="15" hidden="false" customHeight="true" outlineLevel="0" collapsed="false">
      <c r="D1172" s="11" t="n">
        <v>45139</v>
      </c>
      <c r="E1172" s="0" t="n">
        <v>46.31</v>
      </c>
      <c r="F1172" s="1" t="n">
        <v>54.5</v>
      </c>
      <c r="G1172" s="6" t="n">
        <f aca="false">E1172*F1172</f>
        <v>2523.895</v>
      </c>
      <c r="H1172" s="1" t="s">
        <v>34</v>
      </c>
      <c r="I1172" s="1" t="s">
        <v>65</v>
      </c>
      <c r="J1172" s="1" t="n">
        <v>1500</v>
      </c>
      <c r="K1172" s="1" t="n">
        <f aca="false">J1172+L1172</f>
        <v>1580</v>
      </c>
      <c r="L1172" s="1" t="n">
        <v>80</v>
      </c>
      <c r="M1172" s="1" t="n">
        <f aca="false">(E1172+M1169)-N1172</f>
        <v>50.93</v>
      </c>
      <c r="N1172" s="1" t="n">
        <v>9</v>
      </c>
      <c r="O1172" s="15" t="s">
        <v>68</v>
      </c>
    </row>
    <row r="1173" customFormat="false" ht="15" hidden="false" customHeight="true" outlineLevel="0" collapsed="false">
      <c r="D1173" s="11"/>
      <c r="G1173" s="6"/>
      <c r="H1173" s="1" t="s">
        <v>65</v>
      </c>
      <c r="I1173" s="1" t="s">
        <v>34</v>
      </c>
      <c r="J1173" s="1" t="n">
        <f aca="false">K1172</f>
        <v>1580</v>
      </c>
      <c r="K1173" s="1" t="n">
        <f aca="false">J1173+L1173</f>
        <v>1660</v>
      </c>
      <c r="L1173" s="1" t="n">
        <v>80</v>
      </c>
      <c r="M1173" s="1" t="n">
        <f aca="false">(E1173+M1172)-N1173</f>
        <v>41.93</v>
      </c>
      <c r="N1173" s="1" t="n">
        <v>9</v>
      </c>
    </row>
    <row r="1174" customFormat="false" ht="15" hidden="false" customHeight="true" outlineLevel="0" collapsed="false">
      <c r="D1174" s="11"/>
      <c r="G1174" s="6"/>
      <c r="H1174" s="1" t="s">
        <v>34</v>
      </c>
      <c r="I1174" s="1" t="s">
        <v>37</v>
      </c>
      <c r="J1174" s="1" t="n">
        <f aca="false">K1173</f>
        <v>1660</v>
      </c>
      <c r="K1174" s="1" t="n">
        <f aca="false">J1174+L1174</f>
        <v>1700</v>
      </c>
      <c r="L1174" s="1" t="n">
        <v>40</v>
      </c>
      <c r="M1174" s="1" t="n">
        <f aca="false">(E1174+M1173)-N1174</f>
        <v>37.13</v>
      </c>
      <c r="N1174" s="1" t="n">
        <v>4.8</v>
      </c>
    </row>
    <row r="1175" customFormat="false" ht="15" hidden="false" customHeight="true" outlineLevel="0" collapsed="false">
      <c r="D1175" s="11"/>
      <c r="G1175" s="6"/>
      <c r="H1175" s="1" t="s">
        <v>37</v>
      </c>
      <c r="I1175" s="1" t="s">
        <v>34</v>
      </c>
      <c r="J1175" s="1" t="n">
        <f aca="false">K1174</f>
        <v>1700</v>
      </c>
      <c r="K1175" s="1" t="n">
        <f aca="false">J1175+L1175</f>
        <v>1740</v>
      </c>
      <c r="L1175" s="1" t="n">
        <v>40</v>
      </c>
      <c r="M1175" s="1" t="n">
        <f aca="false">(E1175+M1174)-N1175</f>
        <v>32.33</v>
      </c>
      <c r="N1175" s="1" t="n">
        <v>4.8</v>
      </c>
    </row>
    <row r="1176" customFormat="false" ht="15" hidden="false" customHeight="true" outlineLevel="0" collapsed="false">
      <c r="D1176" s="11" t="n">
        <v>45140</v>
      </c>
      <c r="E1176" s="15" t="s">
        <v>50</v>
      </c>
    </row>
    <row r="1177" customFormat="false" ht="15" hidden="false" customHeight="true" outlineLevel="0" collapsed="false">
      <c r="D1177" s="11" t="n">
        <v>45141</v>
      </c>
      <c r="E1177" s="15" t="s">
        <v>50</v>
      </c>
    </row>
    <row r="1178" customFormat="false" ht="15" hidden="false" customHeight="true" outlineLevel="0" collapsed="false">
      <c r="D1178" s="11" t="n">
        <v>45142</v>
      </c>
      <c r="E1178" s="15" t="s">
        <v>50</v>
      </c>
    </row>
    <row r="1179" customFormat="false" ht="15" hidden="false" customHeight="true" outlineLevel="0" collapsed="false">
      <c r="D1179" s="11" t="n">
        <v>45145</v>
      </c>
      <c r="E1179" s="15" t="s">
        <v>50</v>
      </c>
    </row>
    <row r="1180" customFormat="false" ht="15" hidden="false" customHeight="true" outlineLevel="0" collapsed="false">
      <c r="D1180" s="11" t="n">
        <v>45146</v>
      </c>
      <c r="E1180" s="15" t="s">
        <v>50</v>
      </c>
    </row>
    <row r="1181" customFormat="false" ht="15" hidden="false" customHeight="true" outlineLevel="0" collapsed="false">
      <c r="D1181" s="11" t="n">
        <v>45147</v>
      </c>
      <c r="E1181" s="15" t="s">
        <v>50</v>
      </c>
    </row>
    <row r="1182" customFormat="false" ht="15" hidden="false" customHeight="true" outlineLevel="0" collapsed="false">
      <c r="D1182" s="11" t="n">
        <v>45148</v>
      </c>
      <c r="E1182" s="15" t="s">
        <v>50</v>
      </c>
    </row>
    <row r="1183" customFormat="false" ht="15" hidden="false" customHeight="true" outlineLevel="0" collapsed="false">
      <c r="D1183" s="11" t="n">
        <v>45149</v>
      </c>
      <c r="E1183" s="15" t="s">
        <v>50</v>
      </c>
    </row>
    <row r="1184" customFormat="false" ht="15" hidden="false" customHeight="true" outlineLevel="0" collapsed="false">
      <c r="D1184" s="11" t="n">
        <v>45152</v>
      </c>
      <c r="E1184" s="15" t="s">
        <v>50</v>
      </c>
    </row>
    <row r="1185" customFormat="false" ht="15" hidden="false" customHeight="true" outlineLevel="0" collapsed="false">
      <c r="D1185" s="11" t="n">
        <v>45153</v>
      </c>
      <c r="E1185" s="15" t="s">
        <v>50</v>
      </c>
    </row>
    <row r="1186" customFormat="false" ht="15" hidden="false" customHeight="true" outlineLevel="0" collapsed="false">
      <c r="D1186" s="11" t="n">
        <v>45154</v>
      </c>
      <c r="E1186" s="15" t="s">
        <v>50</v>
      </c>
    </row>
    <row r="1187" customFormat="false" ht="15" hidden="false" customHeight="true" outlineLevel="0" collapsed="false">
      <c r="D1187" s="11" t="n">
        <v>45155</v>
      </c>
      <c r="E1187" s="0" t="n">
        <v>46.02</v>
      </c>
      <c r="F1187" s="1" t="n">
        <v>54.8</v>
      </c>
      <c r="G1187" s="6" t="n">
        <f aca="false">E1187*F1187</f>
        <v>2521.896</v>
      </c>
      <c r="H1187" s="1" t="s">
        <v>34</v>
      </c>
      <c r="I1187" s="1" t="s">
        <v>65</v>
      </c>
      <c r="J1187" s="1" t="n">
        <f aca="false">K1175</f>
        <v>1740</v>
      </c>
      <c r="K1187" s="1" t="n">
        <f aca="false">J1187+L1187</f>
        <v>1820</v>
      </c>
      <c r="L1187" s="1" t="n">
        <v>80</v>
      </c>
      <c r="M1187" s="1" t="n">
        <f aca="false">(E1187+M1175)-N1187</f>
        <v>69.35</v>
      </c>
      <c r="N1187" s="1" t="n">
        <v>9</v>
      </c>
    </row>
    <row r="1188" customFormat="false" ht="15" hidden="false" customHeight="true" outlineLevel="0" collapsed="false">
      <c r="D1188" s="11"/>
      <c r="G1188" s="6"/>
      <c r="H1188" s="1" t="s">
        <v>65</v>
      </c>
      <c r="I1188" s="1" t="s">
        <v>34</v>
      </c>
      <c r="J1188" s="1" t="n">
        <f aca="false">K1187</f>
        <v>1820</v>
      </c>
      <c r="K1188" s="1" t="n">
        <f aca="false">J1188+L1188</f>
        <v>1900</v>
      </c>
      <c r="L1188" s="1" t="n">
        <v>80</v>
      </c>
      <c r="M1188" s="1" t="n">
        <f aca="false">(E1188+M1187)-N1188</f>
        <v>60.35</v>
      </c>
      <c r="N1188" s="1" t="n">
        <v>9</v>
      </c>
    </row>
    <row r="1189" customFormat="false" ht="15" hidden="false" customHeight="true" outlineLevel="0" collapsed="false">
      <c r="D1189" s="11"/>
      <c r="G1189" s="6"/>
      <c r="H1189" s="1" t="s">
        <v>34</v>
      </c>
      <c r="I1189" s="1" t="s">
        <v>54</v>
      </c>
      <c r="J1189" s="1" t="n">
        <f aca="false">K1188</f>
        <v>1900</v>
      </c>
      <c r="K1189" s="1" t="n">
        <f aca="false">J1189+L1189</f>
        <v>1927</v>
      </c>
      <c r="L1189" s="1" t="n">
        <v>27</v>
      </c>
      <c r="M1189" s="1" t="n">
        <f aca="false">(E1189+M1188)-N1189</f>
        <v>57.15</v>
      </c>
      <c r="N1189" s="1" t="n">
        <v>3.2</v>
      </c>
    </row>
    <row r="1190" customFormat="false" ht="15" hidden="false" customHeight="true" outlineLevel="0" collapsed="false">
      <c r="D1190" s="11"/>
      <c r="G1190" s="6"/>
      <c r="H1190" s="1" t="s">
        <v>54</v>
      </c>
      <c r="I1190" s="1" t="s">
        <v>34</v>
      </c>
      <c r="J1190" s="1" t="n">
        <f aca="false">K1189</f>
        <v>1927</v>
      </c>
      <c r="K1190" s="1" t="n">
        <f aca="false">J1190+L1190</f>
        <v>1954</v>
      </c>
      <c r="L1190" s="1" t="n">
        <v>27</v>
      </c>
      <c r="M1190" s="1" t="n">
        <f aca="false">(E1190+M1189)-N1190</f>
        <v>53.95</v>
      </c>
      <c r="N1190" s="1" t="n">
        <v>3.2</v>
      </c>
    </row>
    <row r="1191" customFormat="false" ht="15" hidden="false" customHeight="true" outlineLevel="0" collapsed="false">
      <c r="D1191" s="11" t="n">
        <v>45156</v>
      </c>
      <c r="H1191" s="1" t="s">
        <v>34</v>
      </c>
      <c r="I1191" s="1" t="s">
        <v>59</v>
      </c>
      <c r="J1191" s="1" t="n">
        <f aca="false">K1190</f>
        <v>1954</v>
      </c>
      <c r="K1191" s="1" t="n">
        <f aca="false">J1191+L1191</f>
        <v>1981</v>
      </c>
      <c r="L1191" s="1" t="n">
        <v>27</v>
      </c>
      <c r="M1191" s="1" t="n">
        <f aca="false">(E1191+M1190)-N1191</f>
        <v>50.75</v>
      </c>
      <c r="N1191" s="1" t="n">
        <v>3.2</v>
      </c>
    </row>
    <row r="1192" customFormat="false" ht="15" hidden="false" customHeight="true" outlineLevel="0" collapsed="false">
      <c r="D1192" s="11"/>
      <c r="H1192" s="1" t="s">
        <v>59</v>
      </c>
      <c r="I1192" s="1" t="s">
        <v>34</v>
      </c>
      <c r="J1192" s="1" t="n">
        <f aca="false">K1191</f>
        <v>1981</v>
      </c>
      <c r="K1192" s="1" t="n">
        <f aca="false">J1192+L1192</f>
        <v>2008</v>
      </c>
      <c r="L1192" s="1" t="n">
        <v>27</v>
      </c>
      <c r="M1192" s="1" t="n">
        <f aca="false">(E1192+M1191)-N1192</f>
        <v>47.55</v>
      </c>
      <c r="N1192" s="1" t="n">
        <v>3.2</v>
      </c>
    </row>
    <row r="1193" customFormat="false" ht="15" hidden="false" customHeight="true" outlineLevel="0" collapsed="false">
      <c r="D1193" s="11"/>
      <c r="H1193" s="1" t="s">
        <v>34</v>
      </c>
      <c r="I1193" s="1" t="s">
        <v>43</v>
      </c>
      <c r="J1193" s="1" t="n">
        <f aca="false">K1192</f>
        <v>2008</v>
      </c>
      <c r="K1193" s="1" t="n">
        <f aca="false">J1193+L1193</f>
        <v>2020</v>
      </c>
      <c r="L1193" s="1" t="n">
        <v>12</v>
      </c>
      <c r="M1193" s="1" t="n">
        <f aca="false">(E1193+M1192)-N1193</f>
        <v>46.3</v>
      </c>
      <c r="N1193" s="1" t="n">
        <v>1.25</v>
      </c>
    </row>
    <row r="1194" customFormat="false" ht="15" hidden="false" customHeight="true" outlineLevel="0" collapsed="false">
      <c r="D1194" s="11"/>
      <c r="H1194" s="1" t="s">
        <v>43</v>
      </c>
      <c r="I1194" s="1" t="s">
        <v>34</v>
      </c>
      <c r="J1194" s="1" t="n">
        <f aca="false">K1193</f>
        <v>2020</v>
      </c>
      <c r="K1194" s="1" t="n">
        <f aca="false">J1194+L1194</f>
        <v>2032</v>
      </c>
      <c r="L1194" s="1" t="n">
        <v>12</v>
      </c>
      <c r="M1194" s="1" t="n">
        <f aca="false">(E1194+M1193)-N1194</f>
        <v>45.05</v>
      </c>
      <c r="N1194" s="1" t="n">
        <v>1.25</v>
      </c>
    </row>
    <row r="1195" customFormat="false" ht="15" hidden="false" customHeight="true" outlineLevel="0" collapsed="false">
      <c r="D1195" s="11" t="n">
        <v>45159</v>
      </c>
      <c r="H1195" s="1" t="s">
        <v>34</v>
      </c>
      <c r="I1195" s="1" t="s">
        <v>65</v>
      </c>
      <c r="J1195" s="1" t="n">
        <f aca="false">K1194</f>
        <v>2032</v>
      </c>
      <c r="K1195" s="1" t="n">
        <f aca="false">J1195+L1195</f>
        <v>2112</v>
      </c>
      <c r="L1195" s="1" t="n">
        <v>80</v>
      </c>
      <c r="M1195" s="1" t="n">
        <f aca="false">(E1195+M1194)-N1195</f>
        <v>36.05</v>
      </c>
      <c r="N1195" s="1" t="n">
        <v>9</v>
      </c>
    </row>
    <row r="1196" customFormat="false" ht="15" hidden="false" customHeight="true" outlineLevel="0" collapsed="false">
      <c r="D1196" s="11"/>
      <c r="H1196" s="1" t="s">
        <v>65</v>
      </c>
      <c r="I1196" s="1" t="s">
        <v>34</v>
      </c>
      <c r="J1196" s="1" t="n">
        <f aca="false">K1195</f>
        <v>2112</v>
      </c>
      <c r="K1196" s="1" t="n">
        <f aca="false">J1196+L1196</f>
        <v>2192</v>
      </c>
      <c r="L1196" s="1" t="n">
        <v>80</v>
      </c>
      <c r="M1196" s="1" t="n">
        <f aca="false">(E1196+M1195)-N1196</f>
        <v>27.05</v>
      </c>
      <c r="N1196" s="1" t="n">
        <v>9</v>
      </c>
    </row>
    <row r="1197" customFormat="false" ht="15" hidden="false" customHeight="true" outlineLevel="0" collapsed="false">
      <c r="D1197" s="11"/>
      <c r="H1197" s="1" t="s">
        <v>34</v>
      </c>
      <c r="I1197" s="1" t="s">
        <v>54</v>
      </c>
      <c r="J1197" s="1" t="n">
        <f aca="false">K1196</f>
        <v>2192</v>
      </c>
      <c r="K1197" s="1" t="n">
        <f aca="false">J1197+L1197</f>
        <v>2219</v>
      </c>
      <c r="L1197" s="1" t="n">
        <v>27</v>
      </c>
      <c r="M1197" s="1" t="n">
        <f aca="false">(E1197+M1196)-N1197</f>
        <v>23.85</v>
      </c>
      <c r="N1197" s="1" t="n">
        <v>3.2</v>
      </c>
    </row>
    <row r="1198" customFormat="false" ht="15" hidden="false" customHeight="true" outlineLevel="0" collapsed="false">
      <c r="D1198" s="11"/>
      <c r="H1198" s="1" t="s">
        <v>54</v>
      </c>
      <c r="I1198" s="1" t="s">
        <v>34</v>
      </c>
      <c r="J1198" s="1" t="n">
        <f aca="false">K1197</f>
        <v>2219</v>
      </c>
      <c r="K1198" s="1" t="n">
        <f aca="false">J1198+L1198</f>
        <v>2246</v>
      </c>
      <c r="L1198" s="1" t="n">
        <v>27</v>
      </c>
      <c r="M1198" s="1" t="n">
        <f aca="false">(E1198+M1197)-N1198</f>
        <v>20.65</v>
      </c>
      <c r="N1198" s="1" t="n">
        <v>3.2</v>
      </c>
    </row>
    <row r="1199" customFormat="false" ht="15" hidden="false" customHeight="true" outlineLevel="0" collapsed="false">
      <c r="D1199" s="11" t="n">
        <v>45160</v>
      </c>
      <c r="E1199" s="0" t="n">
        <v>36.88</v>
      </c>
      <c r="F1199" s="1" t="n">
        <v>54.5</v>
      </c>
      <c r="G1199" s="6" t="n">
        <f aca="false">E1199*F1199</f>
        <v>2009.96</v>
      </c>
      <c r="H1199" s="1" t="s">
        <v>34</v>
      </c>
      <c r="I1199" s="1" t="s">
        <v>37</v>
      </c>
      <c r="J1199" s="1" t="n">
        <f aca="false">K1198</f>
        <v>2246</v>
      </c>
      <c r="K1199" s="1" t="n">
        <f aca="false">J1199+L1199</f>
        <v>2286</v>
      </c>
      <c r="L1199" s="1" t="n">
        <v>40</v>
      </c>
      <c r="M1199" s="1" t="n">
        <f aca="false">(E1199+M1198)-N1199</f>
        <v>52.73</v>
      </c>
      <c r="N1199" s="1" t="n">
        <v>4.8</v>
      </c>
    </row>
    <row r="1200" customFormat="false" ht="15" hidden="false" customHeight="true" outlineLevel="0" collapsed="false">
      <c r="D1200" s="11"/>
      <c r="G1200" s="6"/>
      <c r="H1200" s="1" t="s">
        <v>37</v>
      </c>
      <c r="I1200" s="1" t="s">
        <v>34</v>
      </c>
      <c r="J1200" s="1" t="n">
        <f aca="false">K1199</f>
        <v>2286</v>
      </c>
      <c r="K1200" s="1" t="n">
        <f aca="false">J1200+L1200</f>
        <v>2326</v>
      </c>
      <c r="L1200" s="1" t="n">
        <v>40</v>
      </c>
      <c r="M1200" s="1" t="n">
        <f aca="false">(E1200+M1199)-N1200</f>
        <v>47.93</v>
      </c>
      <c r="N1200" s="1" t="n">
        <v>4.8</v>
      </c>
    </row>
    <row r="1201" customFormat="false" ht="15" hidden="false" customHeight="true" outlineLevel="0" collapsed="false">
      <c r="D1201" s="11"/>
      <c r="G1201" s="6"/>
      <c r="H1201" s="1" t="s">
        <v>34</v>
      </c>
      <c r="I1201" s="1" t="s">
        <v>39</v>
      </c>
      <c r="J1201" s="1" t="n">
        <f aca="false">K1200</f>
        <v>2326</v>
      </c>
      <c r="K1201" s="1" t="n">
        <f aca="false">J1201+L1201</f>
        <v>2376</v>
      </c>
      <c r="L1201" s="1" t="n">
        <v>50</v>
      </c>
      <c r="M1201" s="1" t="n">
        <f aca="false">(E1201+M1200)-N1201</f>
        <v>42.43</v>
      </c>
      <c r="N1201" s="1" t="n">
        <v>5.5</v>
      </c>
    </row>
    <row r="1202" customFormat="false" ht="15" hidden="false" customHeight="true" outlineLevel="0" collapsed="false">
      <c r="D1202" s="11"/>
      <c r="G1202" s="6"/>
      <c r="H1202" s="1" t="s">
        <v>39</v>
      </c>
      <c r="I1202" s="1" t="s">
        <v>34</v>
      </c>
      <c r="J1202" s="1" t="n">
        <f aca="false">K1201</f>
        <v>2376</v>
      </c>
      <c r="K1202" s="1" t="n">
        <f aca="false">J1202+L1202</f>
        <v>2426</v>
      </c>
      <c r="L1202" s="1" t="n">
        <v>50</v>
      </c>
      <c r="M1202" s="1" t="n">
        <f aca="false">(E1202+M1201)-N1202</f>
        <v>36.93</v>
      </c>
      <c r="N1202" s="1" t="n">
        <v>5.5</v>
      </c>
    </row>
    <row r="1203" customFormat="false" ht="15" hidden="false" customHeight="true" outlineLevel="0" collapsed="false">
      <c r="D1203" s="11" t="n">
        <v>45161</v>
      </c>
      <c r="H1203" s="1" t="s">
        <v>34</v>
      </c>
      <c r="I1203" s="1" t="s">
        <v>54</v>
      </c>
      <c r="J1203" s="1" t="n">
        <f aca="false">K1202</f>
        <v>2426</v>
      </c>
      <c r="K1203" s="1" t="n">
        <f aca="false">J1203+L1203</f>
        <v>2453</v>
      </c>
      <c r="L1203" s="1" t="n">
        <v>27</v>
      </c>
      <c r="M1203" s="1" t="n">
        <f aca="false">(E1203+M1202)-N1203</f>
        <v>33.73</v>
      </c>
      <c r="N1203" s="1" t="n">
        <v>3.2</v>
      </c>
    </row>
    <row r="1204" customFormat="false" ht="15" hidden="false" customHeight="true" outlineLevel="0" collapsed="false">
      <c r="D1204" s="11"/>
      <c r="H1204" s="1" t="s">
        <v>54</v>
      </c>
      <c r="I1204" s="1" t="s">
        <v>34</v>
      </c>
      <c r="J1204" s="1" t="n">
        <f aca="false">K1203</f>
        <v>2453</v>
      </c>
      <c r="K1204" s="1" t="n">
        <f aca="false">J1204+L1204</f>
        <v>2480</v>
      </c>
      <c r="L1204" s="1" t="n">
        <v>27</v>
      </c>
      <c r="M1204" s="1" t="n">
        <f aca="false">(E1204+M1203)-N1204</f>
        <v>30.53</v>
      </c>
      <c r="N1204" s="1" t="n">
        <v>3.2</v>
      </c>
    </row>
    <row r="1205" customFormat="false" ht="15" hidden="false" customHeight="true" outlineLevel="0" collapsed="false">
      <c r="D1205" s="11" t="n">
        <v>45162</v>
      </c>
      <c r="H1205" s="1" t="s">
        <v>34</v>
      </c>
      <c r="I1205" s="1" t="s">
        <v>35</v>
      </c>
      <c r="J1205" s="1" t="n">
        <f aca="false">K1204</f>
        <v>2480</v>
      </c>
      <c r="K1205" s="1" t="n">
        <f aca="false">J1205+L1205</f>
        <v>2492</v>
      </c>
      <c r="L1205" s="1" t="n">
        <v>12</v>
      </c>
      <c r="M1205" s="1" t="n">
        <f aca="false">(E1205+M1204)-N1205</f>
        <v>29.28</v>
      </c>
      <c r="N1205" s="1" t="n">
        <v>1.25</v>
      </c>
    </row>
    <row r="1206" customFormat="false" ht="15" hidden="false" customHeight="true" outlineLevel="0" collapsed="false">
      <c r="D1206" s="11"/>
      <c r="H1206" s="1" t="s">
        <v>35</v>
      </c>
      <c r="I1206" s="1" t="s">
        <v>34</v>
      </c>
      <c r="J1206" s="1" t="n">
        <f aca="false">K1205</f>
        <v>2492</v>
      </c>
      <c r="K1206" s="1" t="n">
        <f aca="false">J1206+L1206</f>
        <v>2504</v>
      </c>
      <c r="L1206" s="1" t="n">
        <v>12</v>
      </c>
      <c r="M1206" s="1" t="n">
        <f aca="false">(E1206+M1205)-N1206</f>
        <v>28.03</v>
      </c>
      <c r="N1206" s="1" t="n">
        <v>1.25</v>
      </c>
    </row>
    <row r="1207" customFormat="false" ht="15" hidden="false" customHeight="true" outlineLevel="0" collapsed="false">
      <c r="D1207" s="11"/>
      <c r="H1207" s="1" t="s">
        <v>34</v>
      </c>
      <c r="I1207" s="1" t="s">
        <v>58</v>
      </c>
      <c r="J1207" s="1" t="n">
        <f aca="false">K1206</f>
        <v>2504</v>
      </c>
      <c r="K1207" s="1" t="n">
        <f aca="false">J1207+L1207</f>
        <v>2531</v>
      </c>
      <c r="L1207" s="1" t="n">
        <v>27</v>
      </c>
      <c r="M1207" s="1" t="n">
        <f aca="false">(E1207+M1206)-N1207</f>
        <v>24.83</v>
      </c>
      <c r="N1207" s="1" t="n">
        <v>3.2</v>
      </c>
    </row>
    <row r="1208" customFormat="false" ht="15" hidden="false" customHeight="true" outlineLevel="0" collapsed="false">
      <c r="D1208" s="11"/>
      <c r="H1208" s="1" t="s">
        <v>58</v>
      </c>
      <c r="I1208" s="1" t="s">
        <v>34</v>
      </c>
      <c r="J1208" s="1" t="n">
        <f aca="false">K1207</f>
        <v>2531</v>
      </c>
      <c r="K1208" s="1" t="n">
        <f aca="false">J1208+L1208</f>
        <v>2558</v>
      </c>
      <c r="L1208" s="1" t="n">
        <v>27</v>
      </c>
      <c r="M1208" s="1" t="n">
        <f aca="false">(E1208+M1207)-N1208</f>
        <v>21.63</v>
      </c>
      <c r="N1208" s="1" t="n">
        <v>3.2</v>
      </c>
    </row>
    <row r="1209" customFormat="false" ht="15" hidden="false" customHeight="true" outlineLevel="0" collapsed="false">
      <c r="D1209" s="11" t="n">
        <v>45163</v>
      </c>
      <c r="H1209" s="1" t="s">
        <v>34</v>
      </c>
      <c r="I1209" s="1" t="s">
        <v>65</v>
      </c>
      <c r="J1209" s="1" t="n">
        <f aca="false">K1208</f>
        <v>2558</v>
      </c>
      <c r="K1209" s="1" t="n">
        <f aca="false">J1209+L1209</f>
        <v>2638</v>
      </c>
      <c r="L1209" s="1" t="n">
        <v>80</v>
      </c>
      <c r="M1209" s="1" t="n">
        <f aca="false">(E1209+M1208)-N1209</f>
        <v>12.63</v>
      </c>
      <c r="N1209" s="1" t="n">
        <v>9</v>
      </c>
    </row>
    <row r="1210" customFormat="false" ht="15" hidden="false" customHeight="true" outlineLevel="0" collapsed="false">
      <c r="D1210" s="11"/>
      <c r="H1210" s="1" t="s">
        <v>65</v>
      </c>
      <c r="I1210" s="1" t="s">
        <v>34</v>
      </c>
      <c r="J1210" s="1" t="n">
        <f aca="false">K1209</f>
        <v>2638</v>
      </c>
      <c r="K1210" s="1" t="n">
        <f aca="false">J1210+L1210</f>
        <v>2718</v>
      </c>
      <c r="L1210" s="1" t="n">
        <v>80</v>
      </c>
      <c r="M1210" s="1" t="n">
        <f aca="false">(E1210+M1209)-N1210</f>
        <v>3.62999999999999</v>
      </c>
      <c r="N1210" s="1" t="n">
        <v>9</v>
      </c>
    </row>
    <row r="1211" customFormat="false" ht="15" hidden="false" customHeight="true" outlineLevel="0" collapsed="false">
      <c r="D1211" s="11" t="n">
        <v>45166</v>
      </c>
      <c r="E1211" s="0" t="n">
        <v>45.21</v>
      </c>
      <c r="F1211" s="1" t="n">
        <v>54.5</v>
      </c>
      <c r="G1211" s="6" t="n">
        <f aca="false">E1211*F1211</f>
        <v>2463.945</v>
      </c>
      <c r="H1211" s="1" t="s">
        <v>34</v>
      </c>
      <c r="I1211" s="1" t="s">
        <v>59</v>
      </c>
      <c r="J1211" s="1" t="n">
        <f aca="false">K1210</f>
        <v>2718</v>
      </c>
      <c r="K1211" s="1" t="n">
        <f aca="false">J1211+L1211</f>
        <v>2745</v>
      </c>
      <c r="L1211" s="1" t="n">
        <v>27</v>
      </c>
      <c r="M1211" s="1" t="n">
        <f aca="false">(E1211+M1210)-N1211</f>
        <v>45.64</v>
      </c>
      <c r="N1211" s="1" t="n">
        <v>3.2</v>
      </c>
    </row>
    <row r="1212" customFormat="false" ht="15" hidden="false" customHeight="true" outlineLevel="0" collapsed="false">
      <c r="D1212" s="11"/>
      <c r="G1212" s="6"/>
      <c r="H1212" s="1" t="s">
        <v>59</v>
      </c>
      <c r="I1212" s="1" t="s">
        <v>34</v>
      </c>
      <c r="J1212" s="1" t="n">
        <f aca="false">K1211</f>
        <v>2745</v>
      </c>
      <c r="K1212" s="1" t="n">
        <f aca="false">J1212+L1212</f>
        <v>2772</v>
      </c>
      <c r="L1212" s="1" t="n">
        <v>27</v>
      </c>
      <c r="M1212" s="1" t="n">
        <f aca="false">(E1212+M1211)-N1212</f>
        <v>42.44</v>
      </c>
      <c r="N1212" s="1" t="n">
        <v>3.2</v>
      </c>
    </row>
    <row r="1213" customFormat="false" ht="15" hidden="false" customHeight="true" outlineLevel="0" collapsed="false">
      <c r="D1213" s="11" t="n">
        <v>45167</v>
      </c>
      <c r="H1213" s="1" t="s">
        <v>34</v>
      </c>
      <c r="I1213" s="1" t="s">
        <v>43</v>
      </c>
      <c r="J1213" s="1" t="n">
        <f aca="false">K1212</f>
        <v>2772</v>
      </c>
      <c r="K1213" s="1" t="n">
        <f aca="false">J1213+L1213</f>
        <v>2784</v>
      </c>
      <c r="L1213" s="1" t="n">
        <v>12</v>
      </c>
      <c r="M1213" s="1" t="n">
        <f aca="false">(E1213+M1212)-N1213</f>
        <v>41.19</v>
      </c>
      <c r="N1213" s="1" t="n">
        <v>1.25</v>
      </c>
    </row>
    <row r="1214" customFormat="false" ht="15" hidden="false" customHeight="true" outlineLevel="0" collapsed="false">
      <c r="D1214" s="11"/>
      <c r="H1214" s="1" t="s">
        <v>43</v>
      </c>
      <c r="I1214" s="1" t="s">
        <v>34</v>
      </c>
      <c r="J1214" s="1" t="n">
        <f aca="false">K1213</f>
        <v>2784</v>
      </c>
      <c r="K1214" s="1" t="n">
        <f aca="false">J1214+L1214</f>
        <v>2796</v>
      </c>
      <c r="L1214" s="1" t="n">
        <v>12</v>
      </c>
      <c r="M1214" s="1" t="n">
        <f aca="false">(E1214+M1213)-N1214</f>
        <v>39.94</v>
      </c>
      <c r="N1214" s="1" t="n">
        <v>1.25</v>
      </c>
    </row>
    <row r="1215" customFormat="false" ht="15" hidden="false" customHeight="true" outlineLevel="0" collapsed="false">
      <c r="D1215" s="11" t="n">
        <v>45168</v>
      </c>
      <c r="H1215" s="1" t="s">
        <v>34</v>
      </c>
      <c r="I1215" s="1" t="s">
        <v>37</v>
      </c>
      <c r="J1215" s="1" t="n">
        <f aca="false">K1214</f>
        <v>2796</v>
      </c>
      <c r="K1215" s="1" t="n">
        <f aca="false">J1215+L1215</f>
        <v>2836</v>
      </c>
      <c r="L1215" s="1" t="n">
        <v>40</v>
      </c>
      <c r="M1215" s="1" t="n">
        <f aca="false">(E1215+M1214)-N1215</f>
        <v>35.14</v>
      </c>
      <c r="N1215" s="1" t="n">
        <v>4.8</v>
      </c>
    </row>
    <row r="1216" customFormat="false" ht="15" hidden="false" customHeight="true" outlineLevel="0" collapsed="false">
      <c r="D1216" s="11"/>
      <c r="H1216" s="1" t="s">
        <v>37</v>
      </c>
      <c r="I1216" s="1" t="s">
        <v>34</v>
      </c>
      <c r="J1216" s="1" t="n">
        <f aca="false">K1215</f>
        <v>2836</v>
      </c>
      <c r="K1216" s="1" t="n">
        <f aca="false">J1216+L1216</f>
        <v>2876</v>
      </c>
      <c r="L1216" s="1" t="n">
        <v>40</v>
      </c>
      <c r="M1216" s="1" t="n">
        <f aca="false">(E1216+M1215)-N1216</f>
        <v>30.34</v>
      </c>
      <c r="N1216" s="1" t="n">
        <v>4.8</v>
      </c>
    </row>
    <row r="1217" customFormat="false" ht="15" hidden="false" customHeight="true" outlineLevel="0" collapsed="false">
      <c r="D1217" s="11" t="n">
        <v>45169</v>
      </c>
      <c r="H1217" s="1" t="s">
        <v>34</v>
      </c>
      <c r="I1217" s="1" t="s">
        <v>54</v>
      </c>
      <c r="J1217" s="1" t="n">
        <f aca="false">K1216</f>
        <v>2876</v>
      </c>
      <c r="K1217" s="1" t="n">
        <f aca="false">J1217+L1217</f>
        <v>2903</v>
      </c>
      <c r="L1217" s="1" t="n">
        <v>27</v>
      </c>
      <c r="M1217" s="1" t="n">
        <f aca="false">(E1217+M1216)-N1217</f>
        <v>27.14</v>
      </c>
      <c r="N1217" s="1" t="n">
        <v>3.2</v>
      </c>
    </row>
    <row r="1218" customFormat="false" ht="15" hidden="false" customHeight="true" outlineLevel="0" collapsed="false">
      <c r="H1218" s="1" t="s">
        <v>54</v>
      </c>
      <c r="I1218" s="1" t="s">
        <v>34</v>
      </c>
      <c r="J1218" s="1" t="n">
        <f aca="false">K1217</f>
        <v>2903</v>
      </c>
      <c r="K1218" s="1" t="n">
        <f aca="false">J1218+L1218</f>
        <v>2930</v>
      </c>
      <c r="L1218" s="1" t="n">
        <v>27</v>
      </c>
      <c r="M1218" s="1" t="n">
        <f aca="false">(E1218+M1217)-N1218</f>
        <v>23.94</v>
      </c>
      <c r="N1218" s="1" t="n">
        <v>3.2</v>
      </c>
    </row>
    <row r="1219" customFormat="false" ht="15" hidden="false" customHeight="true" outlineLevel="0" collapsed="false">
      <c r="D1219" s="4" t="s">
        <v>69</v>
      </c>
      <c r="E1219" s="4"/>
      <c r="F1219" s="4"/>
      <c r="G1219" s="4"/>
    </row>
    <row r="1220" customFormat="false" ht="15" hidden="false" customHeight="true" outlineLevel="0" collapsed="false">
      <c r="D1220" s="11" t="n">
        <v>45170</v>
      </c>
      <c r="H1220" s="1" t="s">
        <v>34</v>
      </c>
      <c r="I1220" s="1" t="s">
        <v>35</v>
      </c>
      <c r="J1220" s="1" t="n">
        <f aca="false">K1218</f>
        <v>2930</v>
      </c>
      <c r="K1220" s="1" t="n">
        <f aca="false">J1220+L1220</f>
        <v>2942</v>
      </c>
      <c r="L1220" s="1" t="n">
        <v>12</v>
      </c>
      <c r="M1220" s="1" t="n">
        <f aca="false">(E1220+M1218)-N1220</f>
        <v>22.69</v>
      </c>
      <c r="N1220" s="1" t="n">
        <v>1.25</v>
      </c>
    </row>
    <row r="1221" customFormat="false" ht="15" hidden="false" customHeight="true" outlineLevel="0" collapsed="false">
      <c r="D1221" s="11"/>
      <c r="H1221" s="1" t="s">
        <v>35</v>
      </c>
      <c r="I1221" s="1" t="s">
        <v>34</v>
      </c>
      <c r="J1221" s="1" t="n">
        <f aca="false">K1220</f>
        <v>2942</v>
      </c>
      <c r="K1221" s="1" t="n">
        <f aca="false">J1221+L1221</f>
        <v>2954</v>
      </c>
      <c r="L1221" s="1" t="n">
        <v>12</v>
      </c>
      <c r="M1221" s="1" t="n">
        <f aca="false">(E1221+M1220)-N1221</f>
        <v>21.44</v>
      </c>
      <c r="N1221" s="1" t="n">
        <v>1.25</v>
      </c>
    </row>
    <row r="1222" customFormat="false" ht="15" hidden="false" customHeight="true" outlineLevel="0" collapsed="false">
      <c r="D1222" s="11" t="n">
        <v>45173</v>
      </c>
      <c r="H1222" s="1" t="s">
        <v>34</v>
      </c>
      <c r="I1222" s="1" t="s">
        <v>65</v>
      </c>
      <c r="J1222" s="1" t="n">
        <f aca="false">K1221</f>
        <v>2954</v>
      </c>
      <c r="K1222" s="1" t="n">
        <f aca="false">J1222+L1222</f>
        <v>3034</v>
      </c>
      <c r="L1222" s="1" t="n">
        <v>80</v>
      </c>
      <c r="M1222" s="1" t="n">
        <f aca="false">(E1222+M1221)-N1222</f>
        <v>12.44</v>
      </c>
      <c r="N1222" s="1" t="n">
        <v>9</v>
      </c>
    </row>
    <row r="1223" customFormat="false" ht="15" hidden="false" customHeight="true" outlineLevel="0" collapsed="false">
      <c r="D1223" s="11"/>
      <c r="H1223" s="1" t="s">
        <v>65</v>
      </c>
      <c r="I1223" s="1" t="s">
        <v>34</v>
      </c>
      <c r="J1223" s="1" t="n">
        <f aca="false">K1222</f>
        <v>3034</v>
      </c>
      <c r="K1223" s="1" t="n">
        <f aca="false">J1223+L1223</f>
        <v>3114</v>
      </c>
      <c r="L1223" s="1" t="n">
        <v>80</v>
      </c>
      <c r="M1223" s="1" t="n">
        <f aca="false">(E1223+M1222)-N1223</f>
        <v>3.43999999999999</v>
      </c>
      <c r="N1223" s="1" t="n">
        <v>9</v>
      </c>
    </row>
    <row r="1224" customFormat="false" ht="15" hidden="false" customHeight="true" outlineLevel="0" collapsed="false">
      <c r="D1224" s="11" t="n">
        <v>45174</v>
      </c>
      <c r="E1224" s="0" t="n">
        <v>42.13</v>
      </c>
      <c r="F1224" s="1" t="n">
        <v>54.8</v>
      </c>
      <c r="G1224" s="6" t="n">
        <f aca="false">E1224*F1224</f>
        <v>2308.724</v>
      </c>
      <c r="H1224" s="1" t="s">
        <v>34</v>
      </c>
      <c r="I1224" s="1" t="s">
        <v>54</v>
      </c>
      <c r="J1224" s="1" t="n">
        <f aca="false">K1223</f>
        <v>3114</v>
      </c>
      <c r="K1224" s="1" t="n">
        <f aca="false">J1224+L1224</f>
        <v>3141</v>
      </c>
      <c r="L1224" s="1" t="n">
        <v>27</v>
      </c>
      <c r="M1224" s="1" t="n">
        <f aca="false">(E1224+M1223)-N1224</f>
        <v>42.37</v>
      </c>
      <c r="N1224" s="1" t="n">
        <v>3.2</v>
      </c>
    </row>
    <row r="1225" customFormat="false" ht="15" hidden="false" customHeight="true" outlineLevel="0" collapsed="false">
      <c r="D1225" s="11"/>
      <c r="G1225" s="6"/>
      <c r="H1225" s="1" t="s">
        <v>54</v>
      </c>
      <c r="I1225" s="1" t="s">
        <v>34</v>
      </c>
      <c r="J1225" s="1" t="n">
        <f aca="false">K1224</f>
        <v>3141</v>
      </c>
      <c r="K1225" s="1" t="n">
        <f aca="false">J1225+L1225</f>
        <v>3168</v>
      </c>
      <c r="L1225" s="1" t="n">
        <v>27</v>
      </c>
      <c r="M1225" s="1" t="n">
        <f aca="false">(E1225+M1224)-N1225</f>
        <v>39.17</v>
      </c>
      <c r="N1225" s="1" t="n">
        <v>3.2</v>
      </c>
    </row>
    <row r="1226" customFormat="false" ht="15" hidden="false" customHeight="true" outlineLevel="0" collapsed="false">
      <c r="D1226" s="11" t="n">
        <v>45175</v>
      </c>
      <c r="H1226" s="1" t="s">
        <v>34</v>
      </c>
      <c r="I1226" s="1" t="s">
        <v>58</v>
      </c>
      <c r="J1226" s="1" t="n">
        <f aca="false">K1225</f>
        <v>3168</v>
      </c>
      <c r="K1226" s="1" t="n">
        <f aca="false">J1226+L1226</f>
        <v>3195</v>
      </c>
      <c r="L1226" s="1" t="n">
        <v>27</v>
      </c>
      <c r="M1226" s="1" t="n">
        <f aca="false">(E1226+M1225)-N1226</f>
        <v>35.97</v>
      </c>
      <c r="N1226" s="1" t="n">
        <v>3.2</v>
      </c>
    </row>
    <row r="1227" customFormat="false" ht="15" hidden="false" customHeight="true" outlineLevel="0" collapsed="false">
      <c r="D1227" s="11"/>
      <c r="H1227" s="1" t="s">
        <v>58</v>
      </c>
      <c r="I1227" s="1" t="s">
        <v>34</v>
      </c>
      <c r="J1227" s="1" t="n">
        <f aca="false">K1226</f>
        <v>3195</v>
      </c>
      <c r="K1227" s="1" t="n">
        <f aca="false">J1227+L1227</f>
        <v>3222</v>
      </c>
      <c r="L1227" s="1" t="n">
        <v>27</v>
      </c>
      <c r="M1227" s="1" t="n">
        <f aca="false">(E1227+M1226)-N1227</f>
        <v>32.77</v>
      </c>
      <c r="N1227" s="1" t="n">
        <v>3.2</v>
      </c>
    </row>
    <row r="1228" customFormat="false" ht="15" hidden="false" customHeight="true" outlineLevel="0" collapsed="false">
      <c r="D1228" s="11" t="n">
        <v>45176</v>
      </c>
      <c r="H1228" s="1" t="s">
        <v>34</v>
      </c>
      <c r="I1228" s="1" t="s">
        <v>37</v>
      </c>
      <c r="J1228" s="1" t="n">
        <f aca="false">K1227</f>
        <v>3222</v>
      </c>
      <c r="K1228" s="1" t="n">
        <f aca="false">J1228+L1228</f>
        <v>3262</v>
      </c>
      <c r="L1228" s="1" t="n">
        <v>40</v>
      </c>
      <c r="M1228" s="1" t="n">
        <f aca="false">(E1228+M1227)-N1228</f>
        <v>27.97</v>
      </c>
      <c r="N1228" s="1" t="n">
        <v>4.8</v>
      </c>
    </row>
    <row r="1229" customFormat="false" ht="15" hidden="false" customHeight="true" outlineLevel="0" collapsed="false">
      <c r="D1229" s="11"/>
      <c r="H1229" s="1" t="s">
        <v>37</v>
      </c>
      <c r="I1229" s="1" t="s">
        <v>34</v>
      </c>
      <c r="J1229" s="1" t="n">
        <f aca="false">K1228</f>
        <v>3262</v>
      </c>
      <c r="K1229" s="1" t="n">
        <f aca="false">J1229+L1229</f>
        <v>3302</v>
      </c>
      <c r="L1229" s="1" t="n">
        <v>40</v>
      </c>
      <c r="M1229" s="1" t="n">
        <f aca="false">(E1229+M1228)-N1229</f>
        <v>23.17</v>
      </c>
      <c r="N1229" s="1" t="n">
        <v>4.8</v>
      </c>
    </row>
    <row r="1230" customFormat="false" ht="15" hidden="false" customHeight="true" outlineLevel="0" collapsed="false">
      <c r="D1230" s="11" t="n">
        <v>45177</v>
      </c>
      <c r="H1230" s="1" t="s">
        <v>34</v>
      </c>
      <c r="I1230" s="1" t="s">
        <v>59</v>
      </c>
      <c r="J1230" s="1" t="n">
        <f aca="false">K1229</f>
        <v>3302</v>
      </c>
      <c r="K1230" s="1" t="n">
        <f aca="false">J1230+L1230</f>
        <v>3329</v>
      </c>
      <c r="L1230" s="1" t="n">
        <v>27</v>
      </c>
      <c r="M1230" s="1" t="n">
        <f aca="false">(E1230+M1229)-N1230</f>
        <v>19.97</v>
      </c>
      <c r="N1230" s="1" t="n">
        <v>3.2</v>
      </c>
    </row>
    <row r="1231" customFormat="false" ht="15" hidden="false" customHeight="true" outlineLevel="0" collapsed="false">
      <c r="D1231" s="11"/>
      <c r="H1231" s="1" t="s">
        <v>59</v>
      </c>
      <c r="I1231" s="1" t="s">
        <v>34</v>
      </c>
      <c r="J1231" s="1" t="n">
        <f aca="false">K1230</f>
        <v>3329</v>
      </c>
      <c r="K1231" s="1" t="n">
        <f aca="false">J1231+L1231</f>
        <v>3356</v>
      </c>
      <c r="L1231" s="1" t="n">
        <v>27</v>
      </c>
      <c r="M1231" s="1" t="n">
        <f aca="false">(E1231+M1230)-N1231</f>
        <v>16.77</v>
      </c>
      <c r="N1231" s="1" t="n">
        <v>3.2</v>
      </c>
    </row>
    <row r="1232" customFormat="false" ht="15" hidden="false" customHeight="true" outlineLevel="0" collapsed="false">
      <c r="D1232" s="11" t="n">
        <v>45180</v>
      </c>
      <c r="E1232" s="0" t="n">
        <v>48.02</v>
      </c>
      <c r="F1232" s="1" t="n">
        <v>54.8</v>
      </c>
      <c r="G1232" s="6" t="n">
        <f aca="false">E1232*F1232</f>
        <v>2631.496</v>
      </c>
      <c r="H1232" s="1" t="s">
        <v>34</v>
      </c>
      <c r="I1232" s="1" t="s">
        <v>65</v>
      </c>
      <c r="J1232" s="1" t="n">
        <f aca="false">K1231</f>
        <v>3356</v>
      </c>
      <c r="K1232" s="1" t="n">
        <f aca="false">J1232+L1232</f>
        <v>3436</v>
      </c>
      <c r="L1232" s="1" t="n">
        <v>80</v>
      </c>
      <c r="M1232" s="1" t="n">
        <f aca="false">(E1232+M1231)-N1232</f>
        <v>55.79</v>
      </c>
      <c r="N1232" s="1" t="n">
        <v>9</v>
      </c>
    </row>
    <row r="1233" customFormat="false" ht="15" hidden="false" customHeight="true" outlineLevel="0" collapsed="false">
      <c r="D1233" s="11"/>
      <c r="G1233" s="6"/>
      <c r="H1233" s="1" t="s">
        <v>65</v>
      </c>
      <c r="I1233" s="1" t="s">
        <v>34</v>
      </c>
      <c r="J1233" s="1" t="n">
        <f aca="false">K1232</f>
        <v>3436</v>
      </c>
      <c r="K1233" s="1" t="n">
        <f aca="false">J1233+L1233</f>
        <v>3516</v>
      </c>
      <c r="L1233" s="1" t="n">
        <v>80</v>
      </c>
      <c r="M1233" s="1" t="n">
        <f aca="false">(E1233+M1232)-N1233</f>
        <v>46.79</v>
      </c>
      <c r="N1233" s="1" t="n">
        <v>9</v>
      </c>
    </row>
    <row r="1234" customFormat="false" ht="15" hidden="false" customHeight="true" outlineLevel="0" collapsed="false">
      <c r="D1234" s="11" t="n">
        <v>45181</v>
      </c>
      <c r="H1234" s="1" t="s">
        <v>34</v>
      </c>
      <c r="I1234" s="1" t="s">
        <v>54</v>
      </c>
      <c r="J1234" s="1" t="n">
        <f aca="false">K1233</f>
        <v>3516</v>
      </c>
      <c r="K1234" s="1" t="n">
        <f aca="false">J1234+L1234</f>
        <v>3543</v>
      </c>
      <c r="L1234" s="1" t="n">
        <v>27</v>
      </c>
      <c r="M1234" s="1" t="n">
        <f aca="false">(E1234+M1233)-N1234</f>
        <v>43.59</v>
      </c>
      <c r="N1234" s="1" t="n">
        <v>3.2</v>
      </c>
    </row>
    <row r="1235" customFormat="false" ht="15" hidden="false" customHeight="true" outlineLevel="0" collapsed="false">
      <c r="D1235" s="11"/>
      <c r="H1235" s="1" t="s">
        <v>54</v>
      </c>
      <c r="I1235" s="1" t="s">
        <v>34</v>
      </c>
      <c r="J1235" s="1" t="n">
        <f aca="false">K1234</f>
        <v>3543</v>
      </c>
      <c r="K1235" s="1" t="n">
        <f aca="false">J1235+L1235</f>
        <v>3570</v>
      </c>
      <c r="L1235" s="1" t="n">
        <v>27</v>
      </c>
      <c r="M1235" s="1" t="n">
        <f aca="false">(E1235+M1234)-N1235</f>
        <v>40.39</v>
      </c>
      <c r="N1235" s="1" t="n">
        <v>3.2</v>
      </c>
    </row>
    <row r="1236" customFormat="false" ht="15" hidden="false" customHeight="true" outlineLevel="0" collapsed="false">
      <c r="D1236" s="11" t="n">
        <v>45182</v>
      </c>
      <c r="H1236" s="1" t="s">
        <v>34</v>
      </c>
      <c r="I1236" s="1" t="s">
        <v>43</v>
      </c>
      <c r="J1236" s="1" t="n">
        <f aca="false">K1235</f>
        <v>3570</v>
      </c>
      <c r="K1236" s="1" t="n">
        <f aca="false">J1236+L1236</f>
        <v>3582</v>
      </c>
      <c r="L1236" s="1" t="n">
        <v>12</v>
      </c>
      <c r="M1236" s="1" t="n">
        <f aca="false">(E1236+M1235)-N1236</f>
        <v>39.14</v>
      </c>
      <c r="N1236" s="1" t="n">
        <v>1.25</v>
      </c>
    </row>
    <row r="1237" customFormat="false" ht="15" hidden="false" customHeight="true" outlineLevel="0" collapsed="false">
      <c r="D1237" s="11"/>
      <c r="H1237" s="1" t="s">
        <v>43</v>
      </c>
      <c r="I1237" s="1" t="s">
        <v>34</v>
      </c>
      <c r="J1237" s="1" t="n">
        <f aca="false">K1236</f>
        <v>3582</v>
      </c>
      <c r="K1237" s="1" t="n">
        <f aca="false">J1237+L1237</f>
        <v>3594</v>
      </c>
      <c r="L1237" s="1" t="n">
        <v>12</v>
      </c>
      <c r="M1237" s="1" t="n">
        <f aca="false">(E1237+M1236)-N1237</f>
        <v>37.89</v>
      </c>
      <c r="N1237" s="1" t="n">
        <v>1.25</v>
      </c>
    </row>
    <row r="1238" customFormat="false" ht="15" hidden="false" customHeight="true" outlineLevel="0" collapsed="false">
      <c r="D1238" s="11" t="n">
        <v>45183</v>
      </c>
      <c r="H1238" s="1" t="s">
        <v>34</v>
      </c>
      <c r="I1238" s="1" t="s">
        <v>39</v>
      </c>
      <c r="J1238" s="1" t="n">
        <f aca="false">K1237</f>
        <v>3594</v>
      </c>
      <c r="K1238" s="1" t="n">
        <f aca="false">J1238+L1238</f>
        <v>3644</v>
      </c>
      <c r="L1238" s="1" t="n">
        <v>50</v>
      </c>
      <c r="M1238" s="1" t="n">
        <f aca="false">(E1238+M1237)-N1238</f>
        <v>32.39</v>
      </c>
      <c r="N1238" s="1" t="n">
        <v>5.5</v>
      </c>
    </row>
    <row r="1239" customFormat="false" ht="15" hidden="false" customHeight="true" outlineLevel="0" collapsed="false">
      <c r="D1239" s="11"/>
      <c r="H1239" s="1" t="s">
        <v>39</v>
      </c>
      <c r="I1239" s="1" t="s">
        <v>34</v>
      </c>
      <c r="J1239" s="1" t="n">
        <f aca="false">K1238</f>
        <v>3644</v>
      </c>
      <c r="K1239" s="1" t="n">
        <f aca="false">J1239+L1239</f>
        <v>3694</v>
      </c>
      <c r="L1239" s="1" t="n">
        <v>50</v>
      </c>
      <c r="M1239" s="1" t="n">
        <f aca="false">(E1239+M1238)-N1239</f>
        <v>26.89</v>
      </c>
      <c r="N1239" s="1" t="n">
        <v>5.5</v>
      </c>
    </row>
    <row r="1240" customFormat="false" ht="15" hidden="false" customHeight="true" outlineLevel="0" collapsed="false">
      <c r="D1240" s="11" t="n">
        <v>45184</v>
      </c>
      <c r="H1240" s="1" t="s">
        <v>34</v>
      </c>
      <c r="I1240" s="1" t="s">
        <v>49</v>
      </c>
      <c r="J1240" s="1" t="n">
        <f aca="false">K1239</f>
        <v>3694</v>
      </c>
      <c r="K1240" s="1" t="n">
        <f aca="false">J1240+L1240</f>
        <v>3721</v>
      </c>
      <c r="L1240" s="1" t="n">
        <v>27</v>
      </c>
      <c r="M1240" s="1" t="n">
        <f aca="false">(E1240+M1239)-N1240</f>
        <v>23.69</v>
      </c>
      <c r="N1240" s="1" t="n">
        <v>3.2</v>
      </c>
    </row>
    <row r="1241" customFormat="false" ht="15" hidden="false" customHeight="true" outlineLevel="0" collapsed="false">
      <c r="D1241" s="11"/>
      <c r="H1241" s="1" t="s">
        <v>49</v>
      </c>
      <c r="I1241" s="1" t="s">
        <v>34</v>
      </c>
      <c r="J1241" s="1" t="n">
        <f aca="false">K1240</f>
        <v>3721</v>
      </c>
      <c r="K1241" s="1" t="n">
        <f aca="false">J1241+L1241</f>
        <v>3748</v>
      </c>
      <c r="L1241" s="1" t="n">
        <v>27</v>
      </c>
      <c r="M1241" s="1" t="n">
        <f aca="false">(E1241+M1240)-N1241</f>
        <v>20.49</v>
      </c>
      <c r="N1241" s="1" t="n">
        <v>3.2</v>
      </c>
    </row>
    <row r="1242" customFormat="false" ht="15" hidden="false" customHeight="true" outlineLevel="0" collapsed="false">
      <c r="D1242" s="11"/>
      <c r="H1242" s="1" t="s">
        <v>34</v>
      </c>
      <c r="I1242" s="1" t="s">
        <v>54</v>
      </c>
      <c r="J1242" s="1" t="n">
        <f aca="false">K1241</f>
        <v>3748</v>
      </c>
      <c r="K1242" s="1" t="n">
        <f aca="false">J1242+L1242</f>
        <v>3775</v>
      </c>
      <c r="L1242" s="1" t="n">
        <v>27</v>
      </c>
      <c r="M1242" s="1" t="n">
        <f aca="false">(E1242+M1241)-N1242</f>
        <v>17.29</v>
      </c>
      <c r="N1242" s="1" t="n">
        <v>3.2</v>
      </c>
    </row>
    <row r="1243" customFormat="false" ht="15" hidden="false" customHeight="true" outlineLevel="0" collapsed="false">
      <c r="D1243" s="11"/>
      <c r="H1243" s="1" t="s">
        <v>54</v>
      </c>
      <c r="I1243" s="1" t="s">
        <v>34</v>
      </c>
      <c r="J1243" s="1" t="n">
        <f aca="false">K1242</f>
        <v>3775</v>
      </c>
      <c r="K1243" s="1" t="n">
        <f aca="false">J1243+L1243</f>
        <v>3802</v>
      </c>
      <c r="L1243" s="1" t="n">
        <v>27</v>
      </c>
      <c r="M1243" s="1" t="n">
        <f aca="false">(E1243+M1242)-N1243</f>
        <v>14.09</v>
      </c>
      <c r="N1243" s="1" t="n">
        <v>3.2</v>
      </c>
    </row>
    <row r="1244" customFormat="false" ht="15" hidden="false" customHeight="true" outlineLevel="0" collapsed="false">
      <c r="D1244" s="11" t="n">
        <v>45187</v>
      </c>
      <c r="E1244" s="0" t="n">
        <v>48.82</v>
      </c>
      <c r="F1244" s="1" t="n">
        <v>54.8</v>
      </c>
      <c r="G1244" s="6" t="n">
        <f aca="false">E1244*F1244</f>
        <v>2675.336</v>
      </c>
      <c r="H1244" s="1" t="s">
        <v>34</v>
      </c>
      <c r="I1244" s="1" t="s">
        <v>32</v>
      </c>
      <c r="J1244" s="1" t="n">
        <f aca="false">K1243</f>
        <v>3802</v>
      </c>
      <c r="K1244" s="1" t="n">
        <f aca="false">J1244+L1244</f>
        <v>3827</v>
      </c>
      <c r="L1244" s="1" t="n">
        <v>25</v>
      </c>
      <c r="M1244" s="1" t="n">
        <f aca="false">(E1244+M1243)-N1244</f>
        <v>59.91</v>
      </c>
      <c r="N1244" s="1" t="n">
        <v>3</v>
      </c>
    </row>
    <row r="1245" customFormat="false" ht="15" hidden="false" customHeight="true" outlineLevel="0" collapsed="false">
      <c r="D1245" s="11"/>
      <c r="G1245" s="6"/>
      <c r="H1245" s="1" t="s">
        <v>32</v>
      </c>
      <c r="I1245" s="1" t="s">
        <v>34</v>
      </c>
      <c r="J1245" s="1" t="n">
        <f aca="false">K1244</f>
        <v>3827</v>
      </c>
      <c r="K1245" s="1" t="n">
        <f aca="false">J1245+L1245</f>
        <v>3852</v>
      </c>
      <c r="L1245" s="1" t="n">
        <v>25</v>
      </c>
      <c r="M1245" s="1" t="n">
        <f aca="false">(E1245+M1244)-N1245</f>
        <v>56.91</v>
      </c>
      <c r="N1245" s="1" t="n">
        <v>3</v>
      </c>
    </row>
    <row r="1246" customFormat="false" ht="15" hidden="false" customHeight="true" outlineLevel="0" collapsed="false">
      <c r="D1246" s="11" t="n">
        <v>45188</v>
      </c>
      <c r="H1246" s="1" t="s">
        <v>34</v>
      </c>
      <c r="I1246" s="1" t="s">
        <v>37</v>
      </c>
      <c r="J1246" s="1" t="n">
        <f aca="false">K1245</f>
        <v>3852</v>
      </c>
      <c r="K1246" s="1" t="n">
        <f aca="false">J1246+L1246</f>
        <v>3892</v>
      </c>
      <c r="L1246" s="1" t="n">
        <v>40</v>
      </c>
      <c r="M1246" s="1" t="n">
        <f aca="false">(E1246+M1245)-N1246</f>
        <v>52.11</v>
      </c>
      <c r="N1246" s="1" t="n">
        <v>4.8</v>
      </c>
    </row>
    <row r="1247" customFormat="false" ht="15" hidden="false" customHeight="true" outlineLevel="0" collapsed="false">
      <c r="D1247" s="11"/>
      <c r="H1247" s="1" t="s">
        <v>37</v>
      </c>
      <c r="I1247" s="1" t="s">
        <v>34</v>
      </c>
      <c r="J1247" s="1" t="n">
        <f aca="false">K1246</f>
        <v>3892</v>
      </c>
      <c r="K1247" s="1" t="n">
        <f aca="false">J1247+L1247</f>
        <v>3932</v>
      </c>
      <c r="L1247" s="1" t="n">
        <v>40</v>
      </c>
      <c r="M1247" s="1" t="n">
        <f aca="false">(E1247+M1246)-N1247</f>
        <v>47.31</v>
      </c>
      <c r="N1247" s="1" t="n">
        <v>4.8</v>
      </c>
    </row>
    <row r="1248" customFormat="false" ht="15" hidden="false" customHeight="true" outlineLevel="0" collapsed="false">
      <c r="D1248" s="11" t="n">
        <v>45189</v>
      </c>
      <c r="H1248" s="1" t="s">
        <v>34</v>
      </c>
      <c r="I1248" s="1" t="s">
        <v>39</v>
      </c>
      <c r="J1248" s="1" t="n">
        <f aca="false">K1247</f>
        <v>3932</v>
      </c>
      <c r="K1248" s="1" t="n">
        <f aca="false">J1248+L1248</f>
        <v>3982</v>
      </c>
      <c r="L1248" s="1" t="n">
        <v>50</v>
      </c>
      <c r="M1248" s="1" t="n">
        <f aca="false">(E1248+M1247)-N1248</f>
        <v>41.81</v>
      </c>
      <c r="N1248" s="1" t="n">
        <v>5.5</v>
      </c>
    </row>
    <row r="1249" customFormat="false" ht="15" hidden="false" customHeight="true" outlineLevel="0" collapsed="false">
      <c r="D1249" s="11"/>
      <c r="H1249" s="1" t="s">
        <v>39</v>
      </c>
      <c r="I1249" s="1" t="s">
        <v>34</v>
      </c>
      <c r="J1249" s="1" t="n">
        <f aca="false">K1248</f>
        <v>3982</v>
      </c>
      <c r="K1249" s="1" t="n">
        <f aca="false">J1249+L1249</f>
        <v>4032</v>
      </c>
      <c r="L1249" s="1" t="n">
        <v>50</v>
      </c>
      <c r="M1249" s="1" t="n">
        <f aca="false">(E1249+M1248)-N1249</f>
        <v>36.31</v>
      </c>
      <c r="N1249" s="1" t="n">
        <v>5.5</v>
      </c>
    </row>
    <row r="1250" customFormat="false" ht="15" hidden="false" customHeight="true" outlineLevel="0" collapsed="false">
      <c r="D1250" s="11" t="n">
        <v>45190</v>
      </c>
      <c r="H1250" s="1" t="s">
        <v>34</v>
      </c>
      <c r="I1250" s="1" t="s">
        <v>65</v>
      </c>
      <c r="J1250" s="1" t="n">
        <f aca="false">K1249</f>
        <v>4032</v>
      </c>
      <c r="K1250" s="1" t="n">
        <f aca="false">J1250+L1250</f>
        <v>4112</v>
      </c>
      <c r="L1250" s="1" t="n">
        <v>80</v>
      </c>
      <c r="M1250" s="1" t="n">
        <f aca="false">(E1250+M1249)-N1250</f>
        <v>27.31</v>
      </c>
      <c r="N1250" s="1" t="n">
        <v>9</v>
      </c>
    </row>
    <row r="1251" customFormat="false" ht="15" hidden="false" customHeight="true" outlineLevel="0" collapsed="false">
      <c r="D1251" s="11"/>
      <c r="H1251" s="1" t="s">
        <v>65</v>
      </c>
      <c r="I1251" s="1" t="s">
        <v>34</v>
      </c>
      <c r="J1251" s="1" t="n">
        <f aca="false">K1250</f>
        <v>4112</v>
      </c>
      <c r="K1251" s="1" t="n">
        <f aca="false">J1251+L1251</f>
        <v>4192</v>
      </c>
      <c r="L1251" s="1" t="n">
        <v>80</v>
      </c>
      <c r="M1251" s="1" t="n">
        <f aca="false">(E1251+M1250)-N1251</f>
        <v>18.31</v>
      </c>
      <c r="N1251" s="1" t="n">
        <v>9</v>
      </c>
    </row>
    <row r="1252" customFormat="false" ht="15" hidden="false" customHeight="true" outlineLevel="0" collapsed="false">
      <c r="D1252" s="11" t="n">
        <v>45191</v>
      </c>
      <c r="H1252" s="1" t="s">
        <v>34</v>
      </c>
      <c r="I1252" s="1" t="s">
        <v>54</v>
      </c>
      <c r="J1252" s="1" t="n">
        <f aca="false">K1251</f>
        <v>4192</v>
      </c>
      <c r="K1252" s="1" t="n">
        <f aca="false">J1252+L1252</f>
        <v>4219</v>
      </c>
      <c r="L1252" s="1" t="n">
        <v>27</v>
      </c>
      <c r="M1252" s="1" t="n">
        <f aca="false">(E1252+M1251)-N1252</f>
        <v>15.11</v>
      </c>
      <c r="N1252" s="1" t="n">
        <v>3.2</v>
      </c>
    </row>
    <row r="1253" customFormat="false" ht="15" hidden="false" customHeight="true" outlineLevel="0" collapsed="false">
      <c r="D1253" s="11"/>
      <c r="H1253" s="1" t="s">
        <v>54</v>
      </c>
      <c r="I1253" s="1" t="s">
        <v>34</v>
      </c>
      <c r="J1253" s="1" t="n">
        <f aca="false">K1252</f>
        <v>4219</v>
      </c>
      <c r="K1253" s="1" t="n">
        <f aca="false">J1253+L1253</f>
        <v>4246</v>
      </c>
      <c r="L1253" s="1" t="n">
        <v>27</v>
      </c>
      <c r="M1253" s="1" t="n">
        <f aca="false">(E1253+M1252)-N1253</f>
        <v>11.91</v>
      </c>
      <c r="N1253" s="1" t="n">
        <v>3.2</v>
      </c>
    </row>
    <row r="1254" customFormat="false" ht="15" hidden="false" customHeight="true" outlineLevel="0" collapsed="false">
      <c r="D1254" s="11" t="n">
        <v>45194</v>
      </c>
      <c r="E1254" s="0" t="n">
        <v>44.17</v>
      </c>
      <c r="F1254" s="1" t="n">
        <v>54.8</v>
      </c>
      <c r="G1254" s="6" t="n">
        <f aca="false">E1254*F1254</f>
        <v>2420.516</v>
      </c>
      <c r="H1254" s="1" t="s">
        <v>34</v>
      </c>
      <c r="I1254" s="1" t="s">
        <v>58</v>
      </c>
      <c r="J1254" s="1" t="n">
        <f aca="false">K1253</f>
        <v>4246</v>
      </c>
      <c r="K1254" s="1" t="n">
        <f aca="false">J1254+L1254</f>
        <v>4273</v>
      </c>
      <c r="L1254" s="1" t="n">
        <v>27</v>
      </c>
      <c r="M1254" s="1" t="n">
        <f aca="false">(E1254+M1253)-N1254</f>
        <v>52.88</v>
      </c>
      <c r="N1254" s="1" t="n">
        <v>3.2</v>
      </c>
    </row>
    <row r="1255" customFormat="false" ht="15" hidden="false" customHeight="true" outlineLevel="0" collapsed="false">
      <c r="D1255" s="11"/>
      <c r="G1255" s="6"/>
      <c r="H1255" s="1" t="s">
        <v>58</v>
      </c>
      <c r="I1255" s="1" t="s">
        <v>34</v>
      </c>
      <c r="J1255" s="1" t="n">
        <f aca="false">K1254</f>
        <v>4273</v>
      </c>
      <c r="K1255" s="1" t="n">
        <f aca="false">J1255+L1255</f>
        <v>4300</v>
      </c>
      <c r="L1255" s="1" t="n">
        <v>27</v>
      </c>
      <c r="M1255" s="1" t="n">
        <f aca="false">(E1255+M1254)-N1255</f>
        <v>49.68</v>
      </c>
      <c r="N1255" s="1" t="n">
        <v>3.2</v>
      </c>
    </row>
    <row r="1256" customFormat="false" ht="15" hidden="false" customHeight="true" outlineLevel="0" collapsed="false">
      <c r="D1256" s="11" t="n">
        <v>45195</v>
      </c>
      <c r="H1256" s="1" t="s">
        <v>34</v>
      </c>
      <c r="I1256" s="1" t="s">
        <v>54</v>
      </c>
      <c r="J1256" s="1" t="n">
        <f aca="false">K1255</f>
        <v>4300</v>
      </c>
      <c r="K1256" s="1" t="n">
        <f aca="false">J1256+L1256</f>
        <v>4327</v>
      </c>
      <c r="L1256" s="1" t="n">
        <v>27</v>
      </c>
      <c r="M1256" s="1" t="n">
        <f aca="false">(E1256+M1255)-N1256</f>
        <v>46.48</v>
      </c>
      <c r="N1256" s="1" t="n">
        <v>3.2</v>
      </c>
    </row>
    <row r="1257" customFormat="false" ht="15" hidden="false" customHeight="true" outlineLevel="0" collapsed="false">
      <c r="D1257" s="11"/>
      <c r="H1257" s="1" t="s">
        <v>54</v>
      </c>
      <c r="I1257" s="1" t="s">
        <v>34</v>
      </c>
      <c r="J1257" s="1" t="n">
        <f aca="false">K1256</f>
        <v>4327</v>
      </c>
      <c r="K1257" s="1" t="n">
        <f aca="false">J1257+L1257</f>
        <v>4354</v>
      </c>
      <c r="L1257" s="1" t="n">
        <v>27</v>
      </c>
      <c r="M1257" s="1" t="n">
        <f aca="false">(E1257+M1256)-N1257</f>
        <v>43.28</v>
      </c>
      <c r="N1257" s="1" t="n">
        <v>3.2</v>
      </c>
    </row>
    <row r="1258" customFormat="false" ht="15" hidden="false" customHeight="true" outlineLevel="0" collapsed="false">
      <c r="D1258" s="11" t="n">
        <v>45196</v>
      </c>
      <c r="H1258" s="1" t="s">
        <v>34</v>
      </c>
      <c r="I1258" s="1" t="s">
        <v>39</v>
      </c>
      <c r="J1258" s="1" t="n">
        <f aca="false">K1257</f>
        <v>4354</v>
      </c>
      <c r="K1258" s="1" t="n">
        <f aca="false">J1258+L1258</f>
        <v>4404</v>
      </c>
      <c r="L1258" s="1" t="n">
        <v>50</v>
      </c>
      <c r="M1258" s="1" t="n">
        <f aca="false">(E1258+M1257)-N1258</f>
        <v>37.78</v>
      </c>
      <c r="N1258" s="1" t="n">
        <v>5.5</v>
      </c>
    </row>
    <row r="1259" customFormat="false" ht="15" hidden="false" customHeight="true" outlineLevel="0" collapsed="false">
      <c r="D1259" s="11"/>
      <c r="H1259" s="1" t="s">
        <v>39</v>
      </c>
      <c r="I1259" s="1" t="s">
        <v>34</v>
      </c>
      <c r="J1259" s="1" t="n">
        <f aca="false">K1258</f>
        <v>4404</v>
      </c>
      <c r="K1259" s="1" t="n">
        <f aca="false">J1259+L1259</f>
        <v>4454</v>
      </c>
      <c r="L1259" s="1" t="n">
        <v>50</v>
      </c>
      <c r="M1259" s="1" t="n">
        <f aca="false">(E1259+M1258)-N1259</f>
        <v>32.28</v>
      </c>
      <c r="N1259" s="1" t="n">
        <v>5.5</v>
      </c>
    </row>
    <row r="1260" customFormat="false" ht="15" hidden="false" customHeight="true" outlineLevel="0" collapsed="false">
      <c r="D1260" s="11" t="n">
        <v>45197</v>
      </c>
      <c r="H1260" s="1" t="s">
        <v>34</v>
      </c>
      <c r="I1260" s="1" t="s">
        <v>43</v>
      </c>
      <c r="J1260" s="1" t="n">
        <f aca="false">K1259</f>
        <v>4454</v>
      </c>
      <c r="K1260" s="1" t="n">
        <f aca="false">J1260+L1260</f>
        <v>4466</v>
      </c>
      <c r="L1260" s="1" t="n">
        <v>12</v>
      </c>
      <c r="M1260" s="1" t="n">
        <f aca="false">(E1260+M1259)-N1260</f>
        <v>31.03</v>
      </c>
      <c r="N1260" s="1" t="n">
        <v>1.25</v>
      </c>
    </row>
    <row r="1261" customFormat="false" ht="15" hidden="false" customHeight="true" outlineLevel="0" collapsed="false">
      <c r="D1261" s="11"/>
      <c r="H1261" s="1" t="s">
        <v>43</v>
      </c>
      <c r="I1261" s="1" t="s">
        <v>34</v>
      </c>
      <c r="J1261" s="1" t="n">
        <f aca="false">K1260</f>
        <v>4466</v>
      </c>
      <c r="K1261" s="1" t="n">
        <f aca="false">J1261+L1261</f>
        <v>4478</v>
      </c>
      <c r="L1261" s="1" t="n">
        <v>12</v>
      </c>
      <c r="M1261" s="1" t="n">
        <f aca="false">(E1261+M1260)-N1261</f>
        <v>29.78</v>
      </c>
      <c r="N1261" s="1" t="n">
        <v>1.25</v>
      </c>
    </row>
    <row r="1262" customFormat="false" ht="15" hidden="false" customHeight="true" outlineLevel="0" collapsed="false">
      <c r="D1262" s="11" t="n">
        <v>45198</v>
      </c>
      <c r="H1262" s="1" t="s">
        <v>34</v>
      </c>
      <c r="I1262" s="1" t="s">
        <v>37</v>
      </c>
      <c r="J1262" s="1" t="n">
        <f aca="false">K1261</f>
        <v>4478</v>
      </c>
      <c r="K1262" s="1" t="n">
        <f aca="false">J1262+L1262</f>
        <v>4518</v>
      </c>
      <c r="L1262" s="1" t="n">
        <v>40</v>
      </c>
      <c r="M1262" s="1" t="n">
        <f aca="false">(E1262+M1261)-N1262</f>
        <v>24.98</v>
      </c>
      <c r="N1262" s="1" t="n">
        <v>4.8</v>
      </c>
    </row>
    <row r="1263" customFormat="false" ht="15" hidden="false" customHeight="true" outlineLevel="0" collapsed="false">
      <c r="H1263" s="1" t="s">
        <v>37</v>
      </c>
      <c r="I1263" s="1" t="s">
        <v>34</v>
      </c>
      <c r="J1263" s="1" t="n">
        <f aca="false">K1262</f>
        <v>4518</v>
      </c>
      <c r="K1263" s="1" t="n">
        <f aca="false">J1263+L1263</f>
        <v>4558</v>
      </c>
      <c r="L1263" s="1" t="n">
        <v>40</v>
      </c>
      <c r="M1263" s="1" t="n">
        <f aca="false">(E1263+M1262)-N1263</f>
        <v>20.18</v>
      </c>
      <c r="N1263" s="1" t="n">
        <v>4.8</v>
      </c>
    </row>
    <row r="1264" customFormat="false" ht="15" hidden="false" customHeight="true" outlineLevel="0" collapsed="false">
      <c r="D1264" s="11"/>
      <c r="H1264" s="1" t="s">
        <v>34</v>
      </c>
      <c r="I1264" s="1" t="s">
        <v>65</v>
      </c>
      <c r="J1264" s="1" t="n">
        <f aca="false">K1263</f>
        <v>4558</v>
      </c>
      <c r="K1264" s="1" t="n">
        <f aca="false">J1264+L1264</f>
        <v>4638</v>
      </c>
      <c r="L1264" s="1" t="n">
        <v>80</v>
      </c>
      <c r="M1264" s="1" t="n">
        <f aca="false">(E1264+M1263)-N1264</f>
        <v>11.18</v>
      </c>
      <c r="N1264" s="1" t="n">
        <v>9</v>
      </c>
    </row>
    <row r="1265" customFormat="false" ht="15" hidden="false" customHeight="true" outlineLevel="0" collapsed="false">
      <c r="D1265" s="11"/>
      <c r="H1265" s="1" t="s">
        <v>65</v>
      </c>
      <c r="I1265" s="1" t="s">
        <v>34</v>
      </c>
      <c r="J1265" s="1" t="n">
        <f aca="false">K1264</f>
        <v>4638</v>
      </c>
      <c r="K1265" s="1" t="n">
        <f aca="false">J1265+L1265</f>
        <v>4718</v>
      </c>
      <c r="L1265" s="1" t="n">
        <v>80</v>
      </c>
      <c r="M1265" s="1" t="n">
        <f aca="false">(E1265+M1264)-N1265</f>
        <v>2.17999999999999</v>
      </c>
      <c r="N1265" s="1" t="n">
        <v>9</v>
      </c>
    </row>
    <row r="1267" customFormat="false" ht="15" hidden="false" customHeight="true" outlineLevel="0" collapsed="false">
      <c r="D1267" s="4" t="s">
        <v>70</v>
      </c>
      <c r="E1267" s="4"/>
      <c r="F1267" s="4"/>
      <c r="G1267" s="4"/>
    </row>
    <row r="1268" customFormat="false" ht="15" hidden="false" customHeight="true" outlineLevel="0" collapsed="false">
      <c r="D1268" s="11" t="n">
        <v>45201</v>
      </c>
    </row>
    <row r="1269" customFormat="false" ht="15" hidden="false" customHeight="true" outlineLevel="0" collapsed="false">
      <c r="D1269" s="11" t="n">
        <v>45202</v>
      </c>
    </row>
    <row r="1270" customFormat="false" ht="15" hidden="false" customHeight="true" outlineLevel="0" collapsed="false">
      <c r="D1270" s="11" t="n">
        <v>45203</v>
      </c>
    </row>
    <row r="1271" customFormat="false" ht="15" hidden="false" customHeight="true" outlineLevel="0" collapsed="false">
      <c r="D1271" s="11" t="n">
        <v>45204</v>
      </c>
    </row>
    <row r="1272" customFormat="false" ht="15" hidden="false" customHeight="true" outlineLevel="0" collapsed="false">
      <c r="D1272" s="11" t="n">
        <v>45205</v>
      </c>
    </row>
    <row r="1273" customFormat="false" ht="15" hidden="false" customHeight="true" outlineLevel="0" collapsed="false">
      <c r="D1273" s="11" t="n">
        <v>45208</v>
      </c>
    </row>
    <row r="1274" customFormat="false" ht="15" hidden="false" customHeight="true" outlineLevel="0" collapsed="false">
      <c r="D1274" s="11" t="n">
        <v>45209</v>
      </c>
      <c r="E1274" s="0" t="n">
        <v>47.9</v>
      </c>
      <c r="F1274" s="1" t="n">
        <v>55.05</v>
      </c>
      <c r="G1274" s="6" t="n">
        <f aca="false">E1274*F1274</f>
        <v>2636.895</v>
      </c>
      <c r="H1274" s="1" t="s">
        <v>34</v>
      </c>
      <c r="I1274" s="1" t="s">
        <v>54</v>
      </c>
      <c r="J1274" s="1" t="n">
        <f aca="false">K1265</f>
        <v>4718</v>
      </c>
      <c r="K1274" s="1" t="n">
        <f aca="false">J1274+L1274</f>
        <v>4745</v>
      </c>
      <c r="L1274" s="1" t="n">
        <v>27</v>
      </c>
      <c r="M1274" s="1" t="n">
        <f aca="false">(E1274+M1265)-N1274</f>
        <v>46.88</v>
      </c>
      <c r="N1274" s="1" t="n">
        <v>3.2</v>
      </c>
    </row>
    <row r="1275" customFormat="false" ht="15" hidden="false" customHeight="true" outlineLevel="0" collapsed="false">
      <c r="D1275" s="11"/>
      <c r="G1275" s="6"/>
      <c r="H1275" s="1" t="s">
        <v>54</v>
      </c>
      <c r="I1275" s="1" t="s">
        <v>34</v>
      </c>
      <c r="J1275" s="1" t="n">
        <f aca="false">K1274</f>
        <v>4745</v>
      </c>
      <c r="K1275" s="1" t="n">
        <f aca="false">J1275+L1275</f>
        <v>4772</v>
      </c>
      <c r="L1275" s="1" t="n">
        <v>27</v>
      </c>
      <c r="M1275" s="1" t="n">
        <f aca="false">(E1275+M1274)-N1275</f>
        <v>43.68</v>
      </c>
      <c r="N1275" s="1" t="n">
        <v>3.2</v>
      </c>
    </row>
    <row r="1276" customFormat="false" ht="15" hidden="false" customHeight="true" outlineLevel="0" collapsed="false">
      <c r="D1276" s="11" t="n">
        <v>45210</v>
      </c>
      <c r="H1276" s="1" t="s">
        <v>34</v>
      </c>
      <c r="I1276" s="1" t="s">
        <v>43</v>
      </c>
      <c r="J1276" s="1" t="n">
        <f aca="false">K1275</f>
        <v>4772</v>
      </c>
      <c r="K1276" s="1" t="n">
        <f aca="false">J1276+L1276</f>
        <v>4784</v>
      </c>
      <c r="L1276" s="1" t="n">
        <v>12</v>
      </c>
      <c r="M1276" s="1" t="n">
        <f aca="false">(E1276+M1275)-N1276</f>
        <v>42.43</v>
      </c>
      <c r="N1276" s="1" t="n">
        <v>1.25</v>
      </c>
    </row>
    <row r="1277" customFormat="false" ht="15" hidden="false" customHeight="true" outlineLevel="0" collapsed="false">
      <c r="D1277" s="11"/>
      <c r="H1277" s="1" t="s">
        <v>43</v>
      </c>
      <c r="I1277" s="1" t="s">
        <v>34</v>
      </c>
      <c r="J1277" s="1" t="n">
        <f aca="false">K1276</f>
        <v>4784</v>
      </c>
      <c r="K1277" s="1" t="n">
        <f aca="false">J1277+L1277</f>
        <v>4796</v>
      </c>
      <c r="L1277" s="1" t="n">
        <v>12</v>
      </c>
      <c r="M1277" s="1" t="n">
        <f aca="false">(E1277+M1276)-N1277</f>
        <v>41.18</v>
      </c>
      <c r="N1277" s="1" t="n">
        <v>1.25</v>
      </c>
    </row>
    <row r="1278" customFormat="false" ht="15" hidden="false" customHeight="true" outlineLevel="0" collapsed="false">
      <c r="D1278" s="11" t="n">
        <v>45211</v>
      </c>
      <c r="H1278" s="1" t="s">
        <v>34</v>
      </c>
      <c r="I1278" s="1" t="s">
        <v>39</v>
      </c>
      <c r="J1278" s="1" t="n">
        <f aca="false">K1277</f>
        <v>4796</v>
      </c>
      <c r="K1278" s="1" t="n">
        <f aca="false">J1278+L1278</f>
        <v>4846</v>
      </c>
      <c r="L1278" s="1" t="n">
        <v>50</v>
      </c>
      <c r="M1278" s="1" t="n">
        <f aca="false">(E1278+M1277)-N1278</f>
        <v>35.68</v>
      </c>
      <c r="N1278" s="1" t="n">
        <v>5.5</v>
      </c>
    </row>
    <row r="1279" customFormat="false" ht="15" hidden="false" customHeight="true" outlineLevel="0" collapsed="false">
      <c r="D1279" s="11"/>
      <c r="H1279" s="1" t="s">
        <v>39</v>
      </c>
      <c r="I1279" s="1" t="s">
        <v>34</v>
      </c>
      <c r="J1279" s="1" t="n">
        <f aca="false">K1278</f>
        <v>4846</v>
      </c>
      <c r="K1279" s="1" t="n">
        <f aca="false">J1279+L1279</f>
        <v>4896</v>
      </c>
      <c r="L1279" s="1" t="n">
        <v>50</v>
      </c>
      <c r="M1279" s="1" t="n">
        <f aca="false">(E1279+M1278)-N1279</f>
        <v>30.18</v>
      </c>
      <c r="N1279" s="1" t="n">
        <v>5.5</v>
      </c>
    </row>
    <row r="1280" customFormat="false" ht="15" hidden="false" customHeight="true" outlineLevel="0" collapsed="false">
      <c r="D1280" s="11" t="n">
        <v>45212</v>
      </c>
      <c r="H1280" s="1" t="s">
        <v>34</v>
      </c>
      <c r="I1280" s="1" t="s">
        <v>65</v>
      </c>
      <c r="J1280" s="1" t="n">
        <f aca="false">K1279</f>
        <v>4896</v>
      </c>
      <c r="K1280" s="1" t="n">
        <f aca="false">J1280+L1280</f>
        <v>4976</v>
      </c>
      <c r="L1280" s="1" t="n">
        <v>80</v>
      </c>
      <c r="M1280" s="1" t="n">
        <f aca="false">(E1280+M1279)-N1280</f>
        <v>21.18</v>
      </c>
      <c r="N1280" s="1" t="n">
        <v>9</v>
      </c>
    </row>
    <row r="1281" customFormat="false" ht="15" hidden="false" customHeight="true" outlineLevel="0" collapsed="false">
      <c r="D1281" s="11"/>
      <c r="H1281" s="1" t="s">
        <v>65</v>
      </c>
      <c r="I1281" s="1" t="s">
        <v>34</v>
      </c>
      <c r="J1281" s="1" t="n">
        <f aca="false">K1280</f>
        <v>4976</v>
      </c>
      <c r="K1281" s="1" t="n">
        <f aca="false">J1281+L1281</f>
        <v>5056</v>
      </c>
      <c r="L1281" s="1" t="n">
        <v>80</v>
      </c>
      <c r="M1281" s="1" t="n">
        <f aca="false">(E1281+M1280)-N1281</f>
        <v>12.18</v>
      </c>
      <c r="N1281" s="1" t="n">
        <v>9</v>
      </c>
    </row>
    <row r="1282" customFormat="false" ht="15" hidden="false" customHeight="true" outlineLevel="0" collapsed="false">
      <c r="D1282" s="11" t="n">
        <v>45215</v>
      </c>
      <c r="E1282" s="0" t="n">
        <v>51.06</v>
      </c>
      <c r="F1282" s="1" t="n">
        <v>54.75</v>
      </c>
      <c r="G1282" s="6" t="n">
        <f aca="false">E1282*F1282</f>
        <v>2795.535</v>
      </c>
      <c r="H1282" s="1" t="s">
        <v>34</v>
      </c>
      <c r="I1282" s="1" t="s">
        <v>37</v>
      </c>
      <c r="J1282" s="1" t="n">
        <f aca="false">K1281</f>
        <v>5056</v>
      </c>
      <c r="K1282" s="1" t="n">
        <f aca="false">J1282+L1282</f>
        <v>5096</v>
      </c>
      <c r="L1282" s="1" t="n">
        <v>40</v>
      </c>
      <c r="M1282" s="1" t="n">
        <f aca="false">(E1282+M1281)-N1282</f>
        <v>58.44</v>
      </c>
      <c r="N1282" s="1" t="n">
        <v>4.8</v>
      </c>
    </row>
    <row r="1283" customFormat="false" ht="15" hidden="false" customHeight="true" outlineLevel="0" collapsed="false">
      <c r="D1283" s="11"/>
      <c r="G1283" s="6"/>
      <c r="H1283" s="1" t="s">
        <v>37</v>
      </c>
      <c r="I1283" s="1" t="s">
        <v>34</v>
      </c>
      <c r="J1283" s="1" t="n">
        <f aca="false">K1282</f>
        <v>5096</v>
      </c>
      <c r="K1283" s="1" t="n">
        <f aca="false">J1283+L1283</f>
        <v>5136</v>
      </c>
      <c r="L1283" s="1" t="n">
        <v>40</v>
      </c>
      <c r="M1283" s="1" t="n">
        <f aca="false">(E1283+M1282)-N1283</f>
        <v>53.64</v>
      </c>
      <c r="N1283" s="1" t="n">
        <v>4.8</v>
      </c>
    </row>
    <row r="1284" customFormat="false" ht="15" hidden="false" customHeight="true" outlineLevel="0" collapsed="false">
      <c r="D1284" s="11" t="n">
        <v>45216</v>
      </c>
      <c r="H1284" s="1" t="s">
        <v>34</v>
      </c>
      <c r="I1284" s="1" t="s">
        <v>58</v>
      </c>
      <c r="J1284" s="1" t="n">
        <f aca="false">K1283</f>
        <v>5136</v>
      </c>
      <c r="K1284" s="1" t="n">
        <f aca="false">J1284+L1284</f>
        <v>5163</v>
      </c>
      <c r="L1284" s="1" t="n">
        <v>27</v>
      </c>
      <c r="M1284" s="1" t="n">
        <f aca="false">(E1284+M1283)-N1284</f>
        <v>50.44</v>
      </c>
      <c r="N1284" s="1" t="n">
        <v>3.2</v>
      </c>
    </row>
    <row r="1285" customFormat="false" ht="15" hidden="false" customHeight="true" outlineLevel="0" collapsed="false">
      <c r="D1285" s="11"/>
      <c r="H1285" s="1" t="s">
        <v>58</v>
      </c>
      <c r="I1285" s="1" t="s">
        <v>34</v>
      </c>
      <c r="J1285" s="1" t="n">
        <f aca="false">K1284</f>
        <v>5163</v>
      </c>
      <c r="K1285" s="1" t="n">
        <f aca="false">J1285+L1285</f>
        <v>5190</v>
      </c>
      <c r="L1285" s="1" t="n">
        <v>27</v>
      </c>
      <c r="M1285" s="1" t="n">
        <f aca="false">(E1285+M1284)-N1285</f>
        <v>47.24</v>
      </c>
      <c r="N1285" s="1" t="n">
        <v>3.2</v>
      </c>
    </row>
    <row r="1286" customFormat="false" ht="15" hidden="false" customHeight="true" outlineLevel="0" collapsed="false">
      <c r="D1286" s="11" t="n">
        <v>45217</v>
      </c>
      <c r="H1286" s="1" t="s">
        <v>34</v>
      </c>
      <c r="I1286" s="1" t="s">
        <v>49</v>
      </c>
      <c r="J1286" s="1" t="n">
        <f aca="false">K1285</f>
        <v>5190</v>
      </c>
      <c r="K1286" s="1" t="n">
        <f aca="false">J1286+L1286</f>
        <v>5217</v>
      </c>
      <c r="L1286" s="1" t="n">
        <v>27</v>
      </c>
      <c r="M1286" s="1" t="n">
        <f aca="false">(E1286+M1285)-N1286</f>
        <v>44.04</v>
      </c>
      <c r="N1286" s="1" t="n">
        <v>3.2</v>
      </c>
    </row>
    <row r="1287" customFormat="false" ht="15" hidden="false" customHeight="true" outlineLevel="0" collapsed="false">
      <c r="D1287" s="11"/>
      <c r="H1287" s="1" t="s">
        <v>49</v>
      </c>
      <c r="I1287" s="1" t="s">
        <v>34</v>
      </c>
      <c r="J1287" s="1" t="n">
        <f aca="false">K1286</f>
        <v>5217</v>
      </c>
      <c r="K1287" s="1" t="n">
        <f aca="false">J1287+L1287</f>
        <v>5244</v>
      </c>
      <c r="L1287" s="1" t="n">
        <v>27</v>
      </c>
      <c r="M1287" s="1" t="n">
        <f aca="false">(E1287+M1286)-N1287</f>
        <v>40.84</v>
      </c>
      <c r="N1287" s="1" t="n">
        <v>3.2</v>
      </c>
    </row>
    <row r="1288" customFormat="false" ht="15" hidden="false" customHeight="true" outlineLevel="0" collapsed="false">
      <c r="D1288" s="11" t="n">
        <v>45218</v>
      </c>
      <c r="H1288" s="1" t="s">
        <v>34</v>
      </c>
      <c r="I1288" s="1" t="s">
        <v>35</v>
      </c>
      <c r="J1288" s="1" t="n">
        <f aca="false">K1287</f>
        <v>5244</v>
      </c>
      <c r="K1288" s="1" t="n">
        <f aca="false">J1288+L1288</f>
        <v>5256</v>
      </c>
      <c r="L1288" s="1" t="n">
        <v>12</v>
      </c>
      <c r="M1288" s="1" t="n">
        <f aca="false">(E1288+M1287)-N1288</f>
        <v>39.59</v>
      </c>
      <c r="N1288" s="1" t="n">
        <v>1.25</v>
      </c>
    </row>
    <row r="1289" customFormat="false" ht="15" hidden="false" customHeight="true" outlineLevel="0" collapsed="false">
      <c r="D1289" s="11"/>
      <c r="H1289" s="1" t="s">
        <v>35</v>
      </c>
      <c r="I1289" s="1" t="s">
        <v>34</v>
      </c>
      <c r="J1289" s="1" t="n">
        <f aca="false">K1288</f>
        <v>5256</v>
      </c>
      <c r="K1289" s="1" t="n">
        <f aca="false">J1289+L1289</f>
        <v>5268</v>
      </c>
      <c r="L1289" s="1" t="n">
        <v>12</v>
      </c>
      <c r="M1289" s="1" t="n">
        <f aca="false">(E1289+M1288)-N1289</f>
        <v>38.34</v>
      </c>
      <c r="N1289" s="1" t="n">
        <v>1.25</v>
      </c>
    </row>
    <row r="1290" customFormat="false" ht="15" hidden="false" customHeight="true" outlineLevel="0" collapsed="false">
      <c r="D1290" s="11" t="n">
        <v>45219</v>
      </c>
      <c r="H1290" s="1" t="s">
        <v>34</v>
      </c>
      <c r="I1290" s="1" t="s">
        <v>54</v>
      </c>
      <c r="J1290" s="1" t="n">
        <f aca="false">K1289</f>
        <v>5268</v>
      </c>
      <c r="K1290" s="1" t="n">
        <f aca="false">J1290+L1290</f>
        <v>5295</v>
      </c>
      <c r="L1290" s="1" t="n">
        <v>27</v>
      </c>
      <c r="M1290" s="1" t="n">
        <f aca="false">(E1290+M1289)-N1290</f>
        <v>35.14</v>
      </c>
      <c r="N1290" s="1" t="n">
        <v>3.2</v>
      </c>
    </row>
    <row r="1291" customFormat="false" ht="15" hidden="false" customHeight="true" outlineLevel="0" collapsed="false">
      <c r="D1291" s="11"/>
      <c r="H1291" s="1" t="s">
        <v>54</v>
      </c>
      <c r="I1291" s="1" t="s">
        <v>34</v>
      </c>
      <c r="J1291" s="1" t="n">
        <f aca="false">K1290</f>
        <v>5295</v>
      </c>
      <c r="K1291" s="1" t="n">
        <f aca="false">J1291+L1291</f>
        <v>5322</v>
      </c>
      <c r="L1291" s="1" t="n">
        <v>27</v>
      </c>
      <c r="M1291" s="1" t="n">
        <f aca="false">(E1291+M1290)-N1291</f>
        <v>31.94</v>
      </c>
      <c r="N1291" s="1" t="n">
        <v>3.2</v>
      </c>
    </row>
    <row r="1292" customFormat="false" ht="15" hidden="false" customHeight="true" outlineLevel="0" collapsed="false">
      <c r="D1292" s="11" t="n">
        <v>45222</v>
      </c>
      <c r="H1292" s="1" t="s">
        <v>34</v>
      </c>
      <c r="I1292" s="1" t="s">
        <v>32</v>
      </c>
      <c r="J1292" s="1" t="n">
        <f aca="false">K1291</f>
        <v>5322</v>
      </c>
      <c r="K1292" s="1" t="n">
        <f aca="false">J1292+L1292</f>
        <v>5347</v>
      </c>
      <c r="L1292" s="1" t="n">
        <v>25</v>
      </c>
      <c r="M1292" s="1" t="n">
        <f aca="false">(E1292+M1291)-N1292</f>
        <v>28.94</v>
      </c>
      <c r="N1292" s="1" t="n">
        <v>3</v>
      </c>
    </row>
    <row r="1293" customFormat="false" ht="15" hidden="false" customHeight="true" outlineLevel="0" collapsed="false">
      <c r="D1293" s="11"/>
      <c r="H1293" s="1" t="s">
        <v>32</v>
      </c>
      <c r="I1293" s="1" t="s">
        <v>34</v>
      </c>
      <c r="J1293" s="1" t="n">
        <f aca="false">K1292</f>
        <v>5347</v>
      </c>
      <c r="K1293" s="1" t="n">
        <f aca="false">J1293+L1293</f>
        <v>5372</v>
      </c>
      <c r="L1293" s="1" t="n">
        <v>25</v>
      </c>
      <c r="M1293" s="1" t="n">
        <f aca="false">(E1293+M1292)-N1293</f>
        <v>25.94</v>
      </c>
      <c r="N1293" s="1" t="n">
        <v>3</v>
      </c>
    </row>
    <row r="1294" customFormat="false" ht="15" hidden="false" customHeight="true" outlineLevel="0" collapsed="false">
      <c r="D1294" s="11" t="n">
        <v>45223</v>
      </c>
      <c r="H1294" s="1" t="s">
        <v>34</v>
      </c>
      <c r="I1294" s="1" t="s">
        <v>43</v>
      </c>
      <c r="J1294" s="1" t="n">
        <f aca="false">K1293</f>
        <v>5372</v>
      </c>
      <c r="K1294" s="1" t="n">
        <f aca="false">J1294+L1294</f>
        <v>5384</v>
      </c>
      <c r="L1294" s="1" t="n">
        <v>12</v>
      </c>
      <c r="M1294" s="1" t="n">
        <f aca="false">(E1294+M1293)-N1294</f>
        <v>24.69</v>
      </c>
      <c r="N1294" s="1" t="n">
        <v>1.25</v>
      </c>
    </row>
    <row r="1295" customFormat="false" ht="15" hidden="false" customHeight="true" outlineLevel="0" collapsed="false">
      <c r="D1295" s="11"/>
      <c r="H1295" s="1" t="s">
        <v>43</v>
      </c>
      <c r="I1295" s="1" t="s">
        <v>34</v>
      </c>
      <c r="J1295" s="1" t="n">
        <f aca="false">K1294</f>
        <v>5384</v>
      </c>
      <c r="K1295" s="1" t="n">
        <f aca="false">J1295+L1295</f>
        <v>5396</v>
      </c>
      <c r="L1295" s="1" t="n">
        <v>12</v>
      </c>
      <c r="M1295" s="1" t="n">
        <f aca="false">(E1295+M1294)-N1295</f>
        <v>23.44</v>
      </c>
      <c r="N1295" s="1" t="n">
        <v>1.25</v>
      </c>
    </row>
    <row r="1296" customFormat="false" ht="15" hidden="false" customHeight="true" outlineLevel="0" collapsed="false">
      <c r="D1296" s="11" t="n">
        <v>45224</v>
      </c>
      <c r="H1296" s="1" t="s">
        <v>34</v>
      </c>
      <c r="I1296" s="1" t="s">
        <v>65</v>
      </c>
      <c r="J1296" s="1" t="n">
        <f aca="false">K1295</f>
        <v>5396</v>
      </c>
      <c r="K1296" s="1" t="n">
        <f aca="false">J1296+L1296</f>
        <v>5476</v>
      </c>
      <c r="L1296" s="1" t="n">
        <v>80</v>
      </c>
      <c r="M1296" s="1" t="n">
        <f aca="false">(E1296+M1295)-N1296</f>
        <v>14.44</v>
      </c>
      <c r="N1296" s="1" t="n">
        <v>9</v>
      </c>
    </row>
    <row r="1297" customFormat="false" ht="15" hidden="false" customHeight="true" outlineLevel="0" collapsed="false">
      <c r="D1297" s="11"/>
      <c r="H1297" s="1" t="s">
        <v>65</v>
      </c>
      <c r="I1297" s="1" t="s">
        <v>34</v>
      </c>
      <c r="J1297" s="1" t="n">
        <f aca="false">K1296</f>
        <v>5476</v>
      </c>
      <c r="K1297" s="1" t="n">
        <f aca="false">J1297+L1297</f>
        <v>5556</v>
      </c>
      <c r="L1297" s="1" t="n">
        <v>80</v>
      </c>
      <c r="M1297" s="1" t="n">
        <f aca="false">(E1297+M1296)-N1297</f>
        <v>5.43999999999997</v>
      </c>
      <c r="N1297" s="1" t="n">
        <v>9</v>
      </c>
    </row>
    <row r="1298" customFormat="false" ht="15" hidden="false" customHeight="true" outlineLevel="0" collapsed="false">
      <c r="D1298" s="11" t="n">
        <v>45225</v>
      </c>
      <c r="H1298" s="1" t="s">
        <v>34</v>
      </c>
      <c r="I1298" s="1" t="s">
        <v>35</v>
      </c>
      <c r="J1298" s="1" t="n">
        <f aca="false">K1297</f>
        <v>5556</v>
      </c>
      <c r="K1298" s="1" t="n">
        <f aca="false">J1298+L1298</f>
        <v>5568</v>
      </c>
      <c r="L1298" s="1" t="n">
        <v>12</v>
      </c>
      <c r="M1298" s="1" t="n">
        <f aca="false">(E1298+M1297)-N1298</f>
        <v>4.18999999999997</v>
      </c>
      <c r="N1298" s="1" t="n">
        <v>1.25</v>
      </c>
    </row>
    <row r="1299" customFormat="false" ht="15" hidden="false" customHeight="true" outlineLevel="0" collapsed="false">
      <c r="D1299" s="11"/>
      <c r="H1299" s="1" t="s">
        <v>35</v>
      </c>
      <c r="I1299" s="1" t="s">
        <v>34</v>
      </c>
      <c r="J1299" s="1" t="n">
        <f aca="false">K1298</f>
        <v>5568</v>
      </c>
      <c r="K1299" s="1" t="n">
        <f aca="false">J1299+L1299</f>
        <v>5580</v>
      </c>
      <c r="L1299" s="1" t="n">
        <v>12</v>
      </c>
      <c r="M1299" s="1" t="n">
        <f aca="false">(E1299+M1298)-N1299</f>
        <v>2.93999999999997</v>
      </c>
      <c r="N1299" s="1" t="n">
        <v>1.25</v>
      </c>
    </row>
    <row r="1300" customFormat="false" ht="15" hidden="false" customHeight="true" outlineLevel="0" collapsed="false">
      <c r="D1300" s="11" t="n">
        <v>45226</v>
      </c>
      <c r="E1300" s="0" t="n">
        <v>41.13</v>
      </c>
      <c r="F1300" s="1" t="n">
        <v>54.75</v>
      </c>
      <c r="G1300" s="6" t="n">
        <f aca="false">E1300*F1300</f>
        <v>2251.8675</v>
      </c>
      <c r="H1300" s="1" t="s">
        <v>34</v>
      </c>
      <c r="I1300" s="1" t="s">
        <v>59</v>
      </c>
      <c r="J1300" s="1" t="n">
        <f aca="false">K1299</f>
        <v>5580</v>
      </c>
      <c r="K1300" s="1" t="n">
        <f aca="false">J1300+L1300</f>
        <v>5607</v>
      </c>
      <c r="L1300" s="1" t="n">
        <v>27</v>
      </c>
      <c r="M1300" s="1" t="n">
        <f aca="false">(E1300+M1299)-N1300</f>
        <v>40.87</v>
      </c>
      <c r="N1300" s="1" t="n">
        <v>3.2</v>
      </c>
    </row>
    <row r="1301" customFormat="false" ht="15" hidden="false" customHeight="true" outlineLevel="0" collapsed="false">
      <c r="D1301" s="11"/>
      <c r="G1301" s="6"/>
      <c r="H1301" s="1" t="s">
        <v>59</v>
      </c>
      <c r="I1301" s="1" t="s">
        <v>34</v>
      </c>
      <c r="J1301" s="1" t="n">
        <f aca="false">K1300</f>
        <v>5607</v>
      </c>
      <c r="K1301" s="1" t="n">
        <f aca="false">J1301+L1301</f>
        <v>5634</v>
      </c>
      <c r="L1301" s="1" t="n">
        <v>27</v>
      </c>
      <c r="M1301" s="1" t="n">
        <f aca="false">(E1301+M1300)-N1301</f>
        <v>37.67</v>
      </c>
      <c r="N1301" s="1" t="n">
        <v>3.2</v>
      </c>
    </row>
    <row r="1302" customFormat="false" ht="15" hidden="false" customHeight="true" outlineLevel="0" collapsed="false">
      <c r="D1302" s="11" t="n">
        <v>45229</v>
      </c>
      <c r="H1302" s="1" t="s">
        <v>34</v>
      </c>
      <c r="I1302" s="1" t="s">
        <v>49</v>
      </c>
      <c r="J1302" s="1" t="n">
        <f aca="false">K1301</f>
        <v>5634</v>
      </c>
      <c r="K1302" s="1" t="n">
        <f aca="false">J1302+L1302</f>
        <v>5661</v>
      </c>
      <c r="L1302" s="1" t="n">
        <v>27</v>
      </c>
      <c r="M1302" s="1" t="n">
        <f aca="false">(E1302+M1301)-N1302</f>
        <v>34.47</v>
      </c>
      <c r="N1302" s="1" t="n">
        <v>3.2</v>
      </c>
    </row>
    <row r="1303" customFormat="false" ht="15" hidden="false" customHeight="true" outlineLevel="0" collapsed="false">
      <c r="D1303" s="11"/>
      <c r="H1303" s="1" t="s">
        <v>49</v>
      </c>
      <c r="I1303" s="1" t="s">
        <v>34</v>
      </c>
      <c r="J1303" s="1" t="n">
        <f aca="false">K1302</f>
        <v>5661</v>
      </c>
      <c r="K1303" s="1" t="n">
        <f aca="false">J1303+L1303</f>
        <v>5688</v>
      </c>
      <c r="L1303" s="1" t="n">
        <v>27</v>
      </c>
      <c r="M1303" s="1" t="n">
        <f aca="false">(E1303+M1302)-N1303</f>
        <v>31.27</v>
      </c>
      <c r="N1303" s="1" t="n">
        <v>3.2</v>
      </c>
    </row>
    <row r="1304" customFormat="false" ht="15" hidden="false" customHeight="true" outlineLevel="0" collapsed="false">
      <c r="D1304" s="11" t="n">
        <v>45230</v>
      </c>
      <c r="H1304" s="1" t="s">
        <v>34</v>
      </c>
      <c r="I1304" s="1" t="s">
        <v>58</v>
      </c>
      <c r="J1304" s="1" t="n">
        <f aca="false">K1303</f>
        <v>5688</v>
      </c>
      <c r="K1304" s="1" t="n">
        <f aca="false">J1304+L1304</f>
        <v>5715</v>
      </c>
      <c r="L1304" s="1" t="n">
        <v>27</v>
      </c>
      <c r="M1304" s="1" t="n">
        <f aca="false">(E1304+M1303)-N1304</f>
        <v>28.07</v>
      </c>
      <c r="N1304" s="1" t="n">
        <v>3.2</v>
      </c>
    </row>
    <row r="1305" customFormat="false" ht="15" hidden="false" customHeight="true" outlineLevel="0" collapsed="false">
      <c r="D1305" s="11"/>
      <c r="H1305" s="1" t="s">
        <v>58</v>
      </c>
      <c r="I1305" s="1" t="s">
        <v>34</v>
      </c>
      <c r="J1305" s="1" t="n">
        <f aca="false">K1304</f>
        <v>5715</v>
      </c>
      <c r="K1305" s="1" t="n">
        <f aca="false">J1305+L1305</f>
        <v>5742</v>
      </c>
      <c r="L1305" s="1" t="n">
        <v>27</v>
      </c>
      <c r="M1305" s="1" t="n">
        <f aca="false">(E1305+M1304)-N1305</f>
        <v>24.87</v>
      </c>
      <c r="N1305" s="1" t="n">
        <v>3.2</v>
      </c>
    </row>
    <row r="1307" customFormat="false" ht="15" hidden="false" customHeight="true" outlineLevel="0" collapsed="false">
      <c r="D1307" s="4" t="s">
        <v>71</v>
      </c>
      <c r="E1307" s="4"/>
      <c r="F1307" s="4"/>
      <c r="G1307" s="4"/>
    </row>
    <row r="1308" customFormat="false" ht="15" hidden="false" customHeight="true" outlineLevel="0" collapsed="false">
      <c r="D1308" s="11" t="n">
        <v>45231</v>
      </c>
      <c r="H1308" s="1" t="s">
        <v>34</v>
      </c>
      <c r="I1308" s="1" t="s">
        <v>54</v>
      </c>
      <c r="J1308" s="1" t="n">
        <f aca="false">K1305</f>
        <v>5742</v>
      </c>
      <c r="K1308" s="1" t="n">
        <f aca="false">J1308+L1308</f>
        <v>5769</v>
      </c>
      <c r="L1308" s="1" t="n">
        <v>27</v>
      </c>
      <c r="M1308" s="1" t="n">
        <f aca="false">(E1308+M1305)-N1308</f>
        <v>21.67</v>
      </c>
      <c r="N1308" s="1" t="n">
        <v>3.2</v>
      </c>
    </row>
    <row r="1309" customFormat="false" ht="15" hidden="false" customHeight="true" outlineLevel="0" collapsed="false">
      <c r="D1309" s="11"/>
      <c r="H1309" s="1" t="s">
        <v>54</v>
      </c>
      <c r="I1309" s="1" t="s">
        <v>34</v>
      </c>
      <c r="J1309" s="1" t="n">
        <f aca="false">K1308</f>
        <v>5769</v>
      </c>
      <c r="K1309" s="1" t="n">
        <f aca="false">J1309+L1309</f>
        <v>5796</v>
      </c>
      <c r="L1309" s="1" t="n">
        <v>27</v>
      </c>
      <c r="M1309" s="1" t="n">
        <f aca="false">(E1309+M1308)-N1309</f>
        <v>18.47</v>
      </c>
      <c r="N1309" s="1" t="n">
        <v>3.2</v>
      </c>
    </row>
    <row r="1310" customFormat="false" ht="15" hidden="false" customHeight="true" outlineLevel="0" collapsed="false">
      <c r="D1310" s="11" t="n">
        <v>45232</v>
      </c>
      <c r="H1310" s="1" t="s">
        <v>34</v>
      </c>
      <c r="I1310" s="1" t="s">
        <v>43</v>
      </c>
      <c r="J1310" s="1" t="n">
        <f aca="false">K1309</f>
        <v>5796</v>
      </c>
      <c r="K1310" s="1" t="n">
        <f aca="false">J1310+L1310</f>
        <v>5808</v>
      </c>
      <c r="L1310" s="1" t="n">
        <v>12</v>
      </c>
      <c r="M1310" s="1" t="n">
        <f aca="false">(E1310+M1309)-N1310</f>
        <v>17.22</v>
      </c>
      <c r="N1310" s="1" t="n">
        <v>1.25</v>
      </c>
    </row>
    <row r="1311" customFormat="false" ht="15" hidden="false" customHeight="true" outlineLevel="0" collapsed="false">
      <c r="D1311" s="11"/>
      <c r="H1311" s="1" t="s">
        <v>43</v>
      </c>
      <c r="I1311" s="1" t="s">
        <v>34</v>
      </c>
      <c r="J1311" s="1" t="n">
        <f aca="false">K1310</f>
        <v>5808</v>
      </c>
      <c r="K1311" s="1" t="n">
        <f aca="false">J1311+L1311</f>
        <v>5820</v>
      </c>
      <c r="L1311" s="1" t="n">
        <v>12</v>
      </c>
      <c r="M1311" s="1" t="n">
        <f aca="false">(E1311+M1310)-N1311</f>
        <v>15.97</v>
      </c>
      <c r="N1311" s="1" t="n">
        <v>1.25</v>
      </c>
    </row>
    <row r="1312" customFormat="false" ht="15" hidden="false" customHeight="true" outlineLevel="0" collapsed="false">
      <c r="D1312" s="11" t="n">
        <v>45233</v>
      </c>
      <c r="H1312" s="1" t="s">
        <v>34</v>
      </c>
      <c r="I1312" s="1" t="s">
        <v>49</v>
      </c>
      <c r="J1312" s="1" t="n">
        <f aca="false">K1311</f>
        <v>5820</v>
      </c>
      <c r="K1312" s="1" t="n">
        <f aca="false">J1312+L1312</f>
        <v>5847</v>
      </c>
      <c r="L1312" s="1" t="n">
        <v>27</v>
      </c>
      <c r="M1312" s="1" t="n">
        <f aca="false">(E1312+M1311)-N1312</f>
        <v>12.77</v>
      </c>
      <c r="N1312" s="1" t="n">
        <v>3.2</v>
      </c>
    </row>
    <row r="1313" customFormat="false" ht="15" hidden="false" customHeight="true" outlineLevel="0" collapsed="false">
      <c r="D1313" s="11"/>
      <c r="H1313" s="1" t="s">
        <v>49</v>
      </c>
      <c r="I1313" s="1" t="s">
        <v>34</v>
      </c>
      <c r="J1313" s="1" t="n">
        <f aca="false">K1312</f>
        <v>5847</v>
      </c>
      <c r="K1313" s="1" t="n">
        <f aca="false">J1313+L1313</f>
        <v>5874</v>
      </c>
      <c r="L1313" s="1" t="n">
        <v>27</v>
      </c>
      <c r="M1313" s="1" t="n">
        <f aca="false">(E1313+M1312)-N1313</f>
        <v>9.56999999999998</v>
      </c>
      <c r="N1313" s="1" t="n">
        <v>3.2</v>
      </c>
    </row>
    <row r="1314" customFormat="false" ht="15" hidden="false" customHeight="true" outlineLevel="0" collapsed="false">
      <c r="D1314" s="11" t="n">
        <v>45237</v>
      </c>
      <c r="E1314" s="0" t="n">
        <v>49.9</v>
      </c>
      <c r="F1314" s="1" t="n">
        <v>54.75</v>
      </c>
      <c r="G1314" s="6" t="n">
        <f aca="false">E1314*F1314</f>
        <v>2732.025</v>
      </c>
      <c r="H1314" s="1" t="s">
        <v>34</v>
      </c>
      <c r="I1314" s="1" t="s">
        <v>61</v>
      </c>
      <c r="J1314" s="1" t="n">
        <f aca="false">K1313</f>
        <v>5874</v>
      </c>
      <c r="K1314" s="1" t="n">
        <f aca="false">J1314+L1314</f>
        <v>5880</v>
      </c>
      <c r="L1314" s="1" t="n">
        <v>6</v>
      </c>
      <c r="M1314" s="1" t="n">
        <f aca="false">(E1314+M1313)-N1314</f>
        <v>58.77</v>
      </c>
      <c r="N1314" s="1" t="n">
        <v>0.7</v>
      </c>
    </row>
    <row r="1315" customFormat="false" ht="15" hidden="false" customHeight="true" outlineLevel="0" collapsed="false">
      <c r="D1315" s="11"/>
      <c r="G1315" s="6"/>
      <c r="H1315" s="1" t="s">
        <v>61</v>
      </c>
      <c r="I1315" s="1" t="s">
        <v>34</v>
      </c>
      <c r="J1315" s="1" t="n">
        <f aca="false">K1314</f>
        <v>5880</v>
      </c>
      <c r="K1315" s="1" t="n">
        <f aca="false">J1315+L1315</f>
        <v>5886</v>
      </c>
      <c r="L1315" s="1" t="n">
        <v>6</v>
      </c>
      <c r="M1315" s="1" t="n">
        <f aca="false">(E1315+M1314)-N1315</f>
        <v>58.07</v>
      </c>
      <c r="N1315" s="1" t="n">
        <v>0.7</v>
      </c>
    </row>
    <row r="1316" customFormat="false" ht="15" hidden="false" customHeight="true" outlineLevel="0" collapsed="false">
      <c r="D1316" s="11" t="n">
        <v>45238</v>
      </c>
      <c r="H1316" s="1" t="s">
        <v>34</v>
      </c>
      <c r="I1316" s="1" t="s">
        <v>43</v>
      </c>
      <c r="J1316" s="1" t="n">
        <f aca="false">K1315</f>
        <v>5886</v>
      </c>
      <c r="K1316" s="1" t="n">
        <f aca="false">J1316+L1316</f>
        <v>5898</v>
      </c>
      <c r="L1316" s="1" t="n">
        <v>12</v>
      </c>
      <c r="M1316" s="1" t="n">
        <f aca="false">(E1316+M1315)-N1316</f>
        <v>56.82</v>
      </c>
      <c r="N1316" s="1" t="n">
        <v>1.25</v>
      </c>
    </row>
    <row r="1317" customFormat="false" ht="15" hidden="false" customHeight="true" outlineLevel="0" collapsed="false">
      <c r="D1317" s="11"/>
      <c r="H1317" s="1" t="s">
        <v>43</v>
      </c>
      <c r="I1317" s="1" t="s">
        <v>34</v>
      </c>
      <c r="J1317" s="1" t="n">
        <f aca="false">K1316</f>
        <v>5898</v>
      </c>
      <c r="K1317" s="1" t="n">
        <f aca="false">J1317+L1317</f>
        <v>5910</v>
      </c>
      <c r="L1317" s="1" t="n">
        <v>12</v>
      </c>
      <c r="M1317" s="1" t="n">
        <f aca="false">(E1317+M1316)-N1317</f>
        <v>55.57</v>
      </c>
      <c r="N1317" s="1" t="n">
        <v>1.25</v>
      </c>
    </row>
    <row r="1318" customFormat="false" ht="15" hidden="false" customHeight="true" outlineLevel="0" collapsed="false">
      <c r="D1318" s="11" t="n">
        <v>45239</v>
      </c>
      <c r="H1318" s="1" t="s">
        <v>34</v>
      </c>
      <c r="I1318" s="1" t="s">
        <v>37</v>
      </c>
      <c r="J1318" s="1" t="n">
        <f aca="false">K1317</f>
        <v>5910</v>
      </c>
      <c r="K1318" s="1" t="n">
        <f aca="false">J1318+L1318</f>
        <v>5950</v>
      </c>
      <c r="L1318" s="1" t="n">
        <v>40</v>
      </c>
      <c r="M1318" s="1" t="n">
        <f aca="false">(E1318+M1317)-N1318</f>
        <v>50.77</v>
      </c>
      <c r="N1318" s="1" t="n">
        <v>4.8</v>
      </c>
    </row>
    <row r="1319" customFormat="false" ht="15" hidden="false" customHeight="true" outlineLevel="0" collapsed="false">
      <c r="D1319" s="11"/>
      <c r="H1319" s="1" t="s">
        <v>37</v>
      </c>
      <c r="I1319" s="1" t="s">
        <v>34</v>
      </c>
      <c r="J1319" s="1" t="n">
        <f aca="false">K1318</f>
        <v>5950</v>
      </c>
      <c r="K1319" s="1" t="n">
        <f aca="false">J1319+L1319</f>
        <v>5990</v>
      </c>
      <c r="L1319" s="1" t="n">
        <v>40</v>
      </c>
      <c r="M1319" s="1" t="n">
        <f aca="false">(E1319+M1318)-N1319</f>
        <v>45.97</v>
      </c>
      <c r="N1319" s="1" t="n">
        <v>4.8</v>
      </c>
    </row>
    <row r="1320" customFormat="false" ht="15" hidden="false" customHeight="true" outlineLevel="0" collapsed="false">
      <c r="D1320" s="11" t="n">
        <v>45240</v>
      </c>
      <c r="H1320" s="1" t="s">
        <v>34</v>
      </c>
      <c r="I1320" s="1" t="s">
        <v>65</v>
      </c>
      <c r="J1320" s="1" t="n">
        <f aca="false">K1319</f>
        <v>5990</v>
      </c>
      <c r="K1320" s="1" t="n">
        <f aca="false">J1320+L1320</f>
        <v>6070</v>
      </c>
      <c r="L1320" s="1" t="n">
        <v>80</v>
      </c>
      <c r="M1320" s="1" t="n">
        <f aca="false">(E1320+M1319)-N1320</f>
        <v>36.97</v>
      </c>
      <c r="N1320" s="1" t="n">
        <v>9</v>
      </c>
    </row>
    <row r="1321" customFormat="false" ht="15" hidden="false" customHeight="true" outlineLevel="0" collapsed="false">
      <c r="D1321" s="11"/>
      <c r="H1321" s="1" t="s">
        <v>65</v>
      </c>
      <c r="I1321" s="1" t="s">
        <v>34</v>
      </c>
      <c r="J1321" s="1" t="n">
        <f aca="false">K1320</f>
        <v>6070</v>
      </c>
      <c r="K1321" s="1" t="n">
        <f aca="false">J1321+L1321</f>
        <v>6150</v>
      </c>
      <c r="L1321" s="1" t="n">
        <v>80</v>
      </c>
      <c r="M1321" s="1" t="n">
        <f aca="false">(E1321+M1320)-N1321</f>
        <v>27.97</v>
      </c>
      <c r="N1321" s="1" t="n">
        <v>9</v>
      </c>
    </row>
    <row r="1322" customFormat="false" ht="15" hidden="false" customHeight="true" outlineLevel="0" collapsed="false">
      <c r="D1322" s="11" t="n">
        <v>45243</v>
      </c>
      <c r="E1322" s="0" t="n">
        <v>44.68</v>
      </c>
      <c r="F1322" s="1" t="n">
        <v>54.75</v>
      </c>
      <c r="G1322" s="6" t="n">
        <f aca="false">E1322*F1322</f>
        <v>2446.23</v>
      </c>
      <c r="H1322" s="1" t="s">
        <v>34</v>
      </c>
      <c r="I1322" s="1" t="s">
        <v>54</v>
      </c>
      <c r="J1322" s="1" t="n">
        <f aca="false">K1321</f>
        <v>6150</v>
      </c>
      <c r="K1322" s="1" t="n">
        <f aca="false">J1322+L1322</f>
        <v>6177</v>
      </c>
      <c r="L1322" s="1" t="n">
        <v>27</v>
      </c>
      <c r="M1322" s="1" t="n">
        <f aca="false">(E1322+M1321)-N1322</f>
        <v>69.45</v>
      </c>
      <c r="N1322" s="1" t="n">
        <v>3.2</v>
      </c>
    </row>
    <row r="1323" customFormat="false" ht="15" hidden="false" customHeight="true" outlineLevel="0" collapsed="false">
      <c r="D1323" s="11"/>
      <c r="G1323" s="6"/>
      <c r="H1323" s="1" t="s">
        <v>54</v>
      </c>
      <c r="I1323" s="1" t="s">
        <v>34</v>
      </c>
      <c r="J1323" s="1" t="n">
        <f aca="false">K1322</f>
        <v>6177</v>
      </c>
      <c r="K1323" s="1" t="n">
        <f aca="false">J1323+L1323</f>
        <v>6204</v>
      </c>
      <c r="L1323" s="1" t="n">
        <v>27</v>
      </c>
      <c r="M1323" s="1" t="n">
        <f aca="false">(E1323+M1322)-N1323</f>
        <v>66.25</v>
      </c>
      <c r="N1323" s="1" t="n">
        <v>3.2</v>
      </c>
    </row>
    <row r="1324" customFormat="false" ht="15" hidden="false" customHeight="true" outlineLevel="0" collapsed="false">
      <c r="D1324" s="11" t="n">
        <v>45244</v>
      </c>
      <c r="H1324" s="1" t="s">
        <v>34</v>
      </c>
      <c r="I1324" s="1" t="s">
        <v>39</v>
      </c>
      <c r="J1324" s="1" t="n">
        <f aca="false">K1323</f>
        <v>6204</v>
      </c>
      <c r="K1324" s="1" t="n">
        <f aca="false">J1324+L1324</f>
        <v>6254</v>
      </c>
      <c r="L1324" s="1" t="n">
        <v>50</v>
      </c>
      <c r="M1324" s="1" t="n">
        <f aca="false">(E1324+M1323)-N1324</f>
        <v>60.75</v>
      </c>
      <c r="N1324" s="1" t="n">
        <v>5.5</v>
      </c>
    </row>
    <row r="1325" customFormat="false" ht="15" hidden="false" customHeight="true" outlineLevel="0" collapsed="false">
      <c r="D1325" s="11"/>
      <c r="H1325" s="1" t="s">
        <v>39</v>
      </c>
      <c r="I1325" s="1" t="s">
        <v>34</v>
      </c>
      <c r="J1325" s="1" t="n">
        <f aca="false">K1324</f>
        <v>6254</v>
      </c>
      <c r="K1325" s="1" t="n">
        <f aca="false">J1325+L1325</f>
        <v>6304</v>
      </c>
      <c r="L1325" s="1" t="n">
        <v>50</v>
      </c>
      <c r="M1325" s="1" t="n">
        <f aca="false">(E1325+M1324)-N1325</f>
        <v>55.25</v>
      </c>
      <c r="N1325" s="1" t="n">
        <v>5.5</v>
      </c>
    </row>
    <row r="1326" customFormat="false" ht="15" hidden="false" customHeight="true" outlineLevel="0" collapsed="false">
      <c r="D1326" s="11" t="n">
        <v>45245</v>
      </c>
      <c r="H1326" s="1" t="s">
        <v>34</v>
      </c>
      <c r="I1326" s="1" t="s">
        <v>35</v>
      </c>
      <c r="J1326" s="1" t="n">
        <f aca="false">K1325</f>
        <v>6304</v>
      </c>
      <c r="K1326" s="1" t="n">
        <f aca="false">J1326+L1326</f>
        <v>6316</v>
      </c>
      <c r="L1326" s="1" t="n">
        <v>12</v>
      </c>
      <c r="M1326" s="1" t="n">
        <f aca="false">(E1326+M1325)-N1326</f>
        <v>54</v>
      </c>
      <c r="N1326" s="1" t="n">
        <v>1.25</v>
      </c>
    </row>
    <row r="1327" customFormat="false" ht="15" hidden="false" customHeight="true" outlineLevel="0" collapsed="false">
      <c r="D1327" s="11"/>
      <c r="H1327" s="1" t="s">
        <v>35</v>
      </c>
      <c r="I1327" s="1" t="s">
        <v>34</v>
      </c>
      <c r="J1327" s="1" t="n">
        <f aca="false">K1326</f>
        <v>6316</v>
      </c>
      <c r="K1327" s="1" t="n">
        <f aca="false">J1327+L1327</f>
        <v>6328</v>
      </c>
      <c r="L1327" s="1" t="n">
        <v>12</v>
      </c>
      <c r="M1327" s="1" t="n">
        <f aca="false">(E1327+M1326)-N1327</f>
        <v>52.75</v>
      </c>
      <c r="N1327" s="1" t="n">
        <v>1.25</v>
      </c>
    </row>
    <row r="1328" customFormat="false" ht="15" hidden="false" customHeight="true" outlineLevel="0" collapsed="false">
      <c r="D1328" s="11" t="n">
        <v>45246</v>
      </c>
      <c r="H1328" s="1" t="s">
        <v>34</v>
      </c>
      <c r="I1328" s="1" t="s">
        <v>65</v>
      </c>
      <c r="J1328" s="1" t="n">
        <f aca="false">K1327</f>
        <v>6328</v>
      </c>
      <c r="K1328" s="1" t="n">
        <f aca="false">J1328+L1328</f>
        <v>6408</v>
      </c>
      <c r="L1328" s="1" t="n">
        <v>80</v>
      </c>
      <c r="M1328" s="1" t="n">
        <f aca="false">(E1328+M1327)-N1328</f>
        <v>43.75</v>
      </c>
      <c r="N1328" s="1" t="n">
        <v>9</v>
      </c>
    </row>
    <row r="1329" customFormat="false" ht="15" hidden="false" customHeight="true" outlineLevel="0" collapsed="false">
      <c r="D1329" s="11"/>
      <c r="H1329" s="1" t="s">
        <v>65</v>
      </c>
      <c r="I1329" s="1" t="s">
        <v>34</v>
      </c>
      <c r="J1329" s="1" t="n">
        <f aca="false">K1328</f>
        <v>6408</v>
      </c>
      <c r="K1329" s="1" t="n">
        <f aca="false">J1329+L1329</f>
        <v>6488</v>
      </c>
      <c r="L1329" s="1" t="n">
        <v>80</v>
      </c>
      <c r="M1329" s="1" t="n">
        <f aca="false">(E1329+M1328)-N1329</f>
        <v>34.75</v>
      </c>
      <c r="N1329" s="1" t="n">
        <v>9</v>
      </c>
    </row>
    <row r="1330" customFormat="false" ht="15" hidden="false" customHeight="true" outlineLevel="0" collapsed="false">
      <c r="D1330" s="11" t="n">
        <v>45247</v>
      </c>
      <c r="H1330" s="1" t="s">
        <v>34</v>
      </c>
      <c r="I1330" s="1" t="s">
        <v>49</v>
      </c>
      <c r="J1330" s="1" t="n">
        <f aca="false">K1329</f>
        <v>6488</v>
      </c>
      <c r="K1330" s="1" t="n">
        <f aca="false">J1330+L1330</f>
        <v>6515</v>
      </c>
      <c r="L1330" s="1" t="n">
        <v>27</v>
      </c>
      <c r="M1330" s="1" t="n">
        <f aca="false">(E1330+M1329)-N1330</f>
        <v>31.55</v>
      </c>
      <c r="N1330" s="1" t="n">
        <v>3.2</v>
      </c>
    </row>
    <row r="1331" customFormat="false" ht="15" hidden="false" customHeight="true" outlineLevel="0" collapsed="false">
      <c r="D1331" s="11"/>
      <c r="H1331" s="1" t="s">
        <v>49</v>
      </c>
      <c r="I1331" s="1" t="s">
        <v>34</v>
      </c>
      <c r="J1331" s="1" t="n">
        <f aca="false">K1330</f>
        <v>6515</v>
      </c>
      <c r="K1331" s="1" t="n">
        <f aca="false">J1331+L1331</f>
        <v>6542</v>
      </c>
      <c r="L1331" s="1" t="n">
        <v>27</v>
      </c>
      <c r="M1331" s="1" t="n">
        <f aca="false">(E1331+M1330)-N1331</f>
        <v>28.35</v>
      </c>
      <c r="N1331" s="1" t="n">
        <v>3.2</v>
      </c>
    </row>
    <row r="1332" customFormat="false" ht="15" hidden="false" customHeight="true" outlineLevel="0" collapsed="false">
      <c r="D1332" s="11"/>
      <c r="H1332" s="1" t="s">
        <v>34</v>
      </c>
      <c r="I1332" s="1" t="s">
        <v>58</v>
      </c>
      <c r="J1332" s="1" t="n">
        <f aca="false">K1331</f>
        <v>6542</v>
      </c>
      <c r="K1332" s="1" t="n">
        <f aca="false">J1332+L1332</f>
        <v>6569</v>
      </c>
      <c r="L1332" s="1" t="n">
        <v>27</v>
      </c>
      <c r="M1332" s="1" t="n">
        <f aca="false">(E1332+M1331)-N1332</f>
        <v>25.15</v>
      </c>
      <c r="N1332" s="1" t="n">
        <v>3.2</v>
      </c>
    </row>
    <row r="1333" customFormat="false" ht="15" hidden="false" customHeight="true" outlineLevel="0" collapsed="false">
      <c r="D1333" s="11"/>
      <c r="H1333" s="1" t="s">
        <v>58</v>
      </c>
      <c r="I1333" s="1" t="s">
        <v>34</v>
      </c>
      <c r="J1333" s="1" t="n">
        <f aca="false">K1332</f>
        <v>6569</v>
      </c>
      <c r="K1333" s="1" t="n">
        <f aca="false">J1333+L1333</f>
        <v>6596</v>
      </c>
      <c r="L1333" s="1" t="n">
        <v>27</v>
      </c>
      <c r="M1333" s="1" t="n">
        <f aca="false">(E1333+M1332)-N1333</f>
        <v>21.95</v>
      </c>
      <c r="N1333" s="1" t="n">
        <v>3.2</v>
      </c>
    </row>
    <row r="1334" customFormat="false" ht="15" hidden="false" customHeight="true" outlineLevel="0" collapsed="false">
      <c r="D1334" s="11" t="n">
        <v>45250</v>
      </c>
      <c r="E1334" s="0" t="n">
        <v>49.16</v>
      </c>
      <c r="F1334" s="1" t="n">
        <v>54.25</v>
      </c>
      <c r="G1334" s="6" t="n">
        <f aca="false">E1334*F1334</f>
        <v>2666.93</v>
      </c>
      <c r="H1334" s="1" t="s">
        <v>34</v>
      </c>
      <c r="I1334" s="1" t="s">
        <v>54</v>
      </c>
      <c r="J1334" s="1" t="n">
        <f aca="false">K1333</f>
        <v>6596</v>
      </c>
      <c r="K1334" s="1" t="n">
        <f aca="false">J1334+L1334</f>
        <v>6623</v>
      </c>
      <c r="L1334" s="1" t="n">
        <v>27</v>
      </c>
      <c r="M1334" s="1" t="n">
        <f aca="false">(E1334+M1333)-N1334</f>
        <v>67.91</v>
      </c>
      <c r="N1334" s="1" t="n">
        <v>3.2</v>
      </c>
    </row>
    <row r="1335" customFormat="false" ht="15" hidden="false" customHeight="true" outlineLevel="0" collapsed="false">
      <c r="D1335" s="11"/>
      <c r="G1335" s="6"/>
      <c r="H1335" s="1" t="s">
        <v>54</v>
      </c>
      <c r="I1335" s="1" t="s">
        <v>34</v>
      </c>
      <c r="J1335" s="1" t="n">
        <f aca="false">K1334</f>
        <v>6623</v>
      </c>
      <c r="K1335" s="1" t="n">
        <f aca="false">J1335+L1335</f>
        <v>6650</v>
      </c>
      <c r="L1335" s="1" t="n">
        <v>27</v>
      </c>
      <c r="M1335" s="1" t="n">
        <f aca="false">(E1335+M1334)-N1335</f>
        <v>64.71</v>
      </c>
      <c r="N1335" s="1" t="n">
        <v>3.2</v>
      </c>
    </row>
    <row r="1336" customFormat="false" ht="15" hidden="false" customHeight="true" outlineLevel="0" collapsed="false">
      <c r="D1336" s="11" t="n">
        <v>45251</v>
      </c>
      <c r="H1336" s="1" t="s">
        <v>34</v>
      </c>
      <c r="I1336" s="1" t="s">
        <v>35</v>
      </c>
      <c r="J1336" s="1" t="n">
        <f aca="false">K1335</f>
        <v>6650</v>
      </c>
      <c r="K1336" s="1" t="n">
        <f aca="false">J1336+L1336</f>
        <v>6662</v>
      </c>
      <c r="L1336" s="1" t="n">
        <v>12</v>
      </c>
      <c r="M1336" s="1" t="n">
        <f aca="false">(E1336+M1335)-N1336</f>
        <v>63.46</v>
      </c>
      <c r="N1336" s="1" t="n">
        <v>1.25</v>
      </c>
    </row>
    <row r="1337" customFormat="false" ht="15" hidden="false" customHeight="true" outlineLevel="0" collapsed="false">
      <c r="D1337" s="11"/>
      <c r="H1337" s="1" t="s">
        <v>35</v>
      </c>
      <c r="I1337" s="1" t="s">
        <v>34</v>
      </c>
      <c r="J1337" s="1" t="n">
        <f aca="false">K1336</f>
        <v>6662</v>
      </c>
      <c r="K1337" s="1" t="n">
        <f aca="false">J1337+L1337</f>
        <v>6674</v>
      </c>
      <c r="L1337" s="1" t="n">
        <v>12</v>
      </c>
      <c r="M1337" s="1" t="n">
        <f aca="false">(E1337+M1336)-N1337</f>
        <v>62.21</v>
      </c>
      <c r="N1337" s="1" t="n">
        <v>1.25</v>
      </c>
    </row>
    <row r="1338" customFormat="false" ht="15" hidden="false" customHeight="true" outlineLevel="0" collapsed="false">
      <c r="D1338" s="11" t="n">
        <v>45252</v>
      </c>
      <c r="H1338" s="1" t="s">
        <v>34</v>
      </c>
      <c r="I1338" s="1" t="s">
        <v>37</v>
      </c>
      <c r="J1338" s="1" t="n">
        <f aca="false">K1337</f>
        <v>6674</v>
      </c>
      <c r="K1338" s="1" t="n">
        <f aca="false">J1338+L1338</f>
        <v>6714</v>
      </c>
      <c r="L1338" s="1" t="n">
        <v>40</v>
      </c>
      <c r="M1338" s="1" t="n">
        <f aca="false">(E1338+M1337)-N1338</f>
        <v>57.41</v>
      </c>
      <c r="N1338" s="1" t="n">
        <v>4.8</v>
      </c>
    </row>
    <row r="1339" customFormat="false" ht="15" hidden="false" customHeight="true" outlineLevel="0" collapsed="false">
      <c r="D1339" s="11"/>
      <c r="H1339" s="1" t="s">
        <v>37</v>
      </c>
      <c r="I1339" s="1" t="s">
        <v>34</v>
      </c>
      <c r="J1339" s="1" t="n">
        <f aca="false">K1338</f>
        <v>6714</v>
      </c>
      <c r="K1339" s="1" t="n">
        <f aca="false">J1339+L1339</f>
        <v>6754</v>
      </c>
      <c r="L1339" s="1" t="n">
        <v>40</v>
      </c>
      <c r="M1339" s="1" t="n">
        <f aca="false">(E1339+M1338)-N1339</f>
        <v>52.61</v>
      </c>
      <c r="N1339" s="1" t="n">
        <v>4.8</v>
      </c>
    </row>
    <row r="1340" customFormat="false" ht="15" hidden="false" customHeight="true" outlineLevel="0" collapsed="false">
      <c r="D1340" s="11" t="n">
        <v>45253</v>
      </c>
      <c r="H1340" s="1" t="s">
        <v>34</v>
      </c>
      <c r="I1340" s="1" t="s">
        <v>43</v>
      </c>
      <c r="J1340" s="1" t="n">
        <f aca="false">K1339</f>
        <v>6754</v>
      </c>
      <c r="K1340" s="1" t="n">
        <f aca="false">J1340+L1340</f>
        <v>6766</v>
      </c>
      <c r="L1340" s="1" t="n">
        <v>12</v>
      </c>
      <c r="M1340" s="1" t="n">
        <f aca="false">(E1340+M1339)-N1340</f>
        <v>51.36</v>
      </c>
      <c r="N1340" s="1" t="n">
        <v>1.25</v>
      </c>
    </row>
    <row r="1341" customFormat="false" ht="15" hidden="false" customHeight="true" outlineLevel="0" collapsed="false">
      <c r="D1341" s="11"/>
      <c r="H1341" s="1" t="s">
        <v>43</v>
      </c>
      <c r="I1341" s="1" t="s">
        <v>34</v>
      </c>
      <c r="J1341" s="1" t="n">
        <f aca="false">K1340</f>
        <v>6766</v>
      </c>
      <c r="K1341" s="1" t="n">
        <f aca="false">J1341+L1341</f>
        <v>6778</v>
      </c>
      <c r="L1341" s="1" t="n">
        <v>12</v>
      </c>
      <c r="M1341" s="1" t="n">
        <f aca="false">(E1341+M1340)-N1341</f>
        <v>50.11</v>
      </c>
      <c r="N1341" s="1" t="n">
        <v>1.25</v>
      </c>
    </row>
    <row r="1342" customFormat="false" ht="15" hidden="false" customHeight="true" outlineLevel="0" collapsed="false">
      <c r="D1342" s="11"/>
      <c r="H1342" s="1" t="s">
        <v>34</v>
      </c>
      <c r="I1342" s="1" t="s">
        <v>44</v>
      </c>
      <c r="J1342" s="1" t="n">
        <f aca="false">K1341</f>
        <v>6778</v>
      </c>
      <c r="K1342" s="1" t="n">
        <f aca="false">J1342+L1342</f>
        <v>6818</v>
      </c>
      <c r="L1342" s="1" t="n">
        <v>40</v>
      </c>
      <c r="M1342" s="1" t="n">
        <f aca="false">(E1342+M1341)-N1342</f>
        <v>45.31</v>
      </c>
      <c r="N1342" s="1" t="n">
        <v>4.8</v>
      </c>
    </row>
    <row r="1343" customFormat="false" ht="15" hidden="false" customHeight="true" outlineLevel="0" collapsed="false">
      <c r="D1343" s="11"/>
      <c r="H1343" s="1" t="s">
        <v>44</v>
      </c>
      <c r="I1343" s="1" t="s">
        <v>34</v>
      </c>
      <c r="J1343" s="1" t="n">
        <f aca="false">K1342</f>
        <v>6818</v>
      </c>
      <c r="K1343" s="1" t="n">
        <f aca="false">J1343+L1343</f>
        <v>6858</v>
      </c>
      <c r="L1343" s="1" t="n">
        <v>40</v>
      </c>
      <c r="M1343" s="1" t="n">
        <f aca="false">(E1343+M1342)-N1343</f>
        <v>40.51</v>
      </c>
      <c r="N1343" s="1" t="n">
        <v>4.8</v>
      </c>
    </row>
    <row r="1344" customFormat="false" ht="15" hidden="false" customHeight="true" outlineLevel="0" collapsed="false">
      <c r="D1344" s="11" t="n">
        <v>45254</v>
      </c>
      <c r="H1344" s="1" t="s">
        <v>34</v>
      </c>
      <c r="I1344" s="1" t="s">
        <v>54</v>
      </c>
      <c r="J1344" s="1" t="n">
        <f aca="false">K1343</f>
        <v>6858</v>
      </c>
      <c r="K1344" s="1" t="n">
        <f aca="false">J1344+L1344</f>
        <v>6885</v>
      </c>
      <c r="L1344" s="1" t="n">
        <v>27</v>
      </c>
      <c r="M1344" s="1" t="n">
        <f aca="false">(E1344+M1343)-N1344</f>
        <v>37.31</v>
      </c>
      <c r="N1344" s="1" t="n">
        <v>3.2</v>
      </c>
    </row>
    <row r="1345" customFormat="false" ht="15" hidden="false" customHeight="true" outlineLevel="0" collapsed="false">
      <c r="D1345" s="11"/>
      <c r="H1345" s="1" t="s">
        <v>54</v>
      </c>
      <c r="I1345" s="1" t="s">
        <v>34</v>
      </c>
      <c r="J1345" s="1" t="n">
        <f aca="false">K1344</f>
        <v>6885</v>
      </c>
      <c r="K1345" s="1" t="n">
        <f aca="false">J1345+L1345</f>
        <v>6912</v>
      </c>
      <c r="L1345" s="1" t="n">
        <v>27</v>
      </c>
      <c r="M1345" s="1" t="n">
        <f aca="false">(E1345+M1344)-N1345</f>
        <v>34.11</v>
      </c>
      <c r="N1345" s="1" t="n">
        <v>3.2</v>
      </c>
    </row>
    <row r="1346" customFormat="false" ht="15" hidden="false" customHeight="true" outlineLevel="0" collapsed="false">
      <c r="D1346" s="11" t="n">
        <v>45257</v>
      </c>
      <c r="E1346" s="0" t="n">
        <v>49.3</v>
      </c>
      <c r="F1346" s="1" t="n">
        <v>54.75</v>
      </c>
      <c r="G1346" s="6" t="n">
        <f aca="false">E1346*F1346</f>
        <v>2699.175</v>
      </c>
      <c r="H1346" s="1" t="s">
        <v>34</v>
      </c>
      <c r="I1346" s="1" t="s">
        <v>65</v>
      </c>
      <c r="J1346" s="1" t="n">
        <f aca="false">K1345</f>
        <v>6912</v>
      </c>
      <c r="K1346" s="1" t="n">
        <f aca="false">J1346+L1346</f>
        <v>6992</v>
      </c>
      <c r="L1346" s="1" t="n">
        <v>80</v>
      </c>
      <c r="M1346" s="1" t="n">
        <f aca="false">(E1346+M1345)-N1346</f>
        <v>74.41</v>
      </c>
      <c r="N1346" s="1" t="n">
        <v>9</v>
      </c>
    </row>
    <row r="1347" customFormat="false" ht="15" hidden="false" customHeight="true" outlineLevel="0" collapsed="false">
      <c r="D1347" s="11"/>
      <c r="G1347" s="6"/>
      <c r="H1347" s="1" t="s">
        <v>65</v>
      </c>
      <c r="I1347" s="1" t="s">
        <v>34</v>
      </c>
      <c r="J1347" s="1" t="n">
        <f aca="false">K1346</f>
        <v>6992</v>
      </c>
      <c r="K1347" s="1" t="n">
        <f aca="false">J1347+L1347</f>
        <v>7072</v>
      </c>
      <c r="L1347" s="1" t="n">
        <v>80</v>
      </c>
      <c r="M1347" s="1" t="n">
        <f aca="false">(E1347+M1346)-N1347</f>
        <v>65.41</v>
      </c>
      <c r="N1347" s="1" t="n">
        <v>9</v>
      </c>
    </row>
    <row r="1348" customFormat="false" ht="15" hidden="false" customHeight="true" outlineLevel="0" collapsed="false">
      <c r="D1348" s="11" t="n">
        <v>45258</v>
      </c>
      <c r="H1348" s="1" t="s">
        <v>34</v>
      </c>
      <c r="I1348" s="1" t="s">
        <v>58</v>
      </c>
      <c r="J1348" s="1" t="n">
        <f aca="false">K1347</f>
        <v>7072</v>
      </c>
      <c r="K1348" s="1" t="n">
        <f aca="false">J1348+L1348</f>
        <v>7099</v>
      </c>
      <c r="L1348" s="1" t="n">
        <v>27</v>
      </c>
      <c r="M1348" s="1" t="n">
        <f aca="false">(E1348+M1347)-N1348</f>
        <v>62.21</v>
      </c>
      <c r="N1348" s="1" t="n">
        <v>3.2</v>
      </c>
    </row>
    <row r="1349" customFormat="false" ht="15" hidden="false" customHeight="true" outlineLevel="0" collapsed="false">
      <c r="D1349" s="11"/>
      <c r="H1349" s="1" t="s">
        <v>58</v>
      </c>
      <c r="I1349" s="1" t="s">
        <v>34</v>
      </c>
      <c r="J1349" s="1" t="n">
        <f aca="false">K1348</f>
        <v>7099</v>
      </c>
      <c r="K1349" s="1" t="n">
        <f aca="false">J1349+L1349</f>
        <v>7126</v>
      </c>
      <c r="L1349" s="1" t="n">
        <v>27</v>
      </c>
      <c r="M1349" s="1" t="n">
        <f aca="false">(E1349+M1348)-N1349</f>
        <v>59.01</v>
      </c>
      <c r="N1349" s="1" t="n">
        <v>3.2</v>
      </c>
    </row>
    <row r="1350" customFormat="false" ht="15" hidden="false" customHeight="true" outlineLevel="0" collapsed="false">
      <c r="D1350" s="11" t="n">
        <v>45259</v>
      </c>
      <c r="H1350" s="1" t="s">
        <v>34</v>
      </c>
      <c r="I1350" s="1" t="s">
        <v>59</v>
      </c>
      <c r="J1350" s="1" t="n">
        <f aca="false">K1349</f>
        <v>7126</v>
      </c>
      <c r="K1350" s="1" t="n">
        <f aca="false">J1350+L1350</f>
        <v>7153</v>
      </c>
      <c r="L1350" s="1" t="n">
        <v>27</v>
      </c>
      <c r="M1350" s="1" t="n">
        <f aca="false">(E1350+M1349)-N1350</f>
        <v>55.81</v>
      </c>
      <c r="N1350" s="1" t="n">
        <v>3.2</v>
      </c>
    </row>
    <row r="1351" customFormat="false" ht="15" hidden="false" customHeight="true" outlineLevel="0" collapsed="false">
      <c r="D1351" s="11"/>
      <c r="H1351" s="1" t="s">
        <v>59</v>
      </c>
      <c r="I1351" s="1" t="s">
        <v>34</v>
      </c>
      <c r="J1351" s="1" t="n">
        <f aca="false">K1350</f>
        <v>7153</v>
      </c>
      <c r="K1351" s="1" t="n">
        <f aca="false">J1351+L1351</f>
        <v>7180</v>
      </c>
      <c r="L1351" s="1" t="n">
        <v>27</v>
      </c>
      <c r="M1351" s="1" t="n">
        <f aca="false">(E1351+M1350)-N1351</f>
        <v>52.61</v>
      </c>
      <c r="N1351" s="1" t="n">
        <v>3.2</v>
      </c>
    </row>
    <row r="1352" customFormat="false" ht="15" hidden="false" customHeight="true" outlineLevel="0" collapsed="false">
      <c r="D1352" s="11" t="n">
        <v>45260</v>
      </c>
      <c r="H1352" s="1" t="s">
        <v>34</v>
      </c>
      <c r="I1352" s="1" t="s">
        <v>54</v>
      </c>
      <c r="J1352" s="1" t="n">
        <f aca="false">K1351</f>
        <v>7180</v>
      </c>
      <c r="K1352" s="1" t="n">
        <f aca="false">J1352+L1352</f>
        <v>7207</v>
      </c>
      <c r="L1352" s="1" t="n">
        <v>27</v>
      </c>
      <c r="M1352" s="1" t="n">
        <f aca="false">(E1352+M1351)-N1352</f>
        <v>49.41</v>
      </c>
      <c r="N1352" s="1" t="n">
        <v>3.2</v>
      </c>
    </row>
    <row r="1353" customFormat="false" ht="15" hidden="false" customHeight="true" outlineLevel="0" collapsed="false">
      <c r="H1353" s="1" t="s">
        <v>54</v>
      </c>
      <c r="I1353" s="1" t="s">
        <v>34</v>
      </c>
      <c r="J1353" s="1" t="n">
        <f aca="false">K1352</f>
        <v>7207</v>
      </c>
      <c r="K1353" s="1" t="n">
        <f aca="false">J1353+L1353</f>
        <v>7234</v>
      </c>
      <c r="L1353" s="1" t="n">
        <v>27</v>
      </c>
      <c r="M1353" s="1" t="n">
        <f aca="false">(E1353+M1352)-N1353</f>
        <v>46.21</v>
      </c>
      <c r="N1353" s="1" t="n">
        <v>3.2</v>
      </c>
    </row>
    <row r="1354" customFormat="false" ht="15" hidden="false" customHeight="true" outlineLevel="0" collapsed="false">
      <c r="H1354" s="1"/>
      <c r="I1354" s="1"/>
      <c r="M1354" s="1"/>
    </row>
    <row r="1355" customFormat="false" ht="15" hidden="false" customHeight="true" outlineLevel="0" collapsed="false">
      <c r="D1355" s="4" t="s">
        <v>72</v>
      </c>
      <c r="E1355" s="4"/>
      <c r="F1355" s="4"/>
      <c r="G1355" s="4"/>
    </row>
    <row r="1356" customFormat="false" ht="15" hidden="false" customHeight="true" outlineLevel="0" collapsed="false">
      <c r="D1356" s="11" t="n">
        <v>45261</v>
      </c>
      <c r="H1356" s="1" t="s">
        <v>34</v>
      </c>
      <c r="I1356" s="1" t="s">
        <v>35</v>
      </c>
      <c r="J1356" s="1" t="n">
        <f aca="false">K1353</f>
        <v>7234</v>
      </c>
      <c r="K1356" s="1" t="n">
        <f aca="false">J1356+L1356</f>
        <v>7246</v>
      </c>
      <c r="L1356" s="1" t="n">
        <v>12</v>
      </c>
      <c r="M1356" s="1" t="n">
        <f aca="false">(E1356+M1353)-N1356</f>
        <v>44.96</v>
      </c>
      <c r="N1356" s="1" t="n">
        <v>1.25</v>
      </c>
    </row>
    <row r="1357" customFormat="false" ht="15" hidden="false" customHeight="true" outlineLevel="0" collapsed="false">
      <c r="D1357" s="11"/>
      <c r="H1357" s="1" t="s">
        <v>35</v>
      </c>
      <c r="I1357" s="1" t="s">
        <v>34</v>
      </c>
      <c r="J1357" s="1" t="n">
        <f aca="false">K1356</f>
        <v>7246</v>
      </c>
      <c r="K1357" s="1" t="n">
        <f aca="false">J1357+L1357</f>
        <v>7258</v>
      </c>
      <c r="L1357" s="1" t="n">
        <v>12</v>
      </c>
      <c r="M1357" s="1" t="n">
        <f aca="false">(E1357+M1356)-N1357</f>
        <v>43.71</v>
      </c>
      <c r="N1357" s="1" t="n">
        <v>1.25</v>
      </c>
    </row>
    <row r="1358" customFormat="false" ht="15" hidden="false" customHeight="true" outlineLevel="0" collapsed="false">
      <c r="D1358" s="11" t="n">
        <v>45264</v>
      </c>
      <c r="H1358" s="1" t="s">
        <v>34</v>
      </c>
      <c r="I1358" s="1" t="s">
        <v>65</v>
      </c>
      <c r="J1358" s="1" t="n">
        <f aca="false">K1357</f>
        <v>7258</v>
      </c>
      <c r="K1358" s="1" t="n">
        <f aca="false">J1358+L1358</f>
        <v>7338</v>
      </c>
      <c r="L1358" s="1" t="n">
        <v>80</v>
      </c>
      <c r="M1358" s="1" t="n">
        <f aca="false">(E1358+M1357)-N1358</f>
        <v>34.71</v>
      </c>
      <c r="N1358" s="1" t="n">
        <v>9</v>
      </c>
    </row>
    <row r="1359" customFormat="false" ht="15" hidden="false" customHeight="true" outlineLevel="0" collapsed="false">
      <c r="D1359" s="11"/>
      <c r="H1359" s="1" t="s">
        <v>65</v>
      </c>
      <c r="I1359" s="1" t="s">
        <v>34</v>
      </c>
      <c r="J1359" s="1" t="n">
        <f aca="false">K1358</f>
        <v>7338</v>
      </c>
      <c r="K1359" s="1" t="n">
        <f aca="false">J1359+L1359</f>
        <v>7418</v>
      </c>
      <c r="L1359" s="1" t="n">
        <v>80</v>
      </c>
      <c r="M1359" s="1" t="n">
        <f aca="false">(E1359+M1358)-N1359</f>
        <v>25.71</v>
      </c>
      <c r="N1359" s="1" t="n">
        <v>9</v>
      </c>
    </row>
    <row r="1360" customFormat="false" ht="15" hidden="false" customHeight="true" outlineLevel="0" collapsed="false">
      <c r="D1360" s="11" t="n">
        <v>45265</v>
      </c>
      <c r="H1360" s="1" t="s">
        <v>34</v>
      </c>
      <c r="I1360" s="1" t="s">
        <v>37</v>
      </c>
      <c r="J1360" s="1" t="n">
        <f aca="false">K1359</f>
        <v>7418</v>
      </c>
      <c r="K1360" s="1" t="n">
        <f aca="false">J1360+L1360</f>
        <v>7458</v>
      </c>
      <c r="L1360" s="1" t="n">
        <v>40</v>
      </c>
      <c r="M1360" s="1" t="n">
        <f aca="false">(E1360+M1359)-N1360</f>
        <v>20.91</v>
      </c>
      <c r="N1360" s="1" t="n">
        <v>4.8</v>
      </c>
    </row>
    <row r="1361" customFormat="false" ht="15" hidden="false" customHeight="true" outlineLevel="0" collapsed="false">
      <c r="D1361" s="11"/>
      <c r="H1361" s="1" t="s">
        <v>37</v>
      </c>
      <c r="I1361" s="1" t="s">
        <v>34</v>
      </c>
      <c r="J1361" s="1" t="n">
        <f aca="false">K1360</f>
        <v>7458</v>
      </c>
      <c r="K1361" s="1" t="n">
        <f aca="false">J1361+L1361</f>
        <v>7498</v>
      </c>
      <c r="L1361" s="1" t="n">
        <v>40</v>
      </c>
      <c r="M1361" s="1" t="n">
        <f aca="false">(E1361+M1360)-N1361</f>
        <v>16.11</v>
      </c>
      <c r="N1361" s="1" t="n">
        <v>4.8</v>
      </c>
    </row>
    <row r="1362" customFormat="false" ht="15" hidden="false" customHeight="true" outlineLevel="0" collapsed="false">
      <c r="D1362" s="11" t="n">
        <v>45266</v>
      </c>
      <c r="H1362" s="1" t="s">
        <v>34</v>
      </c>
      <c r="I1362" s="1" t="s">
        <v>59</v>
      </c>
      <c r="J1362" s="1" t="n">
        <f aca="false">K1361</f>
        <v>7498</v>
      </c>
      <c r="K1362" s="1" t="n">
        <f aca="false">J1362+L1362</f>
        <v>7525</v>
      </c>
      <c r="L1362" s="1" t="n">
        <v>27</v>
      </c>
      <c r="M1362" s="1" t="n">
        <f aca="false">(E1362+M1361)-N1362</f>
        <v>12.91</v>
      </c>
      <c r="N1362" s="1" t="n">
        <v>3.2</v>
      </c>
    </row>
    <row r="1363" customFormat="false" ht="15" hidden="false" customHeight="true" outlineLevel="0" collapsed="false">
      <c r="D1363" s="11"/>
      <c r="H1363" s="1" t="s">
        <v>59</v>
      </c>
      <c r="I1363" s="1" t="s">
        <v>34</v>
      </c>
      <c r="J1363" s="1" t="n">
        <f aca="false">K1362</f>
        <v>7525</v>
      </c>
      <c r="K1363" s="1" t="n">
        <f aca="false">J1363+L1363</f>
        <v>7552</v>
      </c>
      <c r="L1363" s="1" t="n">
        <v>27</v>
      </c>
      <c r="M1363" s="1" t="n">
        <f aca="false">(E1363+M1362)-N1363</f>
        <v>9.70999999999995</v>
      </c>
      <c r="N1363" s="1" t="n">
        <v>3.2</v>
      </c>
    </row>
    <row r="1364" customFormat="false" ht="15" hidden="false" customHeight="true" outlineLevel="0" collapsed="false">
      <c r="D1364" s="11" t="n">
        <v>45267</v>
      </c>
      <c r="E1364" s="0" t="n">
        <v>48.93</v>
      </c>
      <c r="F1364" s="1" t="n">
        <v>54.75</v>
      </c>
      <c r="G1364" s="6" t="n">
        <f aca="false">E1364*F1364</f>
        <v>2678.9175</v>
      </c>
      <c r="H1364" s="1" t="s">
        <v>34</v>
      </c>
      <c r="I1364" s="1" t="s">
        <v>65</v>
      </c>
      <c r="J1364" s="1" t="n">
        <f aca="false">K1363</f>
        <v>7552</v>
      </c>
      <c r="K1364" s="1" t="n">
        <f aca="false">J1364+L1364</f>
        <v>7632</v>
      </c>
      <c r="L1364" s="1" t="n">
        <v>80</v>
      </c>
      <c r="M1364" s="1" t="n">
        <f aca="false">(E1364+M1363)-N1364</f>
        <v>49.64</v>
      </c>
      <c r="N1364" s="1" t="n">
        <v>9</v>
      </c>
    </row>
    <row r="1365" customFormat="false" ht="15" hidden="false" customHeight="true" outlineLevel="0" collapsed="false">
      <c r="D1365" s="11"/>
      <c r="G1365" s="6"/>
      <c r="H1365" s="1" t="s">
        <v>65</v>
      </c>
      <c r="I1365" s="1" t="s">
        <v>34</v>
      </c>
      <c r="J1365" s="1" t="n">
        <f aca="false">K1364</f>
        <v>7632</v>
      </c>
      <c r="K1365" s="1" t="n">
        <f aca="false">J1365+L1365</f>
        <v>7712</v>
      </c>
      <c r="L1365" s="1" t="n">
        <v>80</v>
      </c>
      <c r="M1365" s="1" t="n">
        <f aca="false">(E1365+M1364)-N1365</f>
        <v>40.64</v>
      </c>
      <c r="N1365" s="1" t="n">
        <v>9</v>
      </c>
    </row>
    <row r="1366" customFormat="false" ht="15" hidden="false" customHeight="true" outlineLevel="0" collapsed="false">
      <c r="D1366" s="11" t="n">
        <v>45268</v>
      </c>
      <c r="H1366" s="1" t="s">
        <v>34</v>
      </c>
      <c r="I1366" s="1" t="s">
        <v>35</v>
      </c>
      <c r="J1366" s="1" t="n">
        <f aca="false">K1365</f>
        <v>7712</v>
      </c>
      <c r="K1366" s="1" t="n">
        <f aca="false">J1366+L1366</f>
        <v>7724</v>
      </c>
      <c r="L1366" s="1" t="n">
        <v>12</v>
      </c>
      <c r="M1366" s="1" t="n">
        <f aca="false">(E1366+M1365)-N1366</f>
        <v>39.39</v>
      </c>
      <c r="N1366" s="1" t="n">
        <v>1.25</v>
      </c>
    </row>
    <row r="1367" customFormat="false" ht="15" hidden="false" customHeight="true" outlineLevel="0" collapsed="false">
      <c r="D1367" s="11"/>
      <c r="H1367" s="1" t="s">
        <v>35</v>
      </c>
      <c r="I1367" s="1" t="s">
        <v>34</v>
      </c>
      <c r="J1367" s="1" t="n">
        <f aca="false">K1366</f>
        <v>7724</v>
      </c>
      <c r="K1367" s="1" t="n">
        <f aca="false">J1367+L1367</f>
        <v>7736</v>
      </c>
      <c r="L1367" s="1" t="n">
        <v>12</v>
      </c>
      <c r="M1367" s="1" t="n">
        <f aca="false">(E1367+M1366)-N1367</f>
        <v>38.14</v>
      </c>
      <c r="N1367" s="1" t="n">
        <v>1.25</v>
      </c>
    </row>
    <row r="1368" customFormat="false" ht="15" hidden="false" customHeight="true" outlineLevel="0" collapsed="false">
      <c r="D1368" s="11" t="n">
        <v>45271</v>
      </c>
      <c r="H1368" s="1" t="s">
        <v>34</v>
      </c>
      <c r="I1368" s="1" t="s">
        <v>43</v>
      </c>
      <c r="J1368" s="1" t="n">
        <f aca="false">K1367</f>
        <v>7736</v>
      </c>
      <c r="K1368" s="1" t="n">
        <f aca="false">J1368+L1368</f>
        <v>7748</v>
      </c>
      <c r="L1368" s="1" t="n">
        <v>12</v>
      </c>
      <c r="M1368" s="1" t="n">
        <f aca="false">(E1368+M1367)-N1368</f>
        <v>36.89</v>
      </c>
      <c r="N1368" s="1" t="n">
        <v>1.25</v>
      </c>
    </row>
    <row r="1369" customFormat="false" ht="15" hidden="false" customHeight="true" outlineLevel="0" collapsed="false">
      <c r="D1369" s="11"/>
      <c r="H1369" s="1" t="s">
        <v>43</v>
      </c>
      <c r="I1369" s="1" t="s">
        <v>34</v>
      </c>
      <c r="J1369" s="1" t="n">
        <f aca="false">K1368</f>
        <v>7748</v>
      </c>
      <c r="K1369" s="1" t="n">
        <f aca="false">J1369+L1369</f>
        <v>7760</v>
      </c>
      <c r="L1369" s="1" t="n">
        <v>12</v>
      </c>
      <c r="M1369" s="1" t="n">
        <f aca="false">(E1369+M1368)-N1369</f>
        <v>35.64</v>
      </c>
      <c r="N1369" s="1" t="n">
        <v>1.25</v>
      </c>
    </row>
    <row r="1370" customFormat="false" ht="15" hidden="false" customHeight="true" outlineLevel="0" collapsed="false">
      <c r="D1370" s="11" t="n">
        <v>45272</v>
      </c>
      <c r="H1370" s="1" t="s">
        <v>34</v>
      </c>
      <c r="I1370" s="1" t="s">
        <v>58</v>
      </c>
      <c r="J1370" s="1" t="n">
        <f aca="false">K1369</f>
        <v>7760</v>
      </c>
      <c r="K1370" s="1" t="n">
        <f aca="false">J1370+L1370</f>
        <v>7787</v>
      </c>
      <c r="L1370" s="1" t="n">
        <v>27</v>
      </c>
      <c r="M1370" s="1" t="n">
        <f aca="false">(E1370+M1369)-N1370</f>
        <v>32.44</v>
      </c>
      <c r="N1370" s="1" t="n">
        <v>3.2</v>
      </c>
    </row>
    <row r="1371" customFormat="false" ht="15" hidden="false" customHeight="true" outlineLevel="0" collapsed="false">
      <c r="D1371" s="11"/>
      <c r="H1371" s="1" t="s">
        <v>58</v>
      </c>
      <c r="I1371" s="1" t="s">
        <v>34</v>
      </c>
      <c r="J1371" s="1" t="n">
        <f aca="false">K1370</f>
        <v>7787</v>
      </c>
      <c r="K1371" s="1" t="n">
        <f aca="false">J1371+L1371</f>
        <v>7814</v>
      </c>
      <c r="L1371" s="1" t="n">
        <v>27</v>
      </c>
      <c r="M1371" s="1" t="n">
        <f aca="false">(E1371+M1370)-N1371</f>
        <v>29.24</v>
      </c>
      <c r="N1371" s="1" t="n">
        <v>3.2</v>
      </c>
    </row>
    <row r="1372" customFormat="false" ht="15" hidden="false" customHeight="true" outlineLevel="0" collapsed="false">
      <c r="D1372" s="11" t="n">
        <v>45273</v>
      </c>
      <c r="H1372" s="1" t="s">
        <v>34</v>
      </c>
      <c r="I1372" s="1" t="s">
        <v>54</v>
      </c>
      <c r="J1372" s="1" t="n">
        <f aca="false">K1371</f>
        <v>7814</v>
      </c>
      <c r="K1372" s="1" t="n">
        <f aca="false">J1372+L1372</f>
        <v>7841</v>
      </c>
      <c r="L1372" s="1" t="n">
        <v>27</v>
      </c>
      <c r="M1372" s="1" t="n">
        <f aca="false">(E1372+M1371)-N1372</f>
        <v>26.04</v>
      </c>
      <c r="N1372" s="1" t="n">
        <v>3.2</v>
      </c>
    </row>
    <row r="1373" customFormat="false" ht="15" hidden="false" customHeight="true" outlineLevel="0" collapsed="false">
      <c r="D1373" s="11"/>
      <c r="H1373" s="1" t="s">
        <v>54</v>
      </c>
      <c r="I1373" s="1" t="s">
        <v>34</v>
      </c>
      <c r="J1373" s="1" t="n">
        <f aca="false">K1372</f>
        <v>7841</v>
      </c>
      <c r="K1373" s="1" t="n">
        <f aca="false">J1373+L1373</f>
        <v>7868</v>
      </c>
      <c r="L1373" s="1" t="n">
        <v>27</v>
      </c>
      <c r="M1373" s="1" t="n">
        <f aca="false">(E1373+M1372)-N1373</f>
        <v>22.84</v>
      </c>
      <c r="N1373" s="1" t="n">
        <v>3.2</v>
      </c>
    </row>
    <row r="1374" customFormat="false" ht="15" hidden="false" customHeight="true" outlineLevel="0" collapsed="false">
      <c r="D1374" s="11" t="n">
        <v>45274</v>
      </c>
      <c r="H1374" s="1" t="s">
        <v>34</v>
      </c>
      <c r="I1374" s="1" t="s">
        <v>37</v>
      </c>
      <c r="J1374" s="1" t="n">
        <f aca="false">K1373</f>
        <v>7868</v>
      </c>
      <c r="K1374" s="1" t="n">
        <f aca="false">J1374+L1374</f>
        <v>7908</v>
      </c>
      <c r="L1374" s="1" t="n">
        <v>40</v>
      </c>
      <c r="M1374" s="1" t="n">
        <f aca="false">(E1374+M1373)-N1374</f>
        <v>18.04</v>
      </c>
      <c r="N1374" s="1" t="n">
        <v>4.8</v>
      </c>
    </row>
    <row r="1375" customFormat="false" ht="15" hidden="false" customHeight="true" outlineLevel="0" collapsed="false">
      <c r="D1375" s="11"/>
      <c r="H1375" s="1" t="s">
        <v>37</v>
      </c>
      <c r="I1375" s="1" t="s">
        <v>34</v>
      </c>
      <c r="J1375" s="1" t="n">
        <f aca="false">K1374</f>
        <v>7908</v>
      </c>
      <c r="K1375" s="1" t="n">
        <f aca="false">J1375+L1375</f>
        <v>7948</v>
      </c>
      <c r="L1375" s="1" t="n">
        <v>40</v>
      </c>
      <c r="M1375" s="1" t="n">
        <f aca="false">(E1375+M1374)-N1375</f>
        <v>13.2399999999999</v>
      </c>
      <c r="N1375" s="1" t="n">
        <v>4.8</v>
      </c>
    </row>
    <row r="1376" customFormat="false" ht="15" hidden="false" customHeight="true" outlineLevel="0" collapsed="false">
      <c r="D1376" s="11" t="n">
        <v>45275</v>
      </c>
      <c r="H1376" s="1" t="s">
        <v>34</v>
      </c>
      <c r="I1376" s="1" t="s">
        <v>35</v>
      </c>
      <c r="J1376" s="1" t="n">
        <f aca="false">K1375</f>
        <v>7948</v>
      </c>
      <c r="K1376" s="1" t="n">
        <f aca="false">J1376+L1376</f>
        <v>7960</v>
      </c>
      <c r="L1376" s="1" t="n">
        <v>12</v>
      </c>
      <c r="M1376" s="1" t="n">
        <f aca="false">(E1376+M1375)-N1376</f>
        <v>11.9899999999999</v>
      </c>
      <c r="N1376" s="1" t="n">
        <v>1.25</v>
      </c>
    </row>
    <row r="1377" customFormat="false" ht="15" hidden="false" customHeight="true" outlineLevel="0" collapsed="false">
      <c r="D1377" s="11"/>
      <c r="H1377" s="1" t="s">
        <v>35</v>
      </c>
      <c r="I1377" s="1" t="s">
        <v>34</v>
      </c>
      <c r="J1377" s="1" t="n">
        <f aca="false">K1376</f>
        <v>7960</v>
      </c>
      <c r="K1377" s="1" t="n">
        <f aca="false">J1377+L1377</f>
        <v>7972</v>
      </c>
      <c r="L1377" s="1" t="n">
        <v>12</v>
      </c>
      <c r="M1377" s="1" t="n">
        <f aca="false">(E1377+M1376)-N1377</f>
        <v>10.7399999999999</v>
      </c>
      <c r="N1377" s="1" t="n">
        <v>1.25</v>
      </c>
    </row>
    <row r="1378" customFormat="false" ht="15" hidden="false" customHeight="true" outlineLevel="0" collapsed="false">
      <c r="D1378" s="11" t="n">
        <v>45278</v>
      </c>
      <c r="E1378" s="0" t="n">
        <v>44.03</v>
      </c>
      <c r="F1378" s="1" t="n">
        <v>55.05</v>
      </c>
      <c r="G1378" s="6" t="n">
        <f aca="false">E1378*F1378</f>
        <v>2423.8515</v>
      </c>
      <c r="H1378" s="1" t="s">
        <v>34</v>
      </c>
      <c r="I1378" s="1" t="s">
        <v>65</v>
      </c>
      <c r="J1378" s="1" t="n">
        <f aca="false">K1377</f>
        <v>7972</v>
      </c>
      <c r="K1378" s="1" t="n">
        <f aca="false">J1378+L1378</f>
        <v>8052</v>
      </c>
      <c r="L1378" s="1" t="n">
        <v>80</v>
      </c>
      <c r="M1378" s="1" t="n">
        <f aca="false">(E1378+M1377)-N1378</f>
        <v>45.77</v>
      </c>
      <c r="N1378" s="1" t="n">
        <v>9</v>
      </c>
    </row>
    <row r="1379" customFormat="false" ht="15" hidden="false" customHeight="true" outlineLevel="0" collapsed="false">
      <c r="D1379" s="11"/>
      <c r="G1379" s="6"/>
      <c r="H1379" s="1" t="s">
        <v>65</v>
      </c>
      <c r="I1379" s="1" t="s">
        <v>34</v>
      </c>
      <c r="J1379" s="1" t="n">
        <f aca="false">K1378</f>
        <v>8052</v>
      </c>
      <c r="K1379" s="1" t="n">
        <f aca="false">J1379+L1379</f>
        <v>8132</v>
      </c>
      <c r="L1379" s="1" t="n">
        <v>80</v>
      </c>
      <c r="M1379" s="1" t="n">
        <f aca="false">(E1379+M1378)-N1379</f>
        <v>36.77</v>
      </c>
      <c r="N1379" s="1" t="n">
        <v>9</v>
      </c>
    </row>
    <row r="1380" customFormat="false" ht="15" hidden="false" customHeight="true" outlineLevel="0" collapsed="false">
      <c r="D1380" s="11" t="n">
        <v>45279</v>
      </c>
      <c r="H1380" s="1" t="s">
        <v>34</v>
      </c>
      <c r="I1380" s="1" t="s">
        <v>35</v>
      </c>
      <c r="J1380" s="1" t="n">
        <f aca="false">K1379</f>
        <v>8132</v>
      </c>
      <c r="K1380" s="1" t="n">
        <f aca="false">J1380+L1380</f>
        <v>8144</v>
      </c>
      <c r="L1380" s="1" t="n">
        <v>12</v>
      </c>
      <c r="M1380" s="1" t="n">
        <f aca="false">(E1380+M1379)-N1380</f>
        <v>35.52</v>
      </c>
      <c r="N1380" s="1" t="n">
        <v>1.25</v>
      </c>
    </row>
    <row r="1381" customFormat="false" ht="15" hidden="false" customHeight="true" outlineLevel="0" collapsed="false">
      <c r="D1381" s="11"/>
      <c r="H1381" s="1" t="s">
        <v>35</v>
      </c>
      <c r="I1381" s="1" t="s">
        <v>34</v>
      </c>
      <c r="J1381" s="1" t="n">
        <f aca="false">K1380</f>
        <v>8144</v>
      </c>
      <c r="K1381" s="1" t="n">
        <f aca="false">J1381+L1381</f>
        <v>8156</v>
      </c>
      <c r="L1381" s="1" t="n">
        <v>12</v>
      </c>
      <c r="M1381" s="1" t="n">
        <f aca="false">(E1381+M1380)-N1381</f>
        <v>34.27</v>
      </c>
      <c r="N1381" s="1" t="n">
        <v>1.25</v>
      </c>
    </row>
    <row r="1382" customFormat="false" ht="15" hidden="false" customHeight="true" outlineLevel="0" collapsed="false">
      <c r="D1382" s="11" t="n">
        <v>45280</v>
      </c>
      <c r="H1382" s="1" t="s">
        <v>34</v>
      </c>
      <c r="I1382" s="1" t="s">
        <v>35</v>
      </c>
      <c r="J1382" s="1" t="n">
        <f aca="false">K1381</f>
        <v>8156</v>
      </c>
      <c r="K1382" s="1" t="n">
        <f aca="false">J1382+L1382</f>
        <v>8168</v>
      </c>
      <c r="L1382" s="1" t="n">
        <v>12</v>
      </c>
      <c r="M1382" s="1" t="n">
        <f aca="false">(E1382+M1381)-N1382</f>
        <v>33.02</v>
      </c>
      <c r="N1382" s="1" t="n">
        <v>1.25</v>
      </c>
    </row>
    <row r="1383" customFormat="false" ht="15" hidden="false" customHeight="true" outlineLevel="0" collapsed="false">
      <c r="D1383" s="11"/>
      <c r="H1383" s="1" t="s">
        <v>35</v>
      </c>
      <c r="I1383" s="1" t="s">
        <v>34</v>
      </c>
      <c r="J1383" s="1" t="n">
        <f aca="false">K1382</f>
        <v>8168</v>
      </c>
      <c r="K1383" s="1" t="n">
        <f aca="false">J1383+L1383</f>
        <v>8180</v>
      </c>
      <c r="L1383" s="1" t="n">
        <v>12</v>
      </c>
      <c r="M1383" s="1" t="n">
        <f aca="false">(E1383+M1382)-N1383</f>
        <v>31.77</v>
      </c>
      <c r="N1383" s="1" t="n">
        <v>1.25</v>
      </c>
    </row>
    <row r="1384" customFormat="false" ht="15" hidden="false" customHeight="true" outlineLevel="0" collapsed="false">
      <c r="D1384" s="11" t="n">
        <v>45281</v>
      </c>
      <c r="H1384" s="1" t="s">
        <v>34</v>
      </c>
      <c r="I1384" s="1" t="s">
        <v>54</v>
      </c>
      <c r="J1384" s="1" t="n">
        <f aca="false">K1383</f>
        <v>8180</v>
      </c>
      <c r="K1384" s="1" t="n">
        <f aca="false">J1384+L1384</f>
        <v>8207</v>
      </c>
      <c r="L1384" s="1" t="n">
        <v>27</v>
      </c>
      <c r="M1384" s="1" t="n">
        <f aca="false">(E1384+M1383)-N1384</f>
        <v>28.57</v>
      </c>
      <c r="N1384" s="1" t="n">
        <v>3.2</v>
      </c>
    </row>
    <row r="1385" customFormat="false" ht="15" hidden="false" customHeight="true" outlineLevel="0" collapsed="false">
      <c r="D1385" s="11"/>
      <c r="H1385" s="1" t="s">
        <v>54</v>
      </c>
      <c r="I1385" s="1" t="s">
        <v>34</v>
      </c>
      <c r="J1385" s="1" t="n">
        <f aca="false">K1384</f>
        <v>8207</v>
      </c>
      <c r="K1385" s="1" t="n">
        <f aca="false">J1385+L1385</f>
        <v>8234</v>
      </c>
      <c r="L1385" s="1" t="n">
        <v>27</v>
      </c>
      <c r="M1385" s="1" t="n">
        <f aca="false">(E1385+M1384)-N1385</f>
        <v>25.37</v>
      </c>
      <c r="N1385" s="1" t="n">
        <v>3.2</v>
      </c>
    </row>
    <row r="1386" customFormat="false" ht="15" hidden="false" customHeight="true" outlineLevel="0" collapsed="false">
      <c r="D1386" s="11" t="n">
        <v>45282</v>
      </c>
      <c r="H1386" s="1" t="s">
        <v>34</v>
      </c>
      <c r="I1386" s="1" t="s">
        <v>54</v>
      </c>
      <c r="J1386" s="1" t="n">
        <f aca="false">K1385</f>
        <v>8234</v>
      </c>
      <c r="K1386" s="1" t="n">
        <f aca="false">J1386+L1386</f>
        <v>8261</v>
      </c>
      <c r="L1386" s="1" t="n">
        <v>27</v>
      </c>
      <c r="M1386" s="1" t="n">
        <f aca="false">(E1386+M1385)-N1386</f>
        <v>22.17</v>
      </c>
      <c r="N1386" s="1" t="n">
        <v>3.2</v>
      </c>
    </row>
    <row r="1387" customFormat="false" ht="15" hidden="false" customHeight="true" outlineLevel="0" collapsed="false">
      <c r="D1387" s="11"/>
      <c r="H1387" s="1" t="s">
        <v>54</v>
      </c>
      <c r="I1387" s="1" t="s">
        <v>34</v>
      </c>
      <c r="J1387" s="1" t="n">
        <f aca="false">K1386</f>
        <v>8261</v>
      </c>
      <c r="K1387" s="1" t="n">
        <f aca="false">J1387+L1387</f>
        <v>8288</v>
      </c>
      <c r="L1387" s="1" t="n">
        <v>27</v>
      </c>
      <c r="M1387" s="1" t="n">
        <f aca="false">(E1387+M1386)-N1387</f>
        <v>18.97</v>
      </c>
      <c r="N1387" s="1" t="n">
        <v>3.2</v>
      </c>
    </row>
    <row r="1388" customFormat="false" ht="15" hidden="false" customHeight="true" outlineLevel="0" collapsed="false">
      <c r="D1388" s="11" t="n">
        <v>45285</v>
      </c>
      <c r="H1388" s="1" t="s">
        <v>34</v>
      </c>
      <c r="I1388" s="1" t="s">
        <v>59</v>
      </c>
      <c r="J1388" s="1" t="n">
        <f aca="false">K1387</f>
        <v>8288</v>
      </c>
      <c r="K1388" s="1" t="n">
        <f aca="false">J1388+L1388</f>
        <v>8315</v>
      </c>
      <c r="L1388" s="1" t="n">
        <v>27</v>
      </c>
      <c r="M1388" s="1" t="n">
        <f aca="false">(E1388+M1387)-N1388</f>
        <v>15.77</v>
      </c>
      <c r="N1388" s="1" t="n">
        <v>3.2</v>
      </c>
    </row>
    <row r="1389" customFormat="false" ht="15" hidden="false" customHeight="true" outlineLevel="0" collapsed="false">
      <c r="D1389" s="11"/>
      <c r="H1389" s="1" t="s">
        <v>59</v>
      </c>
      <c r="I1389" s="1" t="s">
        <v>34</v>
      </c>
      <c r="J1389" s="1" t="n">
        <f aca="false">K1388</f>
        <v>8315</v>
      </c>
      <c r="K1389" s="1" t="n">
        <f aca="false">J1389+L1389</f>
        <v>8342</v>
      </c>
      <c r="L1389" s="1" t="n">
        <v>27</v>
      </c>
      <c r="M1389" s="1" t="n">
        <f aca="false">(E1389+M1388)-N1389</f>
        <v>12.57</v>
      </c>
      <c r="N1389" s="1" t="n">
        <v>3.2</v>
      </c>
    </row>
    <row r="1390" customFormat="false" ht="15" hidden="false" customHeight="true" outlineLevel="0" collapsed="false">
      <c r="D1390" s="11" t="n">
        <v>45286</v>
      </c>
      <c r="E1390" s="0" t="n">
        <v>33.69</v>
      </c>
      <c r="F1390" s="1" t="n">
        <v>55.45</v>
      </c>
      <c r="G1390" s="6" t="n">
        <f aca="false">E1390*F1390</f>
        <v>1868.1105</v>
      </c>
      <c r="H1390" s="1" t="s">
        <v>34</v>
      </c>
      <c r="I1390" s="1" t="s">
        <v>59</v>
      </c>
      <c r="J1390" s="1" t="n">
        <f aca="false">K1389</f>
        <v>8342</v>
      </c>
      <c r="K1390" s="1" t="n">
        <f aca="false">J1390+L1390</f>
        <v>8369</v>
      </c>
      <c r="L1390" s="1" t="n">
        <v>27</v>
      </c>
      <c r="M1390" s="1" t="n">
        <f aca="false">(E1390+M1389)-N1390</f>
        <v>43.06</v>
      </c>
      <c r="N1390" s="1" t="n">
        <v>3.2</v>
      </c>
    </row>
    <row r="1391" customFormat="false" ht="15" hidden="false" customHeight="true" outlineLevel="0" collapsed="false">
      <c r="D1391" s="11"/>
      <c r="G1391" s="6"/>
      <c r="H1391" s="1" t="s">
        <v>59</v>
      </c>
      <c r="I1391" s="1" t="s">
        <v>34</v>
      </c>
      <c r="J1391" s="1" t="n">
        <f aca="false">K1390</f>
        <v>8369</v>
      </c>
      <c r="K1391" s="1" t="n">
        <f aca="false">J1391+L1391</f>
        <v>8396</v>
      </c>
      <c r="L1391" s="1" t="n">
        <v>27</v>
      </c>
      <c r="M1391" s="1" t="n">
        <f aca="false">(E1391+M1390)-N1391</f>
        <v>39.86</v>
      </c>
      <c r="N1391" s="1" t="n">
        <v>3.2</v>
      </c>
    </row>
    <row r="1392" customFormat="false" ht="15" hidden="false" customHeight="true" outlineLevel="0" collapsed="false">
      <c r="D1392" s="11" t="n">
        <v>45287</v>
      </c>
      <c r="H1392" s="1" t="s">
        <v>34</v>
      </c>
      <c r="I1392" s="1" t="s">
        <v>65</v>
      </c>
      <c r="J1392" s="1" t="n">
        <f aca="false">K1391</f>
        <v>8396</v>
      </c>
      <c r="K1392" s="1" t="n">
        <f aca="false">J1392+L1392</f>
        <v>8476</v>
      </c>
      <c r="L1392" s="1" t="n">
        <v>80</v>
      </c>
      <c r="M1392" s="1" t="n">
        <f aca="false">(E1392+M1391)-N1392</f>
        <v>30.86</v>
      </c>
      <c r="N1392" s="1" t="n">
        <v>9</v>
      </c>
    </row>
    <row r="1393" customFormat="false" ht="15" hidden="false" customHeight="true" outlineLevel="0" collapsed="false">
      <c r="D1393" s="11"/>
      <c r="H1393" s="1" t="s">
        <v>65</v>
      </c>
      <c r="I1393" s="1" t="s">
        <v>34</v>
      </c>
      <c r="J1393" s="1" t="n">
        <f aca="false">K1392</f>
        <v>8476</v>
      </c>
      <c r="K1393" s="1" t="n">
        <f aca="false">J1393+L1393</f>
        <v>8556</v>
      </c>
      <c r="L1393" s="1" t="n">
        <v>80</v>
      </c>
      <c r="M1393" s="1" t="n">
        <f aca="false">(E1393+M1392)-N1393</f>
        <v>21.86</v>
      </c>
      <c r="N1393" s="1" t="n">
        <v>9</v>
      </c>
    </row>
    <row r="1394" customFormat="false" ht="15" hidden="false" customHeight="true" outlineLevel="0" collapsed="false">
      <c r="D1394" s="11" t="n">
        <v>45288</v>
      </c>
      <c r="H1394" s="1" t="s">
        <v>34</v>
      </c>
      <c r="I1394" s="1" t="s">
        <v>39</v>
      </c>
      <c r="J1394" s="1" t="n">
        <f aca="false">K1393</f>
        <v>8556</v>
      </c>
      <c r="K1394" s="1" t="n">
        <f aca="false">J1394+L1394</f>
        <v>8606</v>
      </c>
      <c r="L1394" s="1" t="n">
        <v>50</v>
      </c>
      <c r="M1394" s="1" t="n">
        <f aca="false">(E1394+M1393)-N1394</f>
        <v>16.36</v>
      </c>
      <c r="N1394" s="1" t="n">
        <v>5.5</v>
      </c>
    </row>
    <row r="1395" customFormat="false" ht="15" hidden="false" customHeight="true" outlineLevel="0" collapsed="false">
      <c r="D1395" s="11"/>
      <c r="H1395" s="1" t="s">
        <v>39</v>
      </c>
      <c r="I1395" s="1" t="s">
        <v>34</v>
      </c>
      <c r="J1395" s="1" t="n">
        <f aca="false">K1394</f>
        <v>8606</v>
      </c>
      <c r="K1395" s="1" t="n">
        <f aca="false">J1395+L1395</f>
        <v>8656</v>
      </c>
      <c r="L1395" s="1" t="n">
        <v>50</v>
      </c>
      <c r="M1395" s="1" t="n">
        <f aca="false">(E1395+M1394)-N1395</f>
        <v>10.86</v>
      </c>
      <c r="N1395" s="1" t="n">
        <v>5.5</v>
      </c>
    </row>
    <row r="1396" customFormat="false" ht="15" hidden="false" customHeight="true" outlineLevel="0" collapsed="false">
      <c r="D1396" s="11" t="n">
        <v>45289</v>
      </c>
      <c r="H1396" s="1" t="s">
        <v>34</v>
      </c>
      <c r="I1396" s="1" t="s">
        <v>54</v>
      </c>
      <c r="J1396" s="1" t="n">
        <f aca="false">K1395</f>
        <v>8656</v>
      </c>
      <c r="K1396" s="1" t="n">
        <f aca="false">J1396+L1396</f>
        <v>8683</v>
      </c>
      <c r="L1396" s="1" t="n">
        <v>27</v>
      </c>
      <c r="M1396" s="1" t="n">
        <f aca="false">(E1396+M1395)-N1396</f>
        <v>7.65999999999995</v>
      </c>
      <c r="N1396" s="1" t="n">
        <v>3.2</v>
      </c>
    </row>
    <row r="1397" customFormat="false" ht="15" hidden="false" customHeight="true" outlineLevel="0" collapsed="false">
      <c r="H1397" s="1" t="s">
        <v>54</v>
      </c>
      <c r="I1397" s="1" t="s">
        <v>34</v>
      </c>
      <c r="J1397" s="1" t="n">
        <f aca="false">K1396</f>
        <v>8683</v>
      </c>
      <c r="K1397" s="1" t="n">
        <f aca="false">J1397+L1397</f>
        <v>8710</v>
      </c>
      <c r="L1397" s="1" t="n">
        <v>27</v>
      </c>
      <c r="M1397" s="1" t="n">
        <f aca="false">(E1397+M1396)-N1397</f>
        <v>4.45999999999995</v>
      </c>
      <c r="N1397" s="1" t="n">
        <v>3.2</v>
      </c>
    </row>
    <row r="1398" customFormat="false" ht="15" hidden="false" customHeight="true" outlineLevel="0" collapsed="false">
      <c r="D1398" s="11"/>
    </row>
    <row r="1399" customFormat="false" ht="15" hidden="false" customHeight="true" outlineLevel="0" collapsed="false">
      <c r="D1399" s="4" t="s">
        <v>73</v>
      </c>
      <c r="E1399" s="4"/>
      <c r="F1399" s="4"/>
      <c r="G1399" s="4"/>
    </row>
    <row r="1400" customFormat="false" ht="15" hidden="false" customHeight="true" outlineLevel="0" collapsed="false">
      <c r="D1400" s="11" t="n">
        <v>45300</v>
      </c>
      <c r="H1400" s="1" t="s">
        <v>34</v>
      </c>
      <c r="I1400" s="1" t="s">
        <v>35</v>
      </c>
      <c r="J1400" s="1" t="n">
        <f aca="false">K1397</f>
        <v>8710</v>
      </c>
      <c r="K1400" s="1" t="n">
        <f aca="false">J1400+L1400</f>
        <v>8722</v>
      </c>
      <c r="L1400" s="1" t="n">
        <v>12</v>
      </c>
      <c r="M1400" s="1" t="n">
        <f aca="false">(E1400+M1397)-N1400</f>
        <v>3.20999999999995</v>
      </c>
      <c r="N1400" s="1" t="n">
        <v>1.25</v>
      </c>
    </row>
    <row r="1401" customFormat="false" ht="15" hidden="false" customHeight="true" outlineLevel="0" collapsed="false">
      <c r="H1401" s="1" t="s">
        <v>35</v>
      </c>
      <c r="I1401" s="1" t="s">
        <v>34</v>
      </c>
      <c r="J1401" s="1" t="n">
        <f aca="false">K1400</f>
        <v>8722</v>
      </c>
      <c r="K1401" s="1" t="n">
        <f aca="false">J1401+L1401</f>
        <v>8734</v>
      </c>
      <c r="L1401" s="1" t="n">
        <v>12</v>
      </c>
      <c r="M1401" s="1" t="n">
        <f aca="false">(E1401+M1400)-N1401</f>
        <v>1.95999999999995</v>
      </c>
      <c r="N1401" s="1" t="n">
        <v>1.25</v>
      </c>
    </row>
    <row r="1402" customFormat="false" ht="15" hidden="false" customHeight="true" outlineLevel="0" collapsed="false">
      <c r="D1402" s="11" t="n">
        <v>45301</v>
      </c>
      <c r="H1402" s="16" t="s">
        <v>74</v>
      </c>
    </row>
    <row r="1403" customFormat="false" ht="15" hidden="false" customHeight="true" outlineLevel="0" collapsed="false">
      <c r="D1403" s="11" t="n">
        <v>45315</v>
      </c>
      <c r="H1403" s="16"/>
    </row>
    <row r="1404" customFormat="false" ht="15" hidden="false" customHeight="true" outlineLevel="0" collapsed="false">
      <c r="D1404" s="11" t="n">
        <v>45316</v>
      </c>
      <c r="H1404" s="16"/>
    </row>
    <row r="1405" customFormat="false" ht="15" hidden="false" customHeight="true" outlineLevel="0" collapsed="false">
      <c r="D1405" s="11" t="n">
        <v>45317</v>
      </c>
      <c r="H1405" s="16"/>
    </row>
    <row r="1406" customFormat="false" ht="15" hidden="false" customHeight="true" outlineLevel="0" collapsed="false">
      <c r="D1406" s="11" t="n">
        <v>45320</v>
      </c>
      <c r="H1406" s="16"/>
    </row>
    <row r="1407" customFormat="false" ht="15" hidden="false" customHeight="true" outlineLevel="0" collapsed="false">
      <c r="D1407" s="11" t="n">
        <v>45321</v>
      </c>
      <c r="H1407" s="16"/>
    </row>
    <row r="1408" customFormat="false" ht="15" hidden="false" customHeight="true" outlineLevel="0" collapsed="false">
      <c r="D1408" s="11" t="n">
        <v>45322</v>
      </c>
      <c r="H1408" s="16"/>
    </row>
    <row r="1410" customFormat="false" ht="15" hidden="false" customHeight="true" outlineLevel="0" collapsed="false">
      <c r="D1410" s="4" t="s">
        <v>75</v>
      </c>
      <c r="E1410" s="4"/>
      <c r="F1410" s="4"/>
      <c r="G1410" s="4"/>
    </row>
    <row r="1411" customFormat="false" ht="15" hidden="false" customHeight="true" outlineLevel="0" collapsed="false">
      <c r="D1411" s="11" t="n">
        <v>45323</v>
      </c>
      <c r="E1411" s="0" t="n">
        <v>44.69</v>
      </c>
      <c r="F1411" s="1" t="n">
        <v>55.4</v>
      </c>
      <c r="G1411" s="6" t="n">
        <f aca="false">E1411*F1411</f>
        <v>2475.826</v>
      </c>
      <c r="H1411" s="1" t="s">
        <v>34</v>
      </c>
      <c r="I1411" s="1" t="s">
        <v>35</v>
      </c>
      <c r="J1411" s="1" t="n">
        <f aca="false">K1401</f>
        <v>8734</v>
      </c>
      <c r="K1411" s="1" t="n">
        <f aca="false">J1411+L1411</f>
        <v>8746</v>
      </c>
      <c r="L1411" s="1" t="n">
        <v>12</v>
      </c>
      <c r="M1411" s="1" t="n">
        <f aca="false">(E1411+M1401)-N1411</f>
        <v>45.4</v>
      </c>
      <c r="N1411" s="1" t="n">
        <v>1.25</v>
      </c>
    </row>
    <row r="1412" customFormat="false" ht="15" hidden="false" customHeight="true" outlineLevel="0" collapsed="false">
      <c r="H1412" s="1" t="s">
        <v>35</v>
      </c>
      <c r="I1412" s="1" t="s">
        <v>34</v>
      </c>
      <c r="J1412" s="1" t="n">
        <f aca="false">K1411</f>
        <v>8746</v>
      </c>
      <c r="K1412" s="1" t="n">
        <f aca="false">J1412+L1412</f>
        <v>8758</v>
      </c>
      <c r="L1412" s="1" t="n">
        <v>12</v>
      </c>
      <c r="M1412" s="1" t="n">
        <f aca="false">(E1412+M1411)-N1412</f>
        <v>44.15</v>
      </c>
      <c r="N1412" s="1" t="n">
        <v>1.25</v>
      </c>
    </row>
    <row r="1413" customFormat="false" ht="15" hidden="false" customHeight="true" outlineLevel="0" collapsed="false">
      <c r="D1413" s="11" t="n">
        <v>45324</v>
      </c>
      <c r="H1413" s="1" t="s">
        <v>34</v>
      </c>
      <c r="I1413" s="1" t="s">
        <v>59</v>
      </c>
      <c r="J1413" s="1" t="n">
        <f aca="false">K1412</f>
        <v>8758</v>
      </c>
      <c r="K1413" s="1" t="n">
        <f aca="false">J1413+L1413</f>
        <v>8785</v>
      </c>
      <c r="L1413" s="1" t="n">
        <v>27</v>
      </c>
      <c r="M1413" s="1" t="n">
        <f aca="false">(E1413+M1412)-N1413</f>
        <v>40.9499999999999</v>
      </c>
      <c r="N1413" s="1" t="n">
        <v>3.2</v>
      </c>
    </row>
    <row r="1414" customFormat="false" ht="15" hidden="false" customHeight="true" outlineLevel="0" collapsed="false">
      <c r="H1414" s="1" t="s">
        <v>59</v>
      </c>
      <c r="I1414" s="1" t="s">
        <v>34</v>
      </c>
      <c r="J1414" s="1" t="n">
        <f aca="false">K1413</f>
        <v>8785</v>
      </c>
      <c r="K1414" s="1" t="n">
        <f aca="false">J1414+L1414</f>
        <v>8812</v>
      </c>
      <c r="L1414" s="1" t="n">
        <v>27</v>
      </c>
      <c r="M1414" s="1" t="n">
        <f aca="false">(E1414+M1413)-N1414</f>
        <v>37.7499999999999</v>
      </c>
      <c r="N1414" s="1" t="n">
        <v>3.2</v>
      </c>
    </row>
    <row r="1415" customFormat="false" ht="15" hidden="false" customHeight="true" outlineLevel="0" collapsed="false">
      <c r="D1415" s="11" t="n">
        <v>45327</v>
      </c>
      <c r="H1415" s="1" t="s">
        <v>34</v>
      </c>
      <c r="I1415" s="1" t="s">
        <v>54</v>
      </c>
      <c r="J1415" s="1" t="n">
        <f aca="false">K1414</f>
        <v>8812</v>
      </c>
      <c r="K1415" s="1" t="n">
        <f aca="false">J1415+L1415</f>
        <v>8839</v>
      </c>
      <c r="L1415" s="1" t="n">
        <v>27</v>
      </c>
      <c r="M1415" s="1" t="n">
        <f aca="false">(E1415+M1414)-N1415</f>
        <v>34.5499999999999</v>
      </c>
      <c r="N1415" s="1" t="n">
        <v>3.2</v>
      </c>
    </row>
    <row r="1416" customFormat="false" ht="15" hidden="false" customHeight="true" outlineLevel="0" collapsed="false">
      <c r="H1416" s="1" t="s">
        <v>54</v>
      </c>
      <c r="I1416" s="1" t="s">
        <v>34</v>
      </c>
      <c r="J1416" s="1" t="n">
        <f aca="false">K1415</f>
        <v>8839</v>
      </c>
      <c r="K1416" s="1" t="n">
        <f aca="false">J1416+L1416</f>
        <v>8866</v>
      </c>
      <c r="L1416" s="1" t="n">
        <v>27</v>
      </c>
      <c r="M1416" s="1" t="n">
        <f aca="false">(E1416+M1415)-N1416</f>
        <v>31.3499999999999</v>
      </c>
      <c r="N1416" s="1" t="n">
        <v>3.2</v>
      </c>
    </row>
    <row r="1417" customFormat="false" ht="15" hidden="false" customHeight="true" outlineLevel="0" collapsed="false">
      <c r="D1417" s="11" t="n">
        <v>45328</v>
      </c>
      <c r="H1417" s="1" t="s">
        <v>34</v>
      </c>
      <c r="I1417" s="1" t="s">
        <v>43</v>
      </c>
      <c r="J1417" s="1" t="n">
        <f aca="false">K1416</f>
        <v>8866</v>
      </c>
      <c r="K1417" s="1" t="n">
        <f aca="false">J1417+L1417</f>
        <v>8878</v>
      </c>
      <c r="L1417" s="1" t="n">
        <v>12</v>
      </c>
      <c r="M1417" s="1" t="n">
        <f aca="false">(E1417+M1416)-N1417</f>
        <v>30.0999999999999</v>
      </c>
      <c r="N1417" s="1" t="n">
        <v>1.25</v>
      </c>
    </row>
    <row r="1418" customFormat="false" ht="15" hidden="false" customHeight="true" outlineLevel="0" collapsed="false">
      <c r="H1418" s="1" t="s">
        <v>43</v>
      </c>
      <c r="I1418" s="1" t="s">
        <v>34</v>
      </c>
      <c r="J1418" s="1" t="n">
        <f aca="false">K1417</f>
        <v>8878</v>
      </c>
      <c r="K1418" s="1" t="n">
        <f aca="false">J1418+L1418</f>
        <v>8890</v>
      </c>
      <c r="L1418" s="1" t="n">
        <v>12</v>
      </c>
      <c r="M1418" s="1" t="n">
        <f aca="false">(E1418+M1417)-N1418</f>
        <v>28.8499999999999</v>
      </c>
      <c r="N1418" s="1" t="n">
        <v>1.25</v>
      </c>
    </row>
    <row r="1419" customFormat="false" ht="15" hidden="false" customHeight="true" outlineLevel="0" collapsed="false">
      <c r="D1419" s="11" t="n">
        <v>45329</v>
      </c>
      <c r="H1419" s="1" t="s">
        <v>34</v>
      </c>
      <c r="I1419" s="1" t="s">
        <v>49</v>
      </c>
      <c r="J1419" s="1" t="n">
        <f aca="false">K1418</f>
        <v>8890</v>
      </c>
      <c r="K1419" s="1" t="n">
        <f aca="false">J1419+L1419</f>
        <v>8917</v>
      </c>
      <c r="L1419" s="1" t="n">
        <v>27</v>
      </c>
      <c r="M1419" s="1" t="n">
        <f aca="false">(E1419+M1418)-N1419</f>
        <v>25.6499999999999</v>
      </c>
      <c r="N1419" s="1" t="n">
        <v>3.2</v>
      </c>
    </row>
    <row r="1420" customFormat="false" ht="15" hidden="false" customHeight="true" outlineLevel="0" collapsed="false">
      <c r="H1420" s="1" t="s">
        <v>49</v>
      </c>
      <c r="I1420" s="1" t="s">
        <v>34</v>
      </c>
      <c r="J1420" s="1" t="n">
        <f aca="false">K1419</f>
        <v>8917</v>
      </c>
      <c r="K1420" s="1" t="n">
        <f aca="false">J1420+L1420</f>
        <v>8944</v>
      </c>
      <c r="L1420" s="1" t="n">
        <v>27</v>
      </c>
      <c r="M1420" s="1" t="n">
        <f aca="false">(E1420+M1419)-N1420</f>
        <v>22.4499999999999</v>
      </c>
      <c r="N1420" s="1" t="n">
        <v>3.2</v>
      </c>
    </row>
    <row r="1421" customFormat="false" ht="15" hidden="false" customHeight="true" outlineLevel="0" collapsed="false">
      <c r="D1421" s="11" t="n">
        <v>45330</v>
      </c>
      <c r="H1421" s="1" t="s">
        <v>34</v>
      </c>
      <c r="I1421" s="1" t="s">
        <v>35</v>
      </c>
      <c r="J1421" s="1" t="n">
        <f aca="false">K1420</f>
        <v>8944</v>
      </c>
      <c r="K1421" s="1" t="n">
        <f aca="false">J1421+L1421</f>
        <v>8956</v>
      </c>
      <c r="L1421" s="1" t="n">
        <v>12</v>
      </c>
      <c r="M1421" s="1" t="n">
        <f aca="false">(E1421+M1420)-N1421</f>
        <v>21.1999999999999</v>
      </c>
      <c r="N1421" s="1" t="n">
        <v>1.25</v>
      </c>
    </row>
    <row r="1422" customFormat="false" ht="15" hidden="false" customHeight="true" outlineLevel="0" collapsed="false">
      <c r="H1422" s="1" t="s">
        <v>35</v>
      </c>
      <c r="I1422" s="1" t="s">
        <v>34</v>
      </c>
      <c r="J1422" s="1" t="n">
        <f aca="false">K1421</f>
        <v>8956</v>
      </c>
      <c r="K1422" s="1" t="n">
        <f aca="false">J1422+L1422</f>
        <v>8968</v>
      </c>
      <c r="L1422" s="1" t="n">
        <v>12</v>
      </c>
      <c r="M1422" s="1" t="n">
        <f aca="false">(E1422+M1421)-N1422</f>
        <v>19.9499999999999</v>
      </c>
      <c r="N1422" s="1" t="n">
        <v>1.25</v>
      </c>
    </row>
    <row r="1423" customFormat="false" ht="15" hidden="false" customHeight="true" outlineLevel="0" collapsed="false">
      <c r="D1423" s="11" t="n">
        <v>45331</v>
      </c>
      <c r="H1423" s="1" t="s">
        <v>34</v>
      </c>
      <c r="I1423" s="1" t="s">
        <v>54</v>
      </c>
      <c r="J1423" s="1" t="n">
        <f aca="false">K1422</f>
        <v>8968</v>
      </c>
      <c r="K1423" s="1" t="n">
        <f aca="false">J1423+L1423</f>
        <v>8995</v>
      </c>
      <c r="L1423" s="1" t="n">
        <v>27</v>
      </c>
      <c r="M1423" s="1" t="n">
        <f aca="false">(E1423+M1422)-N1423</f>
        <v>16.7499999999999</v>
      </c>
      <c r="N1423" s="1" t="n">
        <v>3.2</v>
      </c>
    </row>
    <row r="1424" customFormat="false" ht="15" hidden="false" customHeight="true" outlineLevel="0" collapsed="false">
      <c r="H1424" s="1" t="s">
        <v>54</v>
      </c>
      <c r="I1424" s="1" t="s">
        <v>34</v>
      </c>
      <c r="J1424" s="1" t="n">
        <f aca="false">K1423</f>
        <v>8995</v>
      </c>
      <c r="K1424" s="1" t="n">
        <f aca="false">J1424+L1424</f>
        <v>9022</v>
      </c>
      <c r="L1424" s="1" t="n">
        <v>27</v>
      </c>
      <c r="M1424" s="1" t="n">
        <f aca="false">(E1424+M1423)-N1424</f>
        <v>13.5499999999999</v>
      </c>
      <c r="N1424" s="1" t="n">
        <v>3.2</v>
      </c>
    </row>
    <row r="1425" customFormat="false" ht="15" hidden="false" customHeight="true" outlineLevel="0" collapsed="false">
      <c r="D1425" s="11" t="n">
        <v>45334</v>
      </c>
      <c r="H1425" s="1" t="s">
        <v>34</v>
      </c>
      <c r="I1425" s="1" t="s">
        <v>35</v>
      </c>
      <c r="J1425" s="1" t="n">
        <f aca="false">K1424</f>
        <v>9022</v>
      </c>
      <c r="K1425" s="1" t="n">
        <f aca="false">J1425+L1425</f>
        <v>9034</v>
      </c>
      <c r="L1425" s="1" t="n">
        <v>12</v>
      </c>
      <c r="M1425" s="1" t="n">
        <f aca="false">(E1425+M1424)-N1425</f>
        <v>12.2999999999999</v>
      </c>
      <c r="N1425" s="1" t="n">
        <v>1.25</v>
      </c>
    </row>
    <row r="1426" customFormat="false" ht="15" hidden="false" customHeight="true" outlineLevel="0" collapsed="false">
      <c r="D1426" s="11"/>
      <c r="H1426" s="1" t="s">
        <v>35</v>
      </c>
      <c r="I1426" s="1" t="s">
        <v>34</v>
      </c>
      <c r="J1426" s="1" t="n">
        <f aca="false">K1425</f>
        <v>9034</v>
      </c>
      <c r="K1426" s="1" t="n">
        <f aca="false">J1426+L1426</f>
        <v>9046</v>
      </c>
      <c r="L1426" s="1" t="n">
        <v>12</v>
      </c>
      <c r="M1426" s="1" t="n">
        <f aca="false">(E1426+M1425)-N1426</f>
        <v>11.0499999999999</v>
      </c>
      <c r="N1426" s="1" t="n">
        <v>1.25</v>
      </c>
    </row>
    <row r="1427" customFormat="false" ht="15" hidden="false" customHeight="true" outlineLevel="0" collapsed="false">
      <c r="D1427" s="11" t="n">
        <v>45335</v>
      </c>
      <c r="H1427" s="1" t="s">
        <v>34</v>
      </c>
      <c r="I1427" s="1" t="s">
        <v>54</v>
      </c>
      <c r="J1427" s="1" t="n">
        <f aca="false">K1426</f>
        <v>9046</v>
      </c>
      <c r="K1427" s="1" t="n">
        <f aca="false">J1427+L1427</f>
        <v>9073</v>
      </c>
      <c r="L1427" s="1" t="n">
        <v>27</v>
      </c>
      <c r="M1427" s="1" t="n">
        <f aca="false">(E1427+M1426)-N1427</f>
        <v>7.84999999999994</v>
      </c>
      <c r="N1427" s="1" t="n">
        <v>3.2</v>
      </c>
    </row>
    <row r="1428" customFormat="false" ht="15" hidden="false" customHeight="true" outlineLevel="0" collapsed="false">
      <c r="D1428" s="11"/>
      <c r="H1428" s="1" t="s">
        <v>54</v>
      </c>
      <c r="I1428" s="1" t="s">
        <v>34</v>
      </c>
      <c r="J1428" s="1" t="n">
        <f aca="false">K1427</f>
        <v>9073</v>
      </c>
      <c r="K1428" s="1" t="n">
        <f aca="false">J1428+L1428</f>
        <v>9100</v>
      </c>
      <c r="L1428" s="1" t="n">
        <v>27</v>
      </c>
      <c r="M1428" s="1" t="n">
        <f aca="false">(E1428+M1427)-N1428</f>
        <v>4.64999999999994</v>
      </c>
      <c r="N1428" s="1" t="n">
        <v>3.2</v>
      </c>
    </row>
    <row r="1429" customFormat="false" ht="15" hidden="false" customHeight="true" outlineLevel="0" collapsed="false">
      <c r="D1429" s="11" t="n">
        <v>45336</v>
      </c>
      <c r="H1429" s="1" t="s">
        <v>34</v>
      </c>
      <c r="I1429" s="1" t="s">
        <v>43</v>
      </c>
      <c r="J1429" s="1" t="n">
        <f aca="false">K1428</f>
        <v>9100</v>
      </c>
      <c r="K1429" s="1" t="n">
        <f aca="false">J1429+L1429</f>
        <v>9112</v>
      </c>
      <c r="L1429" s="1" t="n">
        <v>12</v>
      </c>
      <c r="M1429" s="1" t="n">
        <f aca="false">(E1429+M1428)-N1429</f>
        <v>3.39999999999994</v>
      </c>
      <c r="N1429" s="1" t="n">
        <v>1.25</v>
      </c>
    </row>
    <row r="1430" customFormat="false" ht="15" hidden="false" customHeight="true" outlineLevel="0" collapsed="false">
      <c r="D1430" s="11"/>
      <c r="H1430" s="1" t="s">
        <v>43</v>
      </c>
      <c r="I1430" s="1" t="s">
        <v>34</v>
      </c>
      <c r="J1430" s="1" t="n">
        <f aca="false">K1429</f>
        <v>9112</v>
      </c>
      <c r="K1430" s="1" t="n">
        <f aca="false">J1430+L1430</f>
        <v>9124</v>
      </c>
      <c r="L1430" s="1" t="n">
        <v>12</v>
      </c>
      <c r="M1430" s="1" t="n">
        <f aca="false">(E1430+M1429)-N1430</f>
        <v>2.14999999999994</v>
      </c>
      <c r="N1430" s="1" t="n">
        <v>1.25</v>
      </c>
    </row>
    <row r="1431" customFormat="false" ht="15" hidden="false" customHeight="true" outlineLevel="0" collapsed="false">
      <c r="D1431" s="11" t="n">
        <v>45337</v>
      </c>
      <c r="E1431" s="0" t="n">
        <v>48.46</v>
      </c>
      <c r="F1431" s="1" t="n">
        <v>55.75</v>
      </c>
      <c r="G1431" s="6" t="n">
        <f aca="false">E1431*F1431</f>
        <v>2701.645</v>
      </c>
      <c r="H1431" s="1" t="s">
        <v>34</v>
      </c>
      <c r="I1431" s="1" t="s">
        <v>65</v>
      </c>
      <c r="J1431" s="1" t="n">
        <f aca="false">K1430</f>
        <v>9124</v>
      </c>
      <c r="K1431" s="1" t="n">
        <f aca="false">J1431+L1431</f>
        <v>9204</v>
      </c>
      <c r="L1431" s="1" t="n">
        <v>80</v>
      </c>
      <c r="M1431" s="1" t="n">
        <f aca="false">(E1431+M1430)-N1431</f>
        <v>41.6099999999999</v>
      </c>
      <c r="N1431" s="1" t="n">
        <v>9</v>
      </c>
    </row>
    <row r="1432" customFormat="false" ht="15" hidden="false" customHeight="true" outlineLevel="0" collapsed="false">
      <c r="D1432" s="11"/>
      <c r="H1432" s="1" t="s">
        <v>65</v>
      </c>
      <c r="I1432" s="1" t="s">
        <v>34</v>
      </c>
      <c r="J1432" s="1" t="n">
        <f aca="false">K1431</f>
        <v>9204</v>
      </c>
      <c r="K1432" s="1" t="n">
        <f aca="false">J1432+L1432</f>
        <v>9284</v>
      </c>
      <c r="L1432" s="1" t="n">
        <v>80</v>
      </c>
      <c r="M1432" s="1" t="n">
        <f aca="false">(E1432+M1431)-N1432</f>
        <v>32.6099999999999</v>
      </c>
      <c r="N1432" s="1" t="n">
        <v>9</v>
      </c>
    </row>
    <row r="1433" customFormat="false" ht="15" hidden="false" customHeight="true" outlineLevel="0" collapsed="false">
      <c r="D1433" s="11" t="n">
        <v>45338</v>
      </c>
      <c r="H1433" s="1" t="s">
        <v>34</v>
      </c>
      <c r="I1433" s="1" t="s">
        <v>49</v>
      </c>
      <c r="J1433" s="1" t="n">
        <f aca="false">K1432</f>
        <v>9284</v>
      </c>
      <c r="K1433" s="1" t="n">
        <f aca="false">J1433+L1433</f>
        <v>9311</v>
      </c>
      <c r="L1433" s="1" t="n">
        <v>27</v>
      </c>
      <c r="M1433" s="1" t="n">
        <f aca="false">(E1433+M1432)-N1433</f>
        <v>29.4099999999999</v>
      </c>
      <c r="N1433" s="1" t="n">
        <v>3.2</v>
      </c>
    </row>
    <row r="1434" customFormat="false" ht="15" hidden="false" customHeight="true" outlineLevel="0" collapsed="false">
      <c r="D1434" s="11"/>
      <c r="H1434" s="1" t="s">
        <v>49</v>
      </c>
      <c r="I1434" s="1" t="s">
        <v>34</v>
      </c>
      <c r="J1434" s="1" t="n">
        <f aca="false">K1433</f>
        <v>9311</v>
      </c>
      <c r="K1434" s="1" t="n">
        <f aca="false">J1434+L1434</f>
        <v>9338</v>
      </c>
      <c r="L1434" s="1" t="n">
        <v>27</v>
      </c>
      <c r="M1434" s="1" t="n">
        <f aca="false">(E1434+M1433)-N1434</f>
        <v>26.2099999999999</v>
      </c>
      <c r="N1434" s="1" t="n">
        <v>3.2</v>
      </c>
    </row>
    <row r="1435" customFormat="false" ht="15" hidden="false" customHeight="true" outlineLevel="0" collapsed="false">
      <c r="D1435" s="11" t="n">
        <v>45341</v>
      </c>
      <c r="H1435" s="1" t="s">
        <v>34</v>
      </c>
      <c r="I1435" s="1" t="s">
        <v>54</v>
      </c>
      <c r="J1435" s="1" t="n">
        <f aca="false">K1434</f>
        <v>9338</v>
      </c>
      <c r="K1435" s="1" t="n">
        <f aca="false">J1435+L1435</f>
        <v>9365</v>
      </c>
      <c r="L1435" s="1" t="n">
        <v>27</v>
      </c>
      <c r="M1435" s="1" t="n">
        <f aca="false">(E1435+M1434)-N1435</f>
        <v>23.0099999999999</v>
      </c>
      <c r="N1435" s="1" t="n">
        <v>3.2</v>
      </c>
    </row>
    <row r="1436" customFormat="false" ht="15" hidden="false" customHeight="true" outlineLevel="0" collapsed="false">
      <c r="H1436" s="1" t="s">
        <v>54</v>
      </c>
      <c r="I1436" s="1" t="s">
        <v>34</v>
      </c>
      <c r="J1436" s="1" t="n">
        <f aca="false">K1435</f>
        <v>9365</v>
      </c>
      <c r="K1436" s="1" t="n">
        <f aca="false">J1436+L1436</f>
        <v>9392</v>
      </c>
      <c r="L1436" s="1" t="n">
        <v>27</v>
      </c>
      <c r="M1436" s="1" t="n">
        <f aca="false">(E1436+M1435)-N1436</f>
        <v>19.8099999999999</v>
      </c>
      <c r="N1436" s="1" t="n">
        <v>3.2</v>
      </c>
    </row>
    <row r="1437" customFormat="false" ht="15" hidden="false" customHeight="true" outlineLevel="0" collapsed="false">
      <c r="D1437" s="11" t="n">
        <v>45342</v>
      </c>
      <c r="H1437" s="1" t="s">
        <v>34</v>
      </c>
      <c r="I1437" s="1" t="s">
        <v>43</v>
      </c>
      <c r="J1437" s="1" t="n">
        <f aca="false">K1436</f>
        <v>9392</v>
      </c>
      <c r="K1437" s="1" t="n">
        <f aca="false">J1437+L1437</f>
        <v>9404</v>
      </c>
      <c r="L1437" s="1" t="n">
        <v>12</v>
      </c>
      <c r="M1437" s="1" t="n">
        <f aca="false">(E1437+M1436)-N1437</f>
        <v>18.5599999999999</v>
      </c>
      <c r="N1437" s="1" t="n">
        <v>1.25</v>
      </c>
    </row>
    <row r="1438" customFormat="false" ht="15" hidden="false" customHeight="true" outlineLevel="0" collapsed="false">
      <c r="H1438" s="1" t="s">
        <v>43</v>
      </c>
      <c r="I1438" s="1" t="s">
        <v>34</v>
      </c>
      <c r="J1438" s="1" t="n">
        <f aca="false">K1437</f>
        <v>9404</v>
      </c>
      <c r="K1438" s="1" t="n">
        <f aca="false">J1438+L1438</f>
        <v>9416</v>
      </c>
      <c r="L1438" s="1" t="n">
        <v>12</v>
      </c>
      <c r="M1438" s="1" t="n">
        <f aca="false">(E1438+M1437)-N1438</f>
        <v>17.3099999999999</v>
      </c>
      <c r="N1438" s="1" t="n">
        <v>1.25</v>
      </c>
    </row>
    <row r="1439" customFormat="false" ht="15" hidden="false" customHeight="true" outlineLevel="0" collapsed="false">
      <c r="D1439" s="11" t="n">
        <v>45343</v>
      </c>
      <c r="H1439" s="1" t="s">
        <v>34</v>
      </c>
      <c r="I1439" s="1" t="s">
        <v>54</v>
      </c>
      <c r="J1439" s="1" t="n">
        <f aca="false">K1438</f>
        <v>9416</v>
      </c>
      <c r="K1439" s="1" t="n">
        <f aca="false">J1439+L1439</f>
        <v>9443</v>
      </c>
      <c r="L1439" s="1" t="n">
        <v>27</v>
      </c>
      <c r="M1439" s="1" t="n">
        <f aca="false">(E1439+M1438)-N1439</f>
        <v>14.1099999999999</v>
      </c>
      <c r="N1439" s="1" t="n">
        <v>3.2</v>
      </c>
    </row>
    <row r="1440" customFormat="false" ht="15" hidden="false" customHeight="true" outlineLevel="0" collapsed="false">
      <c r="H1440" s="1" t="s">
        <v>54</v>
      </c>
      <c r="I1440" s="1" t="s">
        <v>34</v>
      </c>
      <c r="J1440" s="1" t="n">
        <f aca="false">K1439</f>
        <v>9443</v>
      </c>
      <c r="K1440" s="1" t="n">
        <f aca="false">J1440+L1440</f>
        <v>9470</v>
      </c>
      <c r="L1440" s="1" t="n">
        <v>27</v>
      </c>
      <c r="M1440" s="1" t="n">
        <f aca="false">(E1440+M1439)-N1440</f>
        <v>10.9099999999999</v>
      </c>
      <c r="N1440" s="1" t="n">
        <v>3.2</v>
      </c>
    </row>
    <row r="1441" customFormat="false" ht="15" hidden="false" customHeight="true" outlineLevel="0" collapsed="false">
      <c r="D1441" s="11" t="n">
        <v>45344</v>
      </c>
      <c r="H1441" s="1" t="s">
        <v>34</v>
      </c>
      <c r="I1441" s="1" t="s">
        <v>35</v>
      </c>
      <c r="J1441" s="1" t="n">
        <f aca="false">K1440</f>
        <v>9470</v>
      </c>
      <c r="K1441" s="1" t="n">
        <f aca="false">J1441+L1441</f>
        <v>9482</v>
      </c>
      <c r="L1441" s="1" t="n">
        <v>12</v>
      </c>
      <c r="M1441" s="1" t="n">
        <f aca="false">(E1441+M1440)-N1441</f>
        <v>9.65999999999995</v>
      </c>
      <c r="N1441" s="1" t="n">
        <v>1.25</v>
      </c>
    </row>
    <row r="1442" customFormat="false" ht="15" hidden="false" customHeight="true" outlineLevel="0" collapsed="false">
      <c r="D1442" s="11"/>
      <c r="H1442" s="1" t="s">
        <v>35</v>
      </c>
      <c r="I1442" s="1" t="s">
        <v>34</v>
      </c>
      <c r="J1442" s="1" t="n">
        <f aca="false">K1441</f>
        <v>9482</v>
      </c>
      <c r="K1442" s="1" t="n">
        <f aca="false">J1442+L1442</f>
        <v>9494</v>
      </c>
      <c r="L1442" s="1" t="n">
        <v>12</v>
      </c>
      <c r="M1442" s="1" t="n">
        <f aca="false">(E1442+M1441)-N1442</f>
        <v>8.40999999999995</v>
      </c>
      <c r="N1442" s="1" t="n">
        <v>1.25</v>
      </c>
    </row>
    <row r="1443" customFormat="false" ht="15" hidden="false" customHeight="true" outlineLevel="0" collapsed="false">
      <c r="D1443" s="11" t="n">
        <v>45348</v>
      </c>
      <c r="H1443" s="1" t="s">
        <v>34</v>
      </c>
      <c r="I1443" s="1" t="s">
        <v>61</v>
      </c>
      <c r="J1443" s="1" t="n">
        <f aca="false">K1442</f>
        <v>9494</v>
      </c>
      <c r="K1443" s="1" t="n">
        <f aca="false">J1443+L1443</f>
        <v>9500</v>
      </c>
      <c r="L1443" s="1" t="n">
        <v>6</v>
      </c>
      <c r="M1443" s="1" t="n">
        <f aca="false">(E1443+M1442)-N1443</f>
        <v>7.70999999999995</v>
      </c>
      <c r="N1443" s="1" t="n">
        <v>0.7</v>
      </c>
    </row>
    <row r="1444" customFormat="false" ht="15" hidden="false" customHeight="true" outlineLevel="0" collapsed="false">
      <c r="D1444" s="11"/>
      <c r="H1444" s="1" t="s">
        <v>61</v>
      </c>
      <c r="I1444" s="1" t="s">
        <v>34</v>
      </c>
      <c r="J1444" s="1" t="n">
        <f aca="false">K1443</f>
        <v>9500</v>
      </c>
      <c r="K1444" s="1" t="n">
        <f aca="false">J1444+L1444</f>
        <v>9506</v>
      </c>
      <c r="L1444" s="1" t="n">
        <v>6</v>
      </c>
      <c r="M1444" s="1" t="n">
        <f aca="false">(E1444+M1443)-N1444</f>
        <v>7.00999999999995</v>
      </c>
      <c r="N1444" s="1" t="n">
        <v>0.7</v>
      </c>
    </row>
    <row r="1445" customFormat="false" ht="15" hidden="false" customHeight="true" outlineLevel="0" collapsed="false">
      <c r="D1445" s="11" t="n">
        <v>45349</v>
      </c>
      <c r="H1445" s="1" t="s">
        <v>34</v>
      </c>
      <c r="I1445" s="1" t="s">
        <v>49</v>
      </c>
      <c r="J1445" s="1" t="n">
        <f aca="false">K1444</f>
        <v>9506</v>
      </c>
      <c r="K1445" s="1" t="n">
        <f aca="false">J1445+L1445</f>
        <v>9533</v>
      </c>
      <c r="L1445" s="1" t="n">
        <v>27</v>
      </c>
      <c r="M1445" s="1" t="n">
        <f aca="false">(E1445+M1444)-N1445</f>
        <v>3.80999999999995</v>
      </c>
      <c r="N1445" s="1" t="n">
        <v>3.2</v>
      </c>
    </row>
    <row r="1446" customFormat="false" ht="15" hidden="false" customHeight="true" outlineLevel="0" collapsed="false">
      <c r="D1446" s="11"/>
      <c r="H1446" s="1" t="s">
        <v>49</v>
      </c>
      <c r="I1446" s="1" t="s">
        <v>34</v>
      </c>
      <c r="J1446" s="1" t="n">
        <f aca="false">K1445</f>
        <v>9533</v>
      </c>
      <c r="K1446" s="1" t="n">
        <f aca="false">J1446+L1446</f>
        <v>9560</v>
      </c>
      <c r="L1446" s="1" t="n">
        <v>27</v>
      </c>
      <c r="M1446" s="1" t="n">
        <f aca="false">(E1446+M1445)-N1446</f>
        <v>0.609999999999946</v>
      </c>
      <c r="N1446" s="1" t="n">
        <v>3.2</v>
      </c>
    </row>
    <row r="1447" customFormat="false" ht="15" hidden="false" customHeight="true" outlineLevel="0" collapsed="false">
      <c r="D1447" s="11" t="n">
        <v>45350</v>
      </c>
      <c r="E1447" s="0" t="n">
        <v>47.61</v>
      </c>
      <c r="F1447" s="1" t="n">
        <v>55.4</v>
      </c>
      <c r="G1447" s="6" t="n">
        <f aca="false">E1447*F1447</f>
        <v>2637.594</v>
      </c>
      <c r="H1447" s="1" t="s">
        <v>34</v>
      </c>
      <c r="I1447" s="1" t="s">
        <v>44</v>
      </c>
      <c r="J1447" s="1" t="n">
        <f aca="false">K1446</f>
        <v>9560</v>
      </c>
      <c r="K1447" s="1" t="n">
        <f aca="false">J1447+L1447</f>
        <v>9600</v>
      </c>
      <c r="L1447" s="1" t="n">
        <v>40</v>
      </c>
      <c r="M1447" s="1" t="n">
        <f aca="false">(E1447+M1446)-N1447</f>
        <v>43.4199999999999</v>
      </c>
      <c r="N1447" s="1" t="n">
        <v>4.8</v>
      </c>
    </row>
    <row r="1448" customFormat="false" ht="15" hidden="false" customHeight="true" outlineLevel="0" collapsed="false">
      <c r="D1448" s="11"/>
      <c r="H1448" s="1" t="s">
        <v>44</v>
      </c>
      <c r="I1448" s="1" t="s">
        <v>34</v>
      </c>
      <c r="J1448" s="1" t="n">
        <f aca="false">K1447</f>
        <v>9600</v>
      </c>
      <c r="K1448" s="1" t="n">
        <f aca="false">J1448+L1448</f>
        <v>9640</v>
      </c>
      <c r="L1448" s="1" t="n">
        <v>40</v>
      </c>
      <c r="M1448" s="1" t="n">
        <f aca="false">(E1448+M1447)-N1448</f>
        <v>38.62</v>
      </c>
      <c r="N1448" s="1" t="n">
        <v>4.8</v>
      </c>
    </row>
    <row r="1449" customFormat="false" ht="15" hidden="false" customHeight="true" outlineLevel="0" collapsed="false">
      <c r="D1449" s="11" t="n">
        <v>45351</v>
      </c>
      <c r="H1449" s="1" t="s">
        <v>34</v>
      </c>
      <c r="I1449" s="1" t="s">
        <v>65</v>
      </c>
      <c r="J1449" s="1" t="n">
        <f aca="false">K1448</f>
        <v>9640</v>
      </c>
      <c r="K1449" s="1" t="n">
        <f aca="false">J1449+L1449</f>
        <v>9720</v>
      </c>
      <c r="L1449" s="1" t="n">
        <v>80</v>
      </c>
      <c r="M1449" s="1" t="n">
        <f aca="false">(E1449+M1448)-N1449</f>
        <v>29.6199999999999</v>
      </c>
      <c r="N1449" s="1" t="n">
        <v>9</v>
      </c>
    </row>
    <row r="1450" customFormat="false" ht="15" hidden="false" customHeight="true" outlineLevel="0" collapsed="false">
      <c r="D1450" s="11"/>
      <c r="H1450" s="1" t="s">
        <v>65</v>
      </c>
      <c r="I1450" s="1" t="s">
        <v>34</v>
      </c>
      <c r="J1450" s="1" t="n">
        <f aca="false">K1449</f>
        <v>9720</v>
      </c>
      <c r="K1450" s="1" t="n">
        <f aca="false">J1450+L1450</f>
        <v>9800</v>
      </c>
      <c r="L1450" s="1" t="n">
        <v>80</v>
      </c>
      <c r="M1450" s="1" t="n">
        <f aca="false">(E1450+M1449)-N1450</f>
        <v>20.6199999999999</v>
      </c>
      <c r="N1450" s="1" t="n">
        <v>9</v>
      </c>
    </row>
    <row r="1451" customFormat="false" ht="15" hidden="false" customHeight="true" outlineLevel="0" collapsed="false">
      <c r="D1451" s="11"/>
    </row>
    <row r="1452" customFormat="false" ht="15" hidden="false" customHeight="true" outlineLevel="0" collapsed="false">
      <c r="D1452" s="4" t="s">
        <v>76</v>
      </c>
      <c r="E1452" s="4"/>
      <c r="F1452" s="4"/>
      <c r="G1452" s="4"/>
    </row>
    <row r="1453" customFormat="false" ht="15" hidden="false" customHeight="true" outlineLevel="0" collapsed="false">
      <c r="D1453" s="11" t="n">
        <v>45352</v>
      </c>
      <c r="H1453" s="1" t="s">
        <v>34</v>
      </c>
      <c r="I1453" s="1" t="s">
        <v>44</v>
      </c>
      <c r="J1453" s="1" t="n">
        <f aca="false">K1450</f>
        <v>9800</v>
      </c>
      <c r="K1453" s="1" t="n">
        <f aca="false">J1453+L1453</f>
        <v>9840</v>
      </c>
      <c r="L1453" s="1" t="n">
        <v>40</v>
      </c>
      <c r="M1453" s="1" t="n">
        <f aca="false">(E1453+M1450)-N1453</f>
        <v>15.8199999999999</v>
      </c>
      <c r="N1453" s="1" t="n">
        <v>4.8</v>
      </c>
    </row>
    <row r="1454" customFormat="false" ht="15" hidden="false" customHeight="true" outlineLevel="0" collapsed="false">
      <c r="D1454" s="11"/>
      <c r="H1454" s="1" t="s">
        <v>44</v>
      </c>
      <c r="I1454" s="1" t="s">
        <v>34</v>
      </c>
      <c r="J1454" s="1" t="n">
        <f aca="false">K1453</f>
        <v>9840</v>
      </c>
      <c r="K1454" s="1" t="n">
        <f aca="false">J1454+L1454</f>
        <v>9880</v>
      </c>
      <c r="L1454" s="1" t="n">
        <v>40</v>
      </c>
      <c r="M1454" s="1" t="n">
        <f aca="false">(E1454+M1453)-N1454</f>
        <v>11.0199999999999</v>
      </c>
      <c r="N1454" s="1" t="n">
        <v>4.8</v>
      </c>
    </row>
    <row r="1455" customFormat="false" ht="15" hidden="false" customHeight="true" outlineLevel="0" collapsed="false">
      <c r="D1455" s="11" t="n">
        <v>45355</v>
      </c>
      <c r="H1455" s="1" t="s">
        <v>34</v>
      </c>
      <c r="I1455" s="1" t="s">
        <v>54</v>
      </c>
      <c r="J1455" s="1" t="n">
        <f aca="false">K1454</f>
        <v>9880</v>
      </c>
      <c r="K1455" s="1" t="n">
        <f aca="false">J1455+L1455</f>
        <v>9907</v>
      </c>
      <c r="L1455" s="1" t="n">
        <v>27</v>
      </c>
      <c r="M1455" s="1" t="n">
        <f aca="false">(E1455+M1454)-N1455</f>
        <v>7.81999999999995</v>
      </c>
      <c r="N1455" s="1" t="n">
        <v>3.2</v>
      </c>
    </row>
    <row r="1456" customFormat="false" ht="15" hidden="false" customHeight="true" outlineLevel="0" collapsed="false">
      <c r="D1456" s="11"/>
      <c r="H1456" s="1" t="s">
        <v>54</v>
      </c>
      <c r="I1456" s="1" t="s">
        <v>34</v>
      </c>
      <c r="J1456" s="1" t="n">
        <f aca="false">K1455</f>
        <v>9907</v>
      </c>
      <c r="K1456" s="1" t="n">
        <f aca="false">J1456+L1456</f>
        <v>9934</v>
      </c>
      <c r="L1456" s="1" t="n">
        <v>27</v>
      </c>
      <c r="M1456" s="1" t="n">
        <f aca="false">(E1456+M1455)-N1456</f>
        <v>4.61999999999995</v>
      </c>
      <c r="N1456" s="1" t="n">
        <v>3.2</v>
      </c>
    </row>
    <row r="1457" customFormat="false" ht="15" hidden="false" customHeight="true" outlineLevel="0" collapsed="false">
      <c r="D1457" s="11" t="n">
        <v>45356</v>
      </c>
      <c r="H1457" s="1" t="s">
        <v>34</v>
      </c>
      <c r="I1457" s="1" t="s">
        <v>61</v>
      </c>
      <c r="J1457" s="1" t="n">
        <f aca="false">K1456</f>
        <v>9934</v>
      </c>
      <c r="K1457" s="1" t="n">
        <f aca="false">J1457+L1457</f>
        <v>9940</v>
      </c>
      <c r="L1457" s="1" t="n">
        <v>6</v>
      </c>
      <c r="M1457" s="1" t="n">
        <f aca="false">(E1457+M1456)-N1457</f>
        <v>3.91999999999995</v>
      </c>
      <c r="N1457" s="1" t="n">
        <v>0.7</v>
      </c>
    </row>
    <row r="1458" customFormat="false" ht="15" hidden="false" customHeight="true" outlineLevel="0" collapsed="false">
      <c r="D1458" s="11"/>
      <c r="H1458" s="1" t="s">
        <v>61</v>
      </c>
      <c r="I1458" s="1" t="s">
        <v>34</v>
      </c>
      <c r="J1458" s="1" t="n">
        <f aca="false">K1457</f>
        <v>9940</v>
      </c>
      <c r="K1458" s="1" t="n">
        <f aca="false">J1458+L1458</f>
        <v>9946</v>
      </c>
      <c r="L1458" s="1" t="n">
        <v>6</v>
      </c>
      <c r="M1458" s="1" t="n">
        <f aca="false">(E1458+M1457)-N1458</f>
        <v>3.21999999999995</v>
      </c>
      <c r="N1458" s="1" t="n">
        <v>0.7</v>
      </c>
    </row>
    <row r="1459" customFormat="false" ht="15" hidden="false" customHeight="true" outlineLevel="0" collapsed="false">
      <c r="D1459" s="11" t="n">
        <v>45357</v>
      </c>
      <c r="H1459" s="1" t="s">
        <v>34</v>
      </c>
      <c r="I1459" s="1" t="s">
        <v>35</v>
      </c>
      <c r="J1459" s="1" t="n">
        <f aca="false">K1458</f>
        <v>9946</v>
      </c>
      <c r="K1459" s="1" t="n">
        <f aca="false">J1459+L1459</f>
        <v>9958</v>
      </c>
      <c r="L1459" s="1" t="n">
        <v>12</v>
      </c>
      <c r="M1459" s="1" t="n">
        <f aca="false">(E1459+M1458)-N1459</f>
        <v>1.96999999999995</v>
      </c>
      <c r="N1459" s="1" t="n">
        <v>1.25</v>
      </c>
    </row>
    <row r="1460" customFormat="false" ht="15" hidden="false" customHeight="true" outlineLevel="0" collapsed="false">
      <c r="D1460" s="11"/>
      <c r="H1460" s="1" t="s">
        <v>35</v>
      </c>
      <c r="I1460" s="1" t="s">
        <v>34</v>
      </c>
      <c r="J1460" s="1" t="n">
        <f aca="false">K1459</f>
        <v>9958</v>
      </c>
      <c r="K1460" s="1" t="n">
        <f aca="false">J1460+L1460</f>
        <v>9970</v>
      </c>
      <c r="L1460" s="1" t="n">
        <v>12</v>
      </c>
      <c r="M1460" s="1" t="n">
        <f aca="false">(E1460+M1459)-N1460</f>
        <v>0.719999999999946</v>
      </c>
      <c r="N1460" s="1" t="n">
        <v>1.25</v>
      </c>
    </row>
    <row r="1461" customFormat="false" ht="15" hidden="false" customHeight="true" outlineLevel="0" collapsed="false">
      <c r="D1461" s="11" t="n">
        <v>45358</v>
      </c>
      <c r="E1461" s="0" t="n">
        <v>27.19</v>
      </c>
      <c r="F1461" s="1" t="n">
        <v>55.75</v>
      </c>
      <c r="G1461" s="6" t="n">
        <f aca="false">E1461*F1461</f>
        <v>1515.8425</v>
      </c>
      <c r="H1461" s="1" t="s">
        <v>34</v>
      </c>
      <c r="I1461" s="1" t="s">
        <v>65</v>
      </c>
      <c r="J1461" s="1" t="n">
        <f aca="false">K1460</f>
        <v>9970</v>
      </c>
      <c r="K1461" s="1" t="n">
        <f aca="false">J1461+L1461</f>
        <v>10050</v>
      </c>
      <c r="L1461" s="1" t="n">
        <v>80</v>
      </c>
      <c r="M1461" s="1" t="n">
        <f aca="false">(E1461+M1460)-N1461</f>
        <v>18.9099999999999</v>
      </c>
      <c r="N1461" s="1" t="n">
        <v>9</v>
      </c>
    </row>
    <row r="1462" customFormat="false" ht="15" hidden="false" customHeight="true" outlineLevel="0" collapsed="false">
      <c r="D1462" s="11"/>
      <c r="G1462" s="6"/>
      <c r="H1462" s="1" t="s">
        <v>65</v>
      </c>
      <c r="I1462" s="1" t="s">
        <v>34</v>
      </c>
      <c r="J1462" s="1" t="n">
        <f aca="false">K1461</f>
        <v>10050</v>
      </c>
      <c r="K1462" s="1" t="n">
        <f aca="false">J1462+L1462</f>
        <v>10130</v>
      </c>
      <c r="L1462" s="1" t="n">
        <v>80</v>
      </c>
      <c r="M1462" s="1" t="n">
        <f aca="false">(E1462+M1461)-N1462</f>
        <v>9.90999999999995</v>
      </c>
      <c r="N1462" s="1" t="n">
        <v>9</v>
      </c>
    </row>
    <row r="1463" customFormat="false" ht="15" hidden="false" customHeight="true" outlineLevel="0" collapsed="false">
      <c r="D1463" s="11" t="n">
        <v>45362</v>
      </c>
      <c r="H1463" s="1" t="s">
        <v>34</v>
      </c>
      <c r="I1463" s="1" t="s">
        <v>54</v>
      </c>
      <c r="J1463" s="1" t="n">
        <f aca="false">K1462</f>
        <v>10130</v>
      </c>
      <c r="K1463" s="1" t="n">
        <f aca="false">J1463+L1463</f>
        <v>10157</v>
      </c>
      <c r="L1463" s="1" t="n">
        <v>27</v>
      </c>
      <c r="M1463" s="1" t="n">
        <f aca="false">(E1463+M1462)-N1463</f>
        <v>6.70999999999995</v>
      </c>
      <c r="N1463" s="1" t="n">
        <v>3.2</v>
      </c>
    </row>
    <row r="1464" customFormat="false" ht="15" hidden="false" customHeight="true" outlineLevel="0" collapsed="false">
      <c r="D1464" s="11"/>
      <c r="H1464" s="1" t="s">
        <v>54</v>
      </c>
      <c r="I1464" s="1" t="s">
        <v>34</v>
      </c>
      <c r="J1464" s="1" t="n">
        <f aca="false">K1463</f>
        <v>10157</v>
      </c>
      <c r="K1464" s="1" t="n">
        <f aca="false">J1464+L1464</f>
        <v>10184</v>
      </c>
      <c r="L1464" s="1" t="n">
        <v>27</v>
      </c>
      <c r="M1464" s="1" t="n">
        <f aca="false">(E1464+M1463)-N1464</f>
        <v>3.50999999999995</v>
      </c>
      <c r="N1464" s="1" t="n">
        <v>3.2</v>
      </c>
    </row>
    <row r="1465" customFormat="false" ht="15" hidden="false" customHeight="true" outlineLevel="0" collapsed="false">
      <c r="D1465" s="11" t="n">
        <v>45363</v>
      </c>
      <c r="H1465" s="1" t="s">
        <v>34</v>
      </c>
      <c r="I1465" s="1" t="s">
        <v>35</v>
      </c>
      <c r="J1465" s="1" t="n">
        <f aca="false">K1464</f>
        <v>10184</v>
      </c>
      <c r="K1465" s="1" t="n">
        <f aca="false">J1465+L1465</f>
        <v>10196</v>
      </c>
      <c r="L1465" s="1" t="n">
        <v>12</v>
      </c>
      <c r="M1465" s="1" t="n">
        <f aca="false">(E1465+M1464)-N1465</f>
        <v>2.25999999999995</v>
      </c>
      <c r="N1465" s="1" t="n">
        <v>1.25</v>
      </c>
    </row>
    <row r="1466" customFormat="false" ht="15" hidden="false" customHeight="true" outlineLevel="0" collapsed="false">
      <c r="D1466" s="11"/>
      <c r="H1466" s="1" t="s">
        <v>35</v>
      </c>
      <c r="I1466" s="1" t="s">
        <v>34</v>
      </c>
      <c r="J1466" s="1" t="n">
        <f aca="false">K1465</f>
        <v>10196</v>
      </c>
      <c r="K1466" s="1" t="n">
        <f aca="false">J1466+L1466</f>
        <v>10208</v>
      </c>
      <c r="L1466" s="1" t="n">
        <v>12</v>
      </c>
      <c r="M1466" s="1" t="n">
        <f aca="false">(E1466+M1465)-N1466</f>
        <v>1.00999999999995</v>
      </c>
      <c r="N1466" s="1" t="n">
        <v>1.25</v>
      </c>
    </row>
    <row r="1467" customFormat="false" ht="15" hidden="false" customHeight="true" outlineLevel="0" collapsed="false">
      <c r="D1467" s="11" t="n">
        <v>45364</v>
      </c>
      <c r="E1467" s="0" t="n">
        <v>46.05</v>
      </c>
      <c r="F1467" s="1" t="n">
        <v>55.75</v>
      </c>
      <c r="G1467" s="6" t="n">
        <f aca="false">E1467*F1467</f>
        <v>2567.2875</v>
      </c>
      <c r="H1467" s="1" t="s">
        <v>34</v>
      </c>
      <c r="I1467" s="1" t="s">
        <v>65</v>
      </c>
      <c r="J1467" s="1" t="n">
        <f aca="false">K1466</f>
        <v>10208</v>
      </c>
      <c r="K1467" s="1" t="n">
        <f aca="false">J1467+L1467</f>
        <v>10288</v>
      </c>
      <c r="L1467" s="1" t="n">
        <v>80</v>
      </c>
      <c r="M1467" s="1" t="n">
        <f aca="false">(E1467+M1466)-N1467</f>
        <v>38.0599999999999</v>
      </c>
      <c r="N1467" s="1" t="n">
        <v>9</v>
      </c>
    </row>
    <row r="1468" customFormat="false" ht="15" hidden="false" customHeight="true" outlineLevel="0" collapsed="false">
      <c r="D1468" s="11"/>
      <c r="G1468" s="6"/>
      <c r="H1468" s="1" t="s">
        <v>65</v>
      </c>
      <c r="I1468" s="1" t="s">
        <v>34</v>
      </c>
      <c r="J1468" s="1" t="n">
        <f aca="false">K1467</f>
        <v>10288</v>
      </c>
      <c r="K1468" s="1" t="n">
        <f aca="false">J1468+L1468</f>
        <v>10368</v>
      </c>
      <c r="L1468" s="1" t="n">
        <v>80</v>
      </c>
      <c r="M1468" s="1" t="n">
        <f aca="false">(E1468+M1467)-N1468</f>
        <v>29.0599999999999</v>
      </c>
      <c r="N1468" s="1" t="n">
        <v>9</v>
      </c>
    </row>
    <row r="1469" customFormat="false" ht="15" hidden="false" customHeight="true" outlineLevel="0" collapsed="false">
      <c r="D1469" s="11" t="n">
        <v>45365</v>
      </c>
      <c r="H1469" s="1" t="s">
        <v>34</v>
      </c>
      <c r="I1469" s="1" t="s">
        <v>49</v>
      </c>
      <c r="J1469" s="1" t="n">
        <f aca="false">K1468</f>
        <v>10368</v>
      </c>
      <c r="K1469" s="1" t="n">
        <f aca="false">J1469+L1469</f>
        <v>10395</v>
      </c>
      <c r="L1469" s="1" t="n">
        <v>27</v>
      </c>
      <c r="M1469" s="1" t="n">
        <f aca="false">(E1469+M1468)-N1469</f>
        <v>25.8599999999999</v>
      </c>
      <c r="N1469" s="1" t="n">
        <v>3.2</v>
      </c>
    </row>
    <row r="1470" customFormat="false" ht="15" hidden="false" customHeight="true" outlineLevel="0" collapsed="false">
      <c r="D1470" s="11"/>
      <c r="H1470" s="1" t="s">
        <v>49</v>
      </c>
      <c r="I1470" s="1" t="s">
        <v>34</v>
      </c>
      <c r="J1470" s="1" t="n">
        <f aca="false">K1469</f>
        <v>10395</v>
      </c>
      <c r="K1470" s="1" t="n">
        <f aca="false">J1470+L1470</f>
        <v>10422</v>
      </c>
      <c r="L1470" s="1" t="n">
        <v>27</v>
      </c>
      <c r="M1470" s="1" t="n">
        <f aca="false">(E1470+M1469)-N1470</f>
        <v>22.6599999999999</v>
      </c>
      <c r="N1470" s="1" t="n">
        <v>3.2</v>
      </c>
    </row>
    <row r="1471" customFormat="false" ht="15" hidden="false" customHeight="true" outlineLevel="0" collapsed="false">
      <c r="D1471" s="11" t="n">
        <v>45366</v>
      </c>
      <c r="H1471" s="1" t="s">
        <v>34</v>
      </c>
      <c r="I1471" s="1" t="s">
        <v>54</v>
      </c>
      <c r="J1471" s="1" t="n">
        <f aca="false">K1470</f>
        <v>10422</v>
      </c>
      <c r="K1471" s="1" t="n">
        <f aca="false">J1471+L1471</f>
        <v>10449</v>
      </c>
      <c r="L1471" s="1" t="n">
        <v>27</v>
      </c>
      <c r="M1471" s="1" t="n">
        <f aca="false">(E1471+M1470)-N1471</f>
        <v>19.4599999999999</v>
      </c>
      <c r="N1471" s="1" t="n">
        <v>3.2</v>
      </c>
    </row>
    <row r="1472" customFormat="false" ht="15" hidden="false" customHeight="true" outlineLevel="0" collapsed="false">
      <c r="D1472" s="11"/>
      <c r="H1472" s="1" t="s">
        <v>54</v>
      </c>
      <c r="I1472" s="1" t="s">
        <v>34</v>
      </c>
      <c r="J1472" s="1" t="n">
        <f aca="false">K1471</f>
        <v>10449</v>
      </c>
      <c r="K1472" s="1" t="n">
        <f aca="false">J1472+L1472</f>
        <v>10476</v>
      </c>
      <c r="L1472" s="1" t="n">
        <v>27</v>
      </c>
      <c r="M1472" s="1" t="n">
        <f aca="false">(E1472+M1471)-N1472</f>
        <v>16.26</v>
      </c>
      <c r="N1472" s="1" t="n">
        <v>3.2</v>
      </c>
    </row>
    <row r="1473" customFormat="false" ht="15" hidden="false" customHeight="true" outlineLevel="0" collapsed="false">
      <c r="D1473" s="11" t="n">
        <v>45369</v>
      </c>
      <c r="H1473" s="1" t="s">
        <v>34</v>
      </c>
      <c r="I1473" s="1" t="s">
        <v>35</v>
      </c>
      <c r="J1473" s="1" t="n">
        <f aca="false">K1472</f>
        <v>10476</v>
      </c>
      <c r="K1473" s="1" t="n">
        <f aca="false">J1473+L1473</f>
        <v>10488</v>
      </c>
      <c r="L1473" s="1" t="n">
        <v>12</v>
      </c>
      <c r="M1473" s="1" t="n">
        <f aca="false">(E1473+M1472)-N1473</f>
        <v>15.0099999999999</v>
      </c>
      <c r="N1473" s="1" t="n">
        <v>1.25</v>
      </c>
    </row>
    <row r="1474" customFormat="false" ht="15" hidden="false" customHeight="true" outlineLevel="0" collapsed="false">
      <c r="D1474" s="11"/>
      <c r="H1474" s="1" t="s">
        <v>35</v>
      </c>
      <c r="I1474" s="1" t="s">
        <v>34</v>
      </c>
      <c r="J1474" s="1" t="n">
        <f aca="false">K1473</f>
        <v>10488</v>
      </c>
      <c r="K1474" s="1" t="n">
        <f aca="false">J1474+L1474</f>
        <v>10500</v>
      </c>
      <c r="L1474" s="1" t="n">
        <v>12</v>
      </c>
      <c r="M1474" s="1" t="n">
        <f aca="false">(E1474+M1473)-N1474</f>
        <v>13.7599999999999</v>
      </c>
      <c r="N1474" s="1" t="n">
        <v>1.25</v>
      </c>
    </row>
    <row r="1475" customFormat="false" ht="15" hidden="false" customHeight="true" outlineLevel="0" collapsed="false">
      <c r="D1475" s="11" t="n">
        <v>45370</v>
      </c>
      <c r="H1475" s="1" t="s">
        <v>34</v>
      </c>
      <c r="I1475" s="1" t="s">
        <v>43</v>
      </c>
      <c r="J1475" s="1" t="n">
        <f aca="false">K1474</f>
        <v>10500</v>
      </c>
      <c r="K1475" s="1" t="n">
        <f aca="false">J1475+L1475</f>
        <v>10512</v>
      </c>
      <c r="L1475" s="1" t="n">
        <v>12</v>
      </c>
      <c r="M1475" s="1" t="n">
        <f aca="false">(E1475+M1474)-N1475</f>
        <v>12.5099999999999</v>
      </c>
      <c r="N1475" s="1" t="n">
        <v>1.25</v>
      </c>
    </row>
    <row r="1476" customFormat="false" ht="15" hidden="false" customHeight="true" outlineLevel="0" collapsed="false">
      <c r="D1476" s="11"/>
      <c r="H1476" s="1" t="s">
        <v>43</v>
      </c>
      <c r="I1476" s="1" t="s">
        <v>34</v>
      </c>
      <c r="J1476" s="1" t="n">
        <f aca="false">K1475</f>
        <v>10512</v>
      </c>
      <c r="K1476" s="1" t="n">
        <f aca="false">J1476+L1476</f>
        <v>10524</v>
      </c>
      <c r="L1476" s="1" t="n">
        <v>12</v>
      </c>
      <c r="M1476" s="1" t="n">
        <f aca="false">(E1476+M1475)-N1476</f>
        <v>11.2599999999999</v>
      </c>
      <c r="N1476" s="1" t="n">
        <v>1.25</v>
      </c>
    </row>
    <row r="1477" customFormat="false" ht="15" hidden="false" customHeight="true" outlineLevel="0" collapsed="false">
      <c r="D1477" s="11" t="n">
        <v>45371</v>
      </c>
      <c r="H1477" s="1" t="s">
        <v>34</v>
      </c>
      <c r="I1477" s="1" t="s">
        <v>59</v>
      </c>
      <c r="J1477" s="1" t="n">
        <f aca="false">K1476</f>
        <v>10524</v>
      </c>
      <c r="K1477" s="1" t="n">
        <f aca="false">J1477+L1477</f>
        <v>10551</v>
      </c>
      <c r="L1477" s="1" t="n">
        <v>27</v>
      </c>
      <c r="M1477" s="1" t="n">
        <f aca="false">(E1477+M1476)-N1477</f>
        <v>8.05999999999995</v>
      </c>
      <c r="N1477" s="1" t="n">
        <v>3.2</v>
      </c>
    </row>
    <row r="1478" customFormat="false" ht="15" hidden="false" customHeight="true" outlineLevel="0" collapsed="false">
      <c r="D1478" s="11"/>
      <c r="H1478" s="1" t="s">
        <v>59</v>
      </c>
      <c r="I1478" s="1" t="s">
        <v>34</v>
      </c>
      <c r="J1478" s="1" t="n">
        <f aca="false">K1477</f>
        <v>10551</v>
      </c>
      <c r="K1478" s="1" t="n">
        <f aca="false">J1478+L1478</f>
        <v>10578</v>
      </c>
      <c r="L1478" s="1" t="n">
        <v>27</v>
      </c>
      <c r="M1478" s="1" t="n">
        <f aca="false">(E1478+M1477)-N1478</f>
        <v>4.85999999999995</v>
      </c>
      <c r="N1478" s="1" t="n">
        <v>3.2</v>
      </c>
    </row>
    <row r="1479" customFormat="false" ht="15" hidden="false" customHeight="true" outlineLevel="0" collapsed="false">
      <c r="D1479" s="11" t="n">
        <v>45372</v>
      </c>
      <c r="H1479" s="1" t="s">
        <v>34</v>
      </c>
      <c r="I1479" s="1" t="s">
        <v>35</v>
      </c>
      <c r="J1479" s="1" t="n">
        <f aca="false">K1478</f>
        <v>10578</v>
      </c>
      <c r="K1479" s="1" t="n">
        <f aca="false">J1479+L1479</f>
        <v>10590</v>
      </c>
      <c r="L1479" s="1" t="n">
        <v>12</v>
      </c>
      <c r="M1479" s="1" t="n">
        <f aca="false">(E1479+M1478)-N1479</f>
        <v>3.60999999999995</v>
      </c>
      <c r="N1479" s="1" t="n">
        <v>1.25</v>
      </c>
    </row>
    <row r="1480" customFormat="false" ht="15" hidden="false" customHeight="true" outlineLevel="0" collapsed="false">
      <c r="D1480" s="11"/>
      <c r="H1480" s="1" t="s">
        <v>35</v>
      </c>
      <c r="I1480" s="1" t="s">
        <v>34</v>
      </c>
      <c r="J1480" s="1" t="n">
        <f aca="false">K1479</f>
        <v>10590</v>
      </c>
      <c r="K1480" s="1" t="n">
        <f aca="false">J1480+L1480</f>
        <v>10602</v>
      </c>
      <c r="L1480" s="1" t="n">
        <v>12</v>
      </c>
      <c r="M1480" s="1" t="n">
        <f aca="false">(E1480+M1479)-N1480</f>
        <v>2.35999999999995</v>
      </c>
      <c r="N1480" s="1" t="n">
        <v>1.25</v>
      </c>
    </row>
    <row r="1481" customFormat="false" ht="15" hidden="false" customHeight="true" outlineLevel="0" collapsed="false">
      <c r="D1481" s="11" t="n">
        <v>45373</v>
      </c>
      <c r="E1481" s="0" t="n">
        <v>46.92</v>
      </c>
      <c r="F1481" s="1" t="n">
        <v>55.4</v>
      </c>
      <c r="G1481" s="6" t="n">
        <f aca="false">E1481*F1481</f>
        <v>2599.368</v>
      </c>
      <c r="H1481" s="1" t="s">
        <v>34</v>
      </c>
      <c r="I1481" s="1" t="s">
        <v>43</v>
      </c>
      <c r="J1481" s="1" t="n">
        <f aca="false">K1480</f>
        <v>10602</v>
      </c>
      <c r="K1481" s="1" t="n">
        <f aca="false">J1481+L1481</f>
        <v>10614</v>
      </c>
      <c r="L1481" s="1" t="n">
        <v>12</v>
      </c>
      <c r="M1481" s="1" t="n">
        <f aca="false">(E1481+M1480)-N1481</f>
        <v>48.03</v>
      </c>
      <c r="N1481" s="1" t="n">
        <v>1.25</v>
      </c>
    </row>
    <row r="1482" customFormat="false" ht="15" hidden="false" customHeight="true" outlineLevel="0" collapsed="false">
      <c r="D1482" s="11"/>
      <c r="G1482" s="6"/>
      <c r="H1482" s="1" t="s">
        <v>43</v>
      </c>
      <c r="I1482" s="1" t="s">
        <v>34</v>
      </c>
      <c r="J1482" s="1" t="n">
        <f aca="false">K1481</f>
        <v>10614</v>
      </c>
      <c r="K1482" s="1" t="n">
        <f aca="false">J1482+L1482</f>
        <v>10626</v>
      </c>
      <c r="L1482" s="1" t="n">
        <v>12</v>
      </c>
      <c r="M1482" s="1" t="n">
        <f aca="false">(E1482+M1481)-N1482</f>
        <v>46.78</v>
      </c>
      <c r="N1482" s="1" t="n">
        <v>1.25</v>
      </c>
    </row>
    <row r="1483" customFormat="false" ht="15" hidden="false" customHeight="true" outlineLevel="0" collapsed="false">
      <c r="D1483" s="11" t="n">
        <v>45376</v>
      </c>
      <c r="H1483" s="1" t="s">
        <v>34</v>
      </c>
      <c r="I1483" s="1" t="s">
        <v>49</v>
      </c>
      <c r="J1483" s="1" t="n">
        <f aca="false">K1482</f>
        <v>10626</v>
      </c>
      <c r="K1483" s="1" t="n">
        <f aca="false">J1483+L1483</f>
        <v>10653</v>
      </c>
      <c r="L1483" s="1" t="n">
        <v>27</v>
      </c>
      <c r="M1483" s="1" t="n">
        <f aca="false">(E1483+M1482)-N1483</f>
        <v>43.58</v>
      </c>
      <c r="N1483" s="1" t="n">
        <v>3.2</v>
      </c>
    </row>
    <row r="1484" customFormat="false" ht="15" hidden="false" customHeight="true" outlineLevel="0" collapsed="false">
      <c r="D1484" s="11"/>
      <c r="H1484" s="1" t="s">
        <v>49</v>
      </c>
      <c r="I1484" s="1" t="s">
        <v>34</v>
      </c>
      <c r="J1484" s="1" t="n">
        <f aca="false">K1483</f>
        <v>10653</v>
      </c>
      <c r="K1484" s="1" t="n">
        <f aca="false">J1484+L1484</f>
        <v>10680</v>
      </c>
      <c r="L1484" s="1" t="n">
        <v>27</v>
      </c>
      <c r="M1484" s="1" t="n">
        <f aca="false">(E1484+M1483)-N1484</f>
        <v>40.3799999999999</v>
      </c>
      <c r="N1484" s="1" t="n">
        <v>3.2</v>
      </c>
    </row>
    <row r="1485" customFormat="false" ht="15" hidden="false" customHeight="true" outlineLevel="0" collapsed="false">
      <c r="D1485" s="11" t="n">
        <v>45377</v>
      </c>
      <c r="H1485" s="1" t="s">
        <v>34</v>
      </c>
      <c r="I1485" s="1" t="s">
        <v>65</v>
      </c>
      <c r="J1485" s="1" t="n">
        <f aca="false">K1484</f>
        <v>10680</v>
      </c>
      <c r="K1485" s="1" t="n">
        <f aca="false">J1485+L1485</f>
        <v>10760</v>
      </c>
      <c r="L1485" s="1" t="n">
        <v>80</v>
      </c>
      <c r="M1485" s="1" t="n">
        <f aca="false">(E1485+M1484)-N1485</f>
        <v>31.3799999999999</v>
      </c>
      <c r="N1485" s="1" t="n">
        <v>9</v>
      </c>
    </row>
    <row r="1486" customFormat="false" ht="15" hidden="false" customHeight="true" outlineLevel="0" collapsed="false">
      <c r="D1486" s="11"/>
      <c r="H1486" s="1" t="s">
        <v>65</v>
      </c>
      <c r="I1486" s="1" t="s">
        <v>34</v>
      </c>
      <c r="J1486" s="1" t="n">
        <f aca="false">K1485</f>
        <v>10760</v>
      </c>
      <c r="K1486" s="1" t="n">
        <f aca="false">J1486+L1486</f>
        <v>10840</v>
      </c>
      <c r="L1486" s="1" t="n">
        <v>80</v>
      </c>
      <c r="M1486" s="1" t="n">
        <f aca="false">(E1486+M1485)-N1486</f>
        <v>22.3799999999999</v>
      </c>
      <c r="N1486" s="1" t="n">
        <v>9</v>
      </c>
    </row>
    <row r="1487" customFormat="false" ht="15" hidden="false" customHeight="true" outlineLevel="0" collapsed="false">
      <c r="D1487" s="11" t="n">
        <v>45378</v>
      </c>
      <c r="H1487" s="1" t="s">
        <v>34</v>
      </c>
      <c r="I1487" s="1" t="s">
        <v>54</v>
      </c>
      <c r="J1487" s="1" t="n">
        <f aca="false">K1486</f>
        <v>10840</v>
      </c>
      <c r="K1487" s="1" t="n">
        <f aca="false">J1487+L1487</f>
        <v>10867</v>
      </c>
      <c r="L1487" s="1" t="n">
        <v>27</v>
      </c>
      <c r="M1487" s="1" t="n">
        <f aca="false">(E1487+M1486)-N1487</f>
        <v>19.1799999999999</v>
      </c>
      <c r="N1487" s="1" t="n">
        <v>3.2</v>
      </c>
    </row>
    <row r="1488" customFormat="false" ht="15" hidden="false" customHeight="true" outlineLevel="0" collapsed="false">
      <c r="D1488" s="11"/>
      <c r="H1488" s="1" t="s">
        <v>54</v>
      </c>
      <c r="I1488" s="1" t="s">
        <v>34</v>
      </c>
      <c r="J1488" s="1" t="n">
        <f aca="false">K1487</f>
        <v>10867</v>
      </c>
      <c r="K1488" s="1" t="n">
        <f aca="false">J1488+L1488</f>
        <v>10894</v>
      </c>
      <c r="L1488" s="1" t="n">
        <v>27</v>
      </c>
      <c r="M1488" s="1" t="n">
        <f aca="false">(E1488+M1487)-N1488</f>
        <v>15.9799999999999</v>
      </c>
      <c r="N1488" s="1" t="n">
        <v>3.2</v>
      </c>
    </row>
    <row r="1489" customFormat="false" ht="15" hidden="false" customHeight="true" outlineLevel="0" collapsed="false">
      <c r="D1489" s="11" t="n">
        <v>45379</v>
      </c>
      <c r="H1489" s="1" t="s">
        <v>34</v>
      </c>
      <c r="I1489" s="1" t="s">
        <v>44</v>
      </c>
      <c r="J1489" s="1" t="n">
        <f aca="false">K1488</f>
        <v>10894</v>
      </c>
      <c r="K1489" s="1" t="n">
        <f aca="false">J1489+L1489</f>
        <v>10934</v>
      </c>
      <c r="L1489" s="1" t="n">
        <v>40</v>
      </c>
      <c r="M1489" s="1" t="n">
        <f aca="false">(E1489+M1488)-N1489</f>
        <v>11.1799999999999</v>
      </c>
      <c r="N1489" s="1" t="n">
        <v>4.8</v>
      </c>
    </row>
    <row r="1490" customFormat="false" ht="15" hidden="false" customHeight="true" outlineLevel="0" collapsed="false">
      <c r="D1490" s="11"/>
      <c r="H1490" s="1" t="s">
        <v>44</v>
      </c>
      <c r="I1490" s="1" t="s">
        <v>34</v>
      </c>
      <c r="J1490" s="1" t="n">
        <f aca="false">K1489</f>
        <v>10934</v>
      </c>
      <c r="K1490" s="1" t="n">
        <f aca="false">J1490+L1490</f>
        <v>10974</v>
      </c>
      <c r="L1490" s="1" t="n">
        <v>40</v>
      </c>
      <c r="M1490" s="1" t="n">
        <f aca="false">(E1490+M1489)-N1490</f>
        <v>6.37999999999995</v>
      </c>
      <c r="N1490" s="1" t="n">
        <v>4.8</v>
      </c>
    </row>
    <row r="1491" customFormat="false" ht="15" hidden="false" customHeight="true" outlineLevel="0" collapsed="false">
      <c r="D1491" s="11" t="n">
        <v>45380</v>
      </c>
      <c r="H1491" s="1" t="s">
        <v>34</v>
      </c>
      <c r="I1491" s="1" t="s">
        <v>35</v>
      </c>
      <c r="J1491" s="1" t="n">
        <f aca="false">K1490</f>
        <v>10974</v>
      </c>
      <c r="K1491" s="1" t="n">
        <f aca="false">J1491+L1491</f>
        <v>10986</v>
      </c>
      <c r="L1491" s="1" t="n">
        <v>12</v>
      </c>
      <c r="M1491" s="1" t="n">
        <f aca="false">(E1491+M1490)-N1491</f>
        <v>5.12999999999995</v>
      </c>
      <c r="N1491" s="1" t="n">
        <v>1.25</v>
      </c>
    </row>
    <row r="1492" customFormat="false" ht="15" hidden="false" customHeight="true" outlineLevel="0" collapsed="false">
      <c r="D1492" s="11"/>
      <c r="H1492" s="1" t="s">
        <v>35</v>
      </c>
      <c r="I1492" s="1" t="s">
        <v>34</v>
      </c>
      <c r="J1492" s="1" t="n">
        <f aca="false">K1491</f>
        <v>10986</v>
      </c>
      <c r="K1492" s="1" t="n">
        <f aca="false">J1492+L1492</f>
        <v>10998</v>
      </c>
      <c r="L1492" s="1" t="n">
        <v>12</v>
      </c>
      <c r="M1492" s="1" t="n">
        <f aca="false">(E1492+M1491)-N1492</f>
        <v>3.87999999999995</v>
      </c>
      <c r="N1492" s="1" t="n">
        <v>1.25</v>
      </c>
    </row>
    <row r="1493" customFormat="false" ht="15" hidden="false" customHeight="true" outlineLevel="0" collapsed="false">
      <c r="D1493" s="11"/>
    </row>
    <row r="1494" customFormat="false" ht="15" hidden="false" customHeight="true" outlineLevel="0" collapsed="false">
      <c r="D1494" s="4" t="s">
        <v>77</v>
      </c>
      <c r="E1494" s="4"/>
      <c r="F1494" s="4"/>
      <c r="G1494" s="4"/>
    </row>
    <row r="1495" customFormat="false" ht="15" hidden="false" customHeight="true" outlineLevel="0" collapsed="false">
      <c r="D1495" s="11" t="n">
        <v>45383</v>
      </c>
      <c r="H1495" s="1" t="s">
        <v>34</v>
      </c>
      <c r="I1495" s="1" t="s">
        <v>61</v>
      </c>
      <c r="J1495" s="1" t="n">
        <f aca="false">K1492</f>
        <v>10998</v>
      </c>
      <c r="K1495" s="1" t="n">
        <f aca="false">J1495+L1495</f>
        <v>11004</v>
      </c>
      <c r="L1495" s="1" t="n">
        <v>6</v>
      </c>
      <c r="M1495" s="1" t="n">
        <f aca="false">(E1495+M1492)-N1495</f>
        <v>3.17999999999995</v>
      </c>
      <c r="N1495" s="1" t="n">
        <v>0.7</v>
      </c>
    </row>
    <row r="1496" customFormat="false" ht="15" hidden="false" customHeight="true" outlineLevel="0" collapsed="false">
      <c r="H1496" s="1" t="s">
        <v>61</v>
      </c>
      <c r="I1496" s="1" t="s">
        <v>34</v>
      </c>
      <c r="J1496" s="1" t="n">
        <f aca="false">K1495</f>
        <v>11004</v>
      </c>
      <c r="K1496" s="1" t="n">
        <f aca="false">J1496+L1496</f>
        <v>11010</v>
      </c>
      <c r="L1496" s="1" t="n">
        <v>6</v>
      </c>
      <c r="M1496" s="1" t="n">
        <f aca="false">(E1496+M1495)-N1496</f>
        <v>2.47999999999995</v>
      </c>
      <c r="N1496" s="1" t="n">
        <v>0.7</v>
      </c>
    </row>
    <row r="1497" customFormat="false" ht="15" hidden="false" customHeight="true" outlineLevel="0" collapsed="false">
      <c r="D1497" s="11" t="n">
        <v>45384</v>
      </c>
      <c r="H1497" s="1" t="s">
        <v>34</v>
      </c>
      <c r="I1497" s="1" t="s">
        <v>61</v>
      </c>
      <c r="J1497" s="1" t="n">
        <f aca="false">K1496</f>
        <v>11010</v>
      </c>
      <c r="K1497" s="1" t="n">
        <f aca="false">J1497+L1497</f>
        <v>11016</v>
      </c>
      <c r="L1497" s="1" t="n">
        <v>6</v>
      </c>
      <c r="M1497" s="1" t="n">
        <f aca="false">(E1497+M1496)-N1497</f>
        <v>1.77999999999995</v>
      </c>
      <c r="N1497" s="1" t="n">
        <v>0.7</v>
      </c>
    </row>
    <row r="1498" customFormat="false" ht="15" hidden="false" customHeight="true" outlineLevel="0" collapsed="false">
      <c r="D1498" s="11"/>
      <c r="H1498" s="1" t="s">
        <v>61</v>
      </c>
      <c r="I1498" s="1" t="s">
        <v>34</v>
      </c>
      <c r="J1498" s="1" t="n">
        <f aca="false">K1497</f>
        <v>11016</v>
      </c>
      <c r="K1498" s="1" t="n">
        <f aca="false">J1498+L1498</f>
        <v>11022</v>
      </c>
      <c r="L1498" s="1" t="n">
        <v>6</v>
      </c>
      <c r="M1498" s="1" t="n">
        <f aca="false">(E1498+M1497)-N1498</f>
        <v>1.07999999999995</v>
      </c>
      <c r="N1498" s="1" t="n">
        <v>0.7</v>
      </c>
    </row>
    <row r="1499" customFormat="false" ht="15" hidden="false" customHeight="true" outlineLevel="0" collapsed="false">
      <c r="D1499" s="11" t="n">
        <v>45385</v>
      </c>
      <c r="E1499" s="0" t="n">
        <v>52.2</v>
      </c>
      <c r="F1499" s="1" t="n">
        <v>55.6</v>
      </c>
      <c r="G1499" s="6" t="n">
        <f aca="false">E1499*F1499</f>
        <v>2902.32</v>
      </c>
      <c r="H1499" s="1" t="s">
        <v>34</v>
      </c>
      <c r="I1499" s="1" t="s">
        <v>43</v>
      </c>
      <c r="J1499" s="1" t="n">
        <f aca="false">K1498</f>
        <v>11022</v>
      </c>
      <c r="K1499" s="1" t="n">
        <f aca="false">J1499+L1499</f>
        <v>11034</v>
      </c>
      <c r="L1499" s="1" t="n">
        <v>12</v>
      </c>
      <c r="M1499" s="1" t="n">
        <f aca="false">(E1499+M1498)-N1499</f>
        <v>52.03</v>
      </c>
      <c r="N1499" s="1" t="n">
        <v>1.25</v>
      </c>
    </row>
    <row r="1500" customFormat="false" ht="15" hidden="false" customHeight="true" outlineLevel="0" collapsed="false">
      <c r="D1500" s="11"/>
      <c r="H1500" s="1" t="s">
        <v>43</v>
      </c>
      <c r="I1500" s="1" t="s">
        <v>34</v>
      </c>
      <c r="J1500" s="1" t="n">
        <f aca="false">K1499</f>
        <v>11034</v>
      </c>
      <c r="K1500" s="1" t="n">
        <f aca="false">J1500+L1500</f>
        <v>11046</v>
      </c>
      <c r="L1500" s="1" t="n">
        <v>12</v>
      </c>
      <c r="M1500" s="1" t="n">
        <f aca="false">(E1500+M1499)-N1500</f>
        <v>50.78</v>
      </c>
      <c r="N1500" s="1" t="n">
        <v>1.25</v>
      </c>
    </row>
    <row r="1501" customFormat="false" ht="15" hidden="false" customHeight="true" outlineLevel="0" collapsed="false">
      <c r="D1501" s="11" t="n">
        <v>45386</v>
      </c>
      <c r="H1501" s="1" t="s">
        <v>34</v>
      </c>
      <c r="I1501" s="1" t="s">
        <v>49</v>
      </c>
      <c r="J1501" s="1" t="n">
        <f aca="false">K1500</f>
        <v>11046</v>
      </c>
      <c r="K1501" s="1" t="n">
        <f aca="false">J1501+L1501</f>
        <v>11073</v>
      </c>
      <c r="L1501" s="1" t="n">
        <v>27</v>
      </c>
      <c r="M1501" s="1" t="n">
        <f aca="false">(E1501+M1500)-N1501</f>
        <v>47.58</v>
      </c>
      <c r="N1501" s="1" t="n">
        <v>3.2</v>
      </c>
    </row>
    <row r="1502" customFormat="false" ht="15" hidden="false" customHeight="true" outlineLevel="0" collapsed="false">
      <c r="D1502" s="11"/>
      <c r="H1502" s="1" t="s">
        <v>49</v>
      </c>
      <c r="I1502" s="1" t="s">
        <v>34</v>
      </c>
      <c r="J1502" s="1" t="n">
        <f aca="false">K1501</f>
        <v>11073</v>
      </c>
      <c r="K1502" s="1" t="n">
        <f aca="false">J1502+L1502</f>
        <v>11100</v>
      </c>
      <c r="L1502" s="1" t="n">
        <v>27</v>
      </c>
      <c r="M1502" s="1" t="n">
        <f aca="false">(E1502+M1501)-N1502</f>
        <v>44.3799999999999</v>
      </c>
      <c r="N1502" s="1" t="n">
        <v>3.2</v>
      </c>
    </row>
    <row r="1503" customFormat="false" ht="15" hidden="false" customHeight="true" outlineLevel="0" collapsed="false">
      <c r="D1503" s="11" t="n">
        <v>45387</v>
      </c>
      <c r="H1503" s="1" t="s">
        <v>34</v>
      </c>
      <c r="I1503" s="1" t="s">
        <v>65</v>
      </c>
      <c r="J1503" s="1" t="n">
        <f aca="false">K1502</f>
        <v>11100</v>
      </c>
      <c r="K1503" s="1" t="n">
        <f aca="false">J1503+L1503</f>
        <v>11180</v>
      </c>
      <c r="L1503" s="1" t="n">
        <v>80</v>
      </c>
      <c r="M1503" s="1" t="n">
        <f aca="false">(E1503+M1502)-N1503</f>
        <v>35.3799999999999</v>
      </c>
      <c r="N1503" s="1" t="n">
        <v>9</v>
      </c>
    </row>
    <row r="1504" customFormat="false" ht="15" hidden="false" customHeight="true" outlineLevel="0" collapsed="false">
      <c r="D1504" s="11"/>
      <c r="H1504" s="1" t="s">
        <v>65</v>
      </c>
      <c r="I1504" s="1" t="s">
        <v>34</v>
      </c>
      <c r="J1504" s="1" t="n">
        <f aca="false">K1503</f>
        <v>11180</v>
      </c>
      <c r="K1504" s="1" t="n">
        <f aca="false">J1504+L1504</f>
        <v>11260</v>
      </c>
      <c r="L1504" s="1" t="n">
        <v>80</v>
      </c>
      <c r="M1504" s="1" t="n">
        <f aca="false">(E1504+M1503)-N1504</f>
        <v>26.3799999999999</v>
      </c>
      <c r="N1504" s="1" t="n">
        <v>9</v>
      </c>
    </row>
    <row r="1505" customFormat="false" ht="15" hidden="false" customHeight="true" outlineLevel="0" collapsed="false">
      <c r="D1505" s="11" t="n">
        <v>45390</v>
      </c>
      <c r="H1505" s="1" t="s">
        <v>34</v>
      </c>
      <c r="I1505" s="1" t="s">
        <v>35</v>
      </c>
      <c r="J1505" s="1" t="n">
        <f aca="false">K1504</f>
        <v>11260</v>
      </c>
      <c r="K1505" s="1" t="n">
        <f aca="false">J1505+L1505</f>
        <v>11272</v>
      </c>
      <c r="L1505" s="1" t="n">
        <v>12</v>
      </c>
      <c r="M1505" s="1" t="n">
        <f aca="false">(E1505+M1504)-N1505</f>
        <v>25.1299999999999</v>
      </c>
      <c r="N1505" s="1" t="n">
        <v>1.25</v>
      </c>
    </row>
    <row r="1506" customFormat="false" ht="15" hidden="false" customHeight="true" outlineLevel="0" collapsed="false">
      <c r="D1506" s="11"/>
      <c r="H1506" s="1" t="s">
        <v>35</v>
      </c>
      <c r="I1506" s="1" t="s">
        <v>34</v>
      </c>
      <c r="J1506" s="1" t="n">
        <f aca="false">K1505</f>
        <v>11272</v>
      </c>
      <c r="K1506" s="1" t="n">
        <f aca="false">J1506+L1506</f>
        <v>11284</v>
      </c>
      <c r="L1506" s="1" t="n">
        <v>12</v>
      </c>
      <c r="M1506" s="1" t="n">
        <f aca="false">(E1506+M1505)-N1506</f>
        <v>23.8799999999999</v>
      </c>
      <c r="N1506" s="1" t="n">
        <v>1.25</v>
      </c>
    </row>
    <row r="1507" customFormat="false" ht="15" hidden="false" customHeight="true" outlineLevel="0" collapsed="false">
      <c r="D1507" s="11" t="n">
        <v>45391</v>
      </c>
      <c r="H1507" s="1" t="s">
        <v>34</v>
      </c>
      <c r="I1507" s="1" t="s">
        <v>43</v>
      </c>
      <c r="J1507" s="1" t="n">
        <f aca="false">K1506</f>
        <v>11284</v>
      </c>
      <c r="K1507" s="1" t="n">
        <f aca="false">J1507+L1507</f>
        <v>11296</v>
      </c>
      <c r="L1507" s="1" t="n">
        <v>12</v>
      </c>
      <c r="M1507" s="1" t="n">
        <f aca="false">(E1507+M1506)-N1507</f>
        <v>22.6299999999999</v>
      </c>
      <c r="N1507" s="1" t="n">
        <v>1.25</v>
      </c>
    </row>
    <row r="1508" customFormat="false" ht="15" hidden="false" customHeight="true" outlineLevel="0" collapsed="false">
      <c r="D1508" s="11"/>
      <c r="H1508" s="1" t="s">
        <v>43</v>
      </c>
      <c r="I1508" s="1" t="s">
        <v>34</v>
      </c>
      <c r="J1508" s="1" t="n">
        <f aca="false">K1507</f>
        <v>11296</v>
      </c>
      <c r="K1508" s="1" t="n">
        <f aca="false">J1508+L1508</f>
        <v>11308</v>
      </c>
      <c r="L1508" s="1" t="n">
        <v>12</v>
      </c>
      <c r="M1508" s="1" t="n">
        <f aca="false">(E1508+M1507)-N1508</f>
        <v>21.3799999999999</v>
      </c>
      <c r="N1508" s="1" t="n">
        <v>1.25</v>
      </c>
    </row>
    <row r="1509" customFormat="false" ht="15" hidden="false" customHeight="true" outlineLevel="0" collapsed="false">
      <c r="D1509" s="11" t="n">
        <v>45392</v>
      </c>
      <c r="H1509" s="1" t="s">
        <v>34</v>
      </c>
      <c r="I1509" s="1" t="s">
        <v>54</v>
      </c>
      <c r="J1509" s="1" t="n">
        <f aca="false">K1508</f>
        <v>11308</v>
      </c>
      <c r="K1509" s="1" t="n">
        <f aca="false">J1509+L1509</f>
        <v>11335</v>
      </c>
      <c r="L1509" s="1" t="n">
        <v>27</v>
      </c>
      <c r="M1509" s="1" t="n">
        <f aca="false">(E1509+M1508)-N1509</f>
        <v>18.1799999999999</v>
      </c>
      <c r="N1509" s="1" t="n">
        <v>3.2</v>
      </c>
    </row>
    <row r="1510" customFormat="false" ht="15" hidden="false" customHeight="true" outlineLevel="0" collapsed="false">
      <c r="D1510" s="11"/>
      <c r="H1510" s="1" t="s">
        <v>54</v>
      </c>
      <c r="I1510" s="1" t="s">
        <v>34</v>
      </c>
      <c r="J1510" s="1" t="n">
        <f aca="false">K1509</f>
        <v>11335</v>
      </c>
      <c r="K1510" s="1" t="n">
        <f aca="false">J1510+L1510</f>
        <v>11362</v>
      </c>
      <c r="L1510" s="1" t="n">
        <v>27</v>
      </c>
      <c r="M1510" s="1" t="n">
        <f aca="false">(E1510+M1509)-N1510</f>
        <v>14.9799999999999</v>
      </c>
      <c r="N1510" s="1" t="n">
        <v>3.2</v>
      </c>
    </row>
    <row r="1511" customFormat="false" ht="15" hidden="false" customHeight="true" outlineLevel="0" collapsed="false">
      <c r="D1511" s="11" t="n">
        <v>45393</v>
      </c>
      <c r="H1511" s="1" t="s">
        <v>34</v>
      </c>
      <c r="I1511" s="1" t="s">
        <v>54</v>
      </c>
      <c r="J1511" s="1" t="n">
        <f aca="false">K1510</f>
        <v>11362</v>
      </c>
      <c r="K1511" s="1" t="n">
        <f aca="false">J1511+L1511</f>
        <v>11389</v>
      </c>
      <c r="L1511" s="1" t="n">
        <v>27</v>
      </c>
      <c r="M1511" s="1" t="n">
        <f aca="false">(E1511+M1510)-N1511</f>
        <v>11.7799999999999</v>
      </c>
      <c r="N1511" s="1" t="n">
        <v>3.2</v>
      </c>
    </row>
    <row r="1512" customFormat="false" ht="15" hidden="false" customHeight="true" outlineLevel="0" collapsed="false">
      <c r="D1512" s="11"/>
      <c r="H1512" s="1" t="s">
        <v>54</v>
      </c>
      <c r="I1512" s="1" t="s">
        <v>34</v>
      </c>
      <c r="J1512" s="1" t="n">
        <f aca="false">K1511</f>
        <v>11389</v>
      </c>
      <c r="K1512" s="1" t="n">
        <f aca="false">J1512+L1512</f>
        <v>11416</v>
      </c>
      <c r="L1512" s="1" t="n">
        <v>27</v>
      </c>
      <c r="M1512" s="1" t="n">
        <f aca="false">(E1512+M1511)-N1512</f>
        <v>8.57999999999995</v>
      </c>
      <c r="N1512" s="1" t="n">
        <v>3.2</v>
      </c>
    </row>
    <row r="1513" customFormat="false" ht="15" hidden="false" customHeight="true" outlineLevel="0" collapsed="false">
      <c r="D1513" s="11" t="n">
        <v>45394</v>
      </c>
      <c r="E1513" s="0" t="n">
        <v>35.99</v>
      </c>
      <c r="F1513" s="1" t="n">
        <v>56.15</v>
      </c>
      <c r="G1513" s="6" t="n">
        <f aca="false">E1513*F1513</f>
        <v>2020.8385</v>
      </c>
      <c r="H1513" s="1" t="s">
        <v>34</v>
      </c>
      <c r="I1513" s="1" t="s">
        <v>65</v>
      </c>
      <c r="J1513" s="1" t="n">
        <f aca="false">K1512</f>
        <v>11416</v>
      </c>
      <c r="K1513" s="1" t="n">
        <f aca="false">J1513+L1513</f>
        <v>11496</v>
      </c>
      <c r="L1513" s="1" t="n">
        <v>80</v>
      </c>
      <c r="M1513" s="1" t="n">
        <f aca="false">(E1513+M1512)-N1513</f>
        <v>35.57</v>
      </c>
      <c r="N1513" s="1" t="n">
        <v>9</v>
      </c>
    </row>
    <row r="1514" customFormat="false" ht="15" hidden="false" customHeight="true" outlineLevel="0" collapsed="false">
      <c r="D1514" s="11"/>
      <c r="G1514" s="6"/>
      <c r="H1514" s="1" t="s">
        <v>65</v>
      </c>
      <c r="I1514" s="1" t="s">
        <v>34</v>
      </c>
      <c r="J1514" s="1" t="n">
        <f aca="false">K1513</f>
        <v>11496</v>
      </c>
      <c r="K1514" s="1" t="n">
        <f aca="false">J1514+L1514</f>
        <v>11576</v>
      </c>
      <c r="L1514" s="1" t="n">
        <v>80</v>
      </c>
      <c r="M1514" s="1" t="n">
        <f aca="false">(E1514+M1513)-N1514</f>
        <v>26.57</v>
      </c>
      <c r="N1514" s="1" t="n">
        <v>9</v>
      </c>
    </row>
    <row r="1515" customFormat="false" ht="15" hidden="false" customHeight="true" outlineLevel="0" collapsed="false">
      <c r="D1515" s="11" t="n">
        <v>45397</v>
      </c>
      <c r="H1515" s="1" t="s">
        <v>34</v>
      </c>
      <c r="I1515" s="1" t="s">
        <v>54</v>
      </c>
      <c r="J1515" s="1" t="n">
        <f aca="false">K1514</f>
        <v>11576</v>
      </c>
      <c r="K1515" s="1" t="n">
        <f aca="false">J1515+L1515</f>
        <v>11603</v>
      </c>
      <c r="L1515" s="1" t="n">
        <v>27</v>
      </c>
      <c r="M1515" s="1" t="n">
        <f aca="false">(E1515+M1514)-N1515</f>
        <v>23.37</v>
      </c>
      <c r="N1515" s="1" t="n">
        <v>3.2</v>
      </c>
    </row>
    <row r="1516" customFormat="false" ht="15" hidden="false" customHeight="true" outlineLevel="0" collapsed="false">
      <c r="D1516" s="11"/>
      <c r="H1516" s="1" t="s">
        <v>54</v>
      </c>
      <c r="I1516" s="1" t="s">
        <v>34</v>
      </c>
      <c r="J1516" s="1" t="n">
        <f aca="false">K1515</f>
        <v>11603</v>
      </c>
      <c r="K1516" s="1" t="n">
        <f aca="false">J1516+L1516</f>
        <v>11630</v>
      </c>
      <c r="L1516" s="1" t="n">
        <v>27</v>
      </c>
      <c r="M1516" s="1" t="n">
        <f aca="false">(E1516+M1515)-N1516</f>
        <v>20.17</v>
      </c>
      <c r="N1516" s="1" t="n">
        <v>3.2</v>
      </c>
    </row>
    <row r="1517" customFormat="false" ht="15" hidden="false" customHeight="true" outlineLevel="0" collapsed="false">
      <c r="D1517" s="11" t="n">
        <v>45398</v>
      </c>
      <c r="H1517" s="1" t="s">
        <v>34</v>
      </c>
      <c r="I1517" s="1" t="s">
        <v>54</v>
      </c>
      <c r="J1517" s="1" t="n">
        <f aca="false">K1516</f>
        <v>11630</v>
      </c>
      <c r="K1517" s="1" t="n">
        <f aca="false">J1517+L1517</f>
        <v>11657</v>
      </c>
      <c r="L1517" s="1" t="n">
        <v>27</v>
      </c>
      <c r="M1517" s="1" t="n">
        <f aca="false">(E1517+M1516)-N1517</f>
        <v>16.97</v>
      </c>
      <c r="N1517" s="1" t="n">
        <v>3.2</v>
      </c>
    </row>
    <row r="1518" customFormat="false" ht="15" hidden="false" customHeight="true" outlineLevel="0" collapsed="false">
      <c r="D1518" s="11"/>
      <c r="H1518" s="1" t="s">
        <v>54</v>
      </c>
      <c r="I1518" s="1" t="s">
        <v>34</v>
      </c>
      <c r="J1518" s="1" t="n">
        <f aca="false">K1517</f>
        <v>11657</v>
      </c>
      <c r="K1518" s="1" t="n">
        <f aca="false">J1518+L1518</f>
        <v>11684</v>
      </c>
      <c r="L1518" s="1" t="n">
        <v>27</v>
      </c>
      <c r="M1518" s="1" t="n">
        <f aca="false">(E1518+M1517)-N1518</f>
        <v>13.77</v>
      </c>
      <c r="N1518" s="1" t="n">
        <v>3.2</v>
      </c>
    </row>
    <row r="1519" customFormat="false" ht="15" hidden="false" customHeight="true" outlineLevel="0" collapsed="false">
      <c r="D1519" s="11" t="n">
        <v>45399</v>
      </c>
      <c r="H1519" s="1" t="s">
        <v>34</v>
      </c>
      <c r="I1519" s="1" t="s">
        <v>35</v>
      </c>
      <c r="J1519" s="1" t="n">
        <f aca="false">K1518</f>
        <v>11684</v>
      </c>
      <c r="K1519" s="1" t="n">
        <f aca="false">J1519+L1519</f>
        <v>11696</v>
      </c>
      <c r="L1519" s="1" t="n">
        <v>12</v>
      </c>
      <c r="M1519" s="1" t="n">
        <f aca="false">(E1519+M1518)-N1519</f>
        <v>12.52</v>
      </c>
      <c r="N1519" s="1" t="n">
        <v>1.25</v>
      </c>
    </row>
    <row r="1520" customFormat="false" ht="15" hidden="false" customHeight="true" outlineLevel="0" collapsed="false">
      <c r="D1520" s="11"/>
      <c r="H1520" s="1" t="s">
        <v>35</v>
      </c>
      <c r="I1520" s="1" t="s">
        <v>34</v>
      </c>
      <c r="J1520" s="1" t="n">
        <f aca="false">K1519</f>
        <v>11696</v>
      </c>
      <c r="K1520" s="1" t="n">
        <f aca="false">J1520+L1520</f>
        <v>11708</v>
      </c>
      <c r="L1520" s="1" t="n">
        <v>12</v>
      </c>
      <c r="M1520" s="1" t="n">
        <f aca="false">(E1520+M1519)-N1520</f>
        <v>11.27</v>
      </c>
      <c r="N1520" s="1" t="n">
        <v>1.25</v>
      </c>
    </row>
    <row r="1521" customFormat="false" ht="15" hidden="false" customHeight="true" outlineLevel="0" collapsed="false">
      <c r="D1521" s="11" t="n">
        <v>45400</v>
      </c>
      <c r="H1521" s="1" t="s">
        <v>34</v>
      </c>
      <c r="I1521" s="1" t="s">
        <v>35</v>
      </c>
      <c r="J1521" s="1" t="n">
        <f aca="false">K1520</f>
        <v>11708</v>
      </c>
      <c r="K1521" s="1" t="n">
        <f aca="false">J1521+L1521</f>
        <v>11720</v>
      </c>
      <c r="L1521" s="1" t="n">
        <v>12</v>
      </c>
      <c r="M1521" s="1" t="n">
        <f aca="false">(E1521+M1520)-N1521</f>
        <v>10.02</v>
      </c>
      <c r="N1521" s="1" t="n">
        <v>1.25</v>
      </c>
    </row>
    <row r="1522" customFormat="false" ht="15" hidden="false" customHeight="true" outlineLevel="0" collapsed="false">
      <c r="D1522" s="11"/>
      <c r="H1522" s="1" t="s">
        <v>35</v>
      </c>
      <c r="I1522" s="1" t="s">
        <v>34</v>
      </c>
      <c r="J1522" s="1" t="n">
        <f aca="false">K1521</f>
        <v>11720</v>
      </c>
      <c r="K1522" s="1" t="n">
        <f aca="false">J1522+L1522</f>
        <v>11732</v>
      </c>
      <c r="L1522" s="1" t="n">
        <v>12</v>
      </c>
      <c r="M1522" s="1" t="n">
        <f aca="false">(E1522+M1521)-N1522</f>
        <v>8.76999999999995</v>
      </c>
      <c r="N1522" s="1" t="n">
        <v>1.25</v>
      </c>
    </row>
    <row r="1523" customFormat="false" ht="15" hidden="false" customHeight="true" outlineLevel="0" collapsed="false">
      <c r="D1523" s="11" t="n">
        <v>45401</v>
      </c>
      <c r="H1523" s="1" t="s">
        <v>34</v>
      </c>
      <c r="I1523" s="1" t="s">
        <v>35</v>
      </c>
      <c r="J1523" s="1" t="n">
        <f aca="false">K1522</f>
        <v>11732</v>
      </c>
      <c r="K1523" s="1" t="n">
        <f aca="false">J1523+L1523</f>
        <v>11744</v>
      </c>
      <c r="L1523" s="1" t="n">
        <v>12</v>
      </c>
      <c r="M1523" s="1" t="n">
        <f aca="false">(E1523+M1522)-N1523</f>
        <v>7.51999999999995</v>
      </c>
      <c r="N1523" s="1" t="n">
        <v>1.25</v>
      </c>
    </row>
    <row r="1524" customFormat="false" ht="15" hidden="false" customHeight="true" outlineLevel="0" collapsed="false">
      <c r="D1524" s="11"/>
      <c r="H1524" s="1" t="s">
        <v>35</v>
      </c>
      <c r="I1524" s="1" t="s">
        <v>34</v>
      </c>
      <c r="J1524" s="1" t="n">
        <f aca="false">K1523</f>
        <v>11744</v>
      </c>
      <c r="K1524" s="1" t="n">
        <f aca="false">J1524+L1524</f>
        <v>11756</v>
      </c>
      <c r="L1524" s="1" t="n">
        <v>12</v>
      </c>
      <c r="M1524" s="1" t="n">
        <f aca="false">(E1524+M1523)-N1524</f>
        <v>6.26999999999995</v>
      </c>
      <c r="N1524" s="1" t="n">
        <v>1.25</v>
      </c>
    </row>
    <row r="1525" customFormat="false" ht="15" hidden="false" customHeight="true" outlineLevel="0" collapsed="false">
      <c r="D1525" s="11" t="n">
        <v>45404</v>
      </c>
      <c r="H1525" s="1" t="s">
        <v>34</v>
      </c>
      <c r="I1525" s="1" t="s">
        <v>35</v>
      </c>
      <c r="J1525" s="1" t="n">
        <f aca="false">K1524</f>
        <v>11756</v>
      </c>
      <c r="K1525" s="1" t="n">
        <f aca="false">J1525+L1525</f>
        <v>11768</v>
      </c>
      <c r="L1525" s="1" t="n">
        <v>12</v>
      </c>
      <c r="M1525" s="1" t="n">
        <f aca="false">(E1525+M1524)-N1525</f>
        <v>5.01999999999995</v>
      </c>
      <c r="N1525" s="1" t="n">
        <v>1.25</v>
      </c>
    </row>
    <row r="1526" customFormat="false" ht="15" hidden="false" customHeight="true" outlineLevel="0" collapsed="false">
      <c r="D1526" s="11"/>
      <c r="H1526" s="1" t="s">
        <v>35</v>
      </c>
      <c r="I1526" s="1" t="s">
        <v>34</v>
      </c>
      <c r="J1526" s="1" t="n">
        <f aca="false">K1525</f>
        <v>11768</v>
      </c>
      <c r="K1526" s="1" t="n">
        <f aca="false">J1526+L1526</f>
        <v>11780</v>
      </c>
      <c r="L1526" s="1" t="n">
        <v>12</v>
      </c>
      <c r="M1526" s="1" t="n">
        <f aca="false">(E1526+M1525)-N1526</f>
        <v>3.76999999999995</v>
      </c>
      <c r="N1526" s="1" t="n">
        <v>1.25</v>
      </c>
    </row>
    <row r="1527" customFormat="false" ht="15" hidden="false" customHeight="true" outlineLevel="0" collapsed="false">
      <c r="D1527" s="11" t="n">
        <v>45405</v>
      </c>
      <c r="H1527" s="1" t="s">
        <v>34</v>
      </c>
      <c r="I1527" s="1" t="s">
        <v>61</v>
      </c>
      <c r="J1527" s="1" t="n">
        <f aca="false">K1526</f>
        <v>11780</v>
      </c>
      <c r="K1527" s="1" t="n">
        <f aca="false">J1527+L1527</f>
        <v>11786</v>
      </c>
      <c r="L1527" s="1" t="n">
        <v>6</v>
      </c>
      <c r="M1527" s="1" t="n">
        <f aca="false">(E1527+M1526)-N1527</f>
        <v>3.06999999999995</v>
      </c>
      <c r="N1527" s="1" t="n">
        <v>0.7</v>
      </c>
    </row>
    <row r="1528" customFormat="false" ht="15" hidden="false" customHeight="true" outlineLevel="0" collapsed="false">
      <c r="D1528" s="11"/>
      <c r="H1528" s="1" t="s">
        <v>61</v>
      </c>
      <c r="I1528" s="1" t="s">
        <v>34</v>
      </c>
      <c r="J1528" s="1" t="n">
        <f aca="false">K1527</f>
        <v>11786</v>
      </c>
      <c r="K1528" s="1" t="n">
        <f aca="false">J1528+L1528</f>
        <v>11792</v>
      </c>
      <c r="L1528" s="1" t="n">
        <v>6</v>
      </c>
      <c r="M1528" s="1" t="n">
        <f aca="false">(E1528+M1527)-N1528</f>
        <v>2.36999999999995</v>
      </c>
      <c r="N1528" s="1" t="n">
        <v>0.7</v>
      </c>
    </row>
    <row r="1529" customFormat="false" ht="15" hidden="false" customHeight="true" outlineLevel="0" collapsed="false">
      <c r="D1529" s="11" t="n">
        <v>45406</v>
      </c>
      <c r="H1529" s="1" t="s">
        <v>34</v>
      </c>
      <c r="I1529" s="1" t="s">
        <v>61</v>
      </c>
      <c r="J1529" s="1" t="n">
        <f aca="false">K1528</f>
        <v>11792</v>
      </c>
      <c r="K1529" s="1" t="n">
        <f aca="false">J1529+L1529</f>
        <v>11798</v>
      </c>
      <c r="L1529" s="1" t="n">
        <v>6</v>
      </c>
      <c r="M1529" s="1" t="n">
        <f aca="false">(E1529+M1528)-N1529</f>
        <v>1.66999999999995</v>
      </c>
      <c r="N1529" s="1" t="n">
        <v>0.7</v>
      </c>
    </row>
    <row r="1530" customFormat="false" ht="15" hidden="false" customHeight="true" outlineLevel="0" collapsed="false">
      <c r="D1530" s="11"/>
      <c r="H1530" s="1" t="s">
        <v>61</v>
      </c>
      <c r="I1530" s="1" t="s">
        <v>34</v>
      </c>
      <c r="J1530" s="1" t="n">
        <f aca="false">K1529</f>
        <v>11798</v>
      </c>
      <c r="K1530" s="1" t="n">
        <f aca="false">J1530+L1530</f>
        <v>11804</v>
      </c>
      <c r="L1530" s="1" t="n">
        <v>6</v>
      </c>
      <c r="M1530" s="1" t="n">
        <f aca="false">(E1530+M1529)-N1530</f>
        <v>0.969999999999953</v>
      </c>
      <c r="N1530" s="1" t="n">
        <v>0.7</v>
      </c>
    </row>
    <row r="1531" customFormat="false" ht="15" hidden="false" customHeight="true" outlineLevel="0" collapsed="false">
      <c r="D1531" s="11" t="n">
        <v>45407</v>
      </c>
      <c r="E1531" s="0" t="n">
        <v>46.16</v>
      </c>
      <c r="F1531" s="1" t="n">
        <v>56.45</v>
      </c>
      <c r="G1531" s="6" t="n">
        <f aca="false">E1531*F1531</f>
        <v>2605.732</v>
      </c>
      <c r="H1531" s="1" t="s">
        <v>34</v>
      </c>
      <c r="I1531" s="1" t="s">
        <v>54</v>
      </c>
      <c r="J1531" s="1" t="n">
        <f aca="false">K1530</f>
        <v>11804</v>
      </c>
      <c r="K1531" s="1" t="n">
        <f aca="false">J1531+L1531</f>
        <v>11831</v>
      </c>
      <c r="L1531" s="1" t="n">
        <v>27</v>
      </c>
      <c r="M1531" s="1" t="n">
        <f aca="false">(E1531+M1530)-N1531</f>
        <v>43.93</v>
      </c>
      <c r="N1531" s="1" t="n">
        <v>3.2</v>
      </c>
    </row>
    <row r="1532" customFormat="false" ht="15" hidden="false" customHeight="true" outlineLevel="0" collapsed="false">
      <c r="D1532" s="11"/>
      <c r="G1532" s="6"/>
      <c r="H1532" s="1" t="s">
        <v>54</v>
      </c>
      <c r="I1532" s="1" t="s">
        <v>34</v>
      </c>
      <c r="J1532" s="1" t="n">
        <f aca="false">K1531</f>
        <v>11831</v>
      </c>
      <c r="K1532" s="1" t="n">
        <f aca="false">J1532+L1532</f>
        <v>11858</v>
      </c>
      <c r="L1532" s="1" t="n">
        <v>27</v>
      </c>
      <c r="M1532" s="1" t="n">
        <f aca="false">(E1532+M1531)-N1532</f>
        <v>40.73</v>
      </c>
      <c r="N1532" s="1" t="n">
        <v>3.2</v>
      </c>
    </row>
    <row r="1533" customFormat="false" ht="15" hidden="false" customHeight="true" outlineLevel="0" collapsed="false">
      <c r="D1533" s="11" t="n">
        <v>45408</v>
      </c>
      <c r="H1533" s="1" t="s">
        <v>34</v>
      </c>
      <c r="I1533" s="1" t="s">
        <v>65</v>
      </c>
      <c r="J1533" s="1" t="n">
        <f aca="false">K1532</f>
        <v>11858</v>
      </c>
      <c r="K1533" s="1" t="n">
        <f aca="false">J1533+L1533</f>
        <v>11938</v>
      </c>
      <c r="L1533" s="1" t="n">
        <v>80</v>
      </c>
      <c r="M1533" s="1" t="n">
        <f aca="false">(E1533+M1532)-N1533</f>
        <v>31.7299999999999</v>
      </c>
      <c r="N1533" s="1" t="n">
        <v>9</v>
      </c>
    </row>
    <row r="1534" customFormat="false" ht="15" hidden="false" customHeight="true" outlineLevel="0" collapsed="false">
      <c r="D1534" s="11"/>
      <c r="H1534" s="1" t="s">
        <v>65</v>
      </c>
      <c r="I1534" s="1" t="s">
        <v>34</v>
      </c>
      <c r="J1534" s="1" t="n">
        <f aca="false">K1533</f>
        <v>11938</v>
      </c>
      <c r="K1534" s="1" t="n">
        <f aca="false">J1534+L1534</f>
        <v>12018</v>
      </c>
      <c r="L1534" s="1" t="n">
        <v>80</v>
      </c>
      <c r="M1534" s="1" t="n">
        <f aca="false">(E1534+M1533)-N1534</f>
        <v>22.7299999999999</v>
      </c>
      <c r="N1534" s="1" t="n">
        <v>9</v>
      </c>
    </row>
    <row r="1535" customFormat="false" ht="15" hidden="false" customHeight="true" outlineLevel="0" collapsed="false">
      <c r="D1535" s="11" t="n">
        <v>45409</v>
      </c>
      <c r="H1535" s="1" t="s">
        <v>34</v>
      </c>
      <c r="I1535" s="1" t="s">
        <v>59</v>
      </c>
      <c r="J1535" s="1" t="n">
        <f aca="false">K1534</f>
        <v>12018</v>
      </c>
      <c r="K1535" s="1" t="n">
        <f aca="false">J1535+L1535</f>
        <v>12045</v>
      </c>
      <c r="L1535" s="1" t="n">
        <v>27</v>
      </c>
      <c r="M1535" s="1" t="n">
        <f aca="false">(E1535+M1534)-N1535</f>
        <v>19.5299999999999</v>
      </c>
      <c r="N1535" s="1" t="n">
        <v>3.2</v>
      </c>
    </row>
    <row r="1536" customFormat="false" ht="15" hidden="false" customHeight="true" outlineLevel="0" collapsed="false">
      <c r="D1536" s="11"/>
      <c r="H1536" s="1" t="s">
        <v>59</v>
      </c>
      <c r="I1536" s="1" t="s">
        <v>34</v>
      </c>
      <c r="J1536" s="1" t="n">
        <f aca="false">K1535</f>
        <v>12045</v>
      </c>
      <c r="K1536" s="1" t="n">
        <f aca="false">J1536+L1536</f>
        <v>12072</v>
      </c>
      <c r="L1536" s="1" t="n">
        <v>27</v>
      </c>
      <c r="M1536" s="1" t="n">
        <f aca="false">(E1536+M1535)-N1536</f>
        <v>16.33</v>
      </c>
      <c r="N1536" s="1" t="n">
        <v>3.2</v>
      </c>
    </row>
    <row r="1537" customFormat="false" ht="15" hidden="false" customHeight="true" outlineLevel="0" collapsed="false">
      <c r="D1537" s="11" t="n">
        <v>45412</v>
      </c>
      <c r="H1537" s="1" t="s">
        <v>34</v>
      </c>
      <c r="I1537" s="1" t="s">
        <v>32</v>
      </c>
      <c r="J1537" s="1" t="n">
        <f aca="false">K1536</f>
        <v>12072</v>
      </c>
      <c r="K1537" s="1" t="n">
        <f aca="false">J1537+L1537</f>
        <v>12097</v>
      </c>
      <c r="L1537" s="1" t="n">
        <v>25</v>
      </c>
      <c r="M1537" s="1" t="n">
        <f aca="false">(E1537+M1536)-N1537</f>
        <v>13.3299999999999</v>
      </c>
      <c r="N1537" s="1" t="n">
        <v>3</v>
      </c>
    </row>
    <row r="1538" customFormat="false" ht="15" hidden="false" customHeight="true" outlineLevel="0" collapsed="false">
      <c r="H1538" s="1" t="s">
        <v>32</v>
      </c>
      <c r="I1538" s="1" t="s">
        <v>34</v>
      </c>
      <c r="J1538" s="1" t="n">
        <f aca="false">K1537</f>
        <v>12097</v>
      </c>
      <c r="K1538" s="1" t="n">
        <f aca="false">J1538+L1538</f>
        <v>12122</v>
      </c>
      <c r="L1538" s="1" t="n">
        <v>25</v>
      </c>
      <c r="M1538" s="1" t="n">
        <f aca="false">(E1538+M1537)-N1538</f>
        <v>10.3299999999999</v>
      </c>
      <c r="N1538" s="1" t="n">
        <v>3</v>
      </c>
    </row>
    <row r="1540" customFormat="false" ht="15" hidden="false" customHeight="true" outlineLevel="0" collapsed="false">
      <c r="D1540" s="4" t="s">
        <v>78</v>
      </c>
      <c r="E1540" s="4"/>
      <c r="F1540" s="4"/>
      <c r="G1540" s="4"/>
    </row>
    <row r="1541" customFormat="false" ht="15" hidden="false" customHeight="true" outlineLevel="0" collapsed="false">
      <c r="D1541" s="11" t="n">
        <v>45414</v>
      </c>
      <c r="H1541" s="1" t="s">
        <v>34</v>
      </c>
      <c r="I1541" s="1" t="s">
        <v>59</v>
      </c>
      <c r="J1541" s="1" t="n">
        <f aca="false">K1538</f>
        <v>12122</v>
      </c>
      <c r="K1541" s="1" t="n">
        <f aca="false">J1541+L1541</f>
        <v>12149</v>
      </c>
      <c r="L1541" s="1" t="n">
        <v>27</v>
      </c>
      <c r="M1541" s="1" t="n">
        <f aca="false">(E1541+M1538)-N1541</f>
        <v>7.12999999999995</v>
      </c>
      <c r="N1541" s="1" t="n">
        <v>3.2</v>
      </c>
    </row>
    <row r="1542" customFormat="false" ht="15" hidden="false" customHeight="true" outlineLevel="0" collapsed="false">
      <c r="D1542" s="11"/>
      <c r="H1542" s="1" t="s">
        <v>59</v>
      </c>
      <c r="I1542" s="1" t="s">
        <v>34</v>
      </c>
      <c r="J1542" s="1" t="n">
        <f aca="false">K1541</f>
        <v>12149</v>
      </c>
      <c r="K1542" s="1" t="n">
        <f aca="false">J1542+L1542</f>
        <v>12176</v>
      </c>
      <c r="L1542" s="1" t="n">
        <v>27</v>
      </c>
      <c r="M1542" s="1" t="n">
        <f aca="false">(E1542+M1541)-N1542</f>
        <v>3.92999999999995</v>
      </c>
      <c r="N1542" s="1" t="n">
        <v>3.2</v>
      </c>
    </row>
    <row r="1543" customFormat="false" ht="15" hidden="false" customHeight="true" outlineLevel="0" collapsed="false">
      <c r="D1543" s="11" t="n">
        <v>45415</v>
      </c>
      <c r="E1543" s="0" t="n">
        <v>44.06</v>
      </c>
      <c r="F1543" s="1" t="n">
        <v>56.1</v>
      </c>
      <c r="G1543" s="6" t="n">
        <f aca="false">E1543*F1543</f>
        <v>2471.766</v>
      </c>
      <c r="H1543" s="1" t="s">
        <v>34</v>
      </c>
      <c r="I1543" s="1" t="s">
        <v>54</v>
      </c>
      <c r="J1543" s="1" t="n">
        <f aca="false">K1542</f>
        <v>12176</v>
      </c>
      <c r="K1543" s="1" t="n">
        <f aca="false">J1543+L1543</f>
        <v>12203</v>
      </c>
      <c r="L1543" s="1" t="n">
        <v>27</v>
      </c>
      <c r="M1543" s="1" t="n">
        <f aca="false">(E1543+M1542)-N1543</f>
        <v>44.79</v>
      </c>
      <c r="N1543" s="1" t="n">
        <v>3.2</v>
      </c>
    </row>
    <row r="1544" customFormat="false" ht="15" hidden="false" customHeight="true" outlineLevel="0" collapsed="false">
      <c r="D1544" s="11"/>
      <c r="H1544" s="1" t="s">
        <v>54</v>
      </c>
      <c r="I1544" s="1" t="s">
        <v>34</v>
      </c>
      <c r="J1544" s="1" t="n">
        <f aca="false">K1543</f>
        <v>12203</v>
      </c>
      <c r="K1544" s="1" t="n">
        <f aca="false">J1544+L1544</f>
        <v>12230</v>
      </c>
      <c r="L1544" s="1" t="n">
        <v>27</v>
      </c>
      <c r="M1544" s="1" t="n">
        <f aca="false">(E1544+M1543)-N1544</f>
        <v>41.59</v>
      </c>
      <c r="N1544" s="1" t="n">
        <v>3.2</v>
      </c>
    </row>
    <row r="1545" customFormat="false" ht="15" hidden="false" customHeight="true" outlineLevel="0" collapsed="false">
      <c r="D1545" s="11" t="n">
        <v>45418</v>
      </c>
      <c r="H1545" s="1" t="s">
        <v>34</v>
      </c>
      <c r="I1545" s="1" t="s">
        <v>65</v>
      </c>
      <c r="J1545" s="1" t="n">
        <f aca="false">K1544</f>
        <v>12230</v>
      </c>
      <c r="K1545" s="1" t="n">
        <f aca="false">J1545+L1545</f>
        <v>12310</v>
      </c>
      <c r="L1545" s="1" t="n">
        <v>80</v>
      </c>
      <c r="M1545" s="1" t="n">
        <f aca="false">(E1545+M1544)-N1545</f>
        <v>32.59</v>
      </c>
      <c r="N1545" s="1" t="n">
        <v>9</v>
      </c>
    </row>
    <row r="1546" customFormat="false" ht="15" hidden="false" customHeight="true" outlineLevel="0" collapsed="false">
      <c r="D1546" s="11"/>
      <c r="H1546" s="1" t="s">
        <v>65</v>
      </c>
      <c r="I1546" s="1" t="s">
        <v>34</v>
      </c>
      <c r="J1546" s="1" t="n">
        <f aca="false">K1545</f>
        <v>12310</v>
      </c>
      <c r="K1546" s="1" t="n">
        <f aca="false">J1546+L1546</f>
        <v>12390</v>
      </c>
      <c r="L1546" s="1" t="n">
        <v>80</v>
      </c>
      <c r="M1546" s="1" t="n">
        <f aca="false">(E1546+M1545)-N1546</f>
        <v>23.5899999999999</v>
      </c>
      <c r="N1546" s="1" t="n">
        <v>9</v>
      </c>
    </row>
    <row r="1547" customFormat="false" ht="15" hidden="false" customHeight="true" outlineLevel="0" collapsed="false">
      <c r="D1547" s="11" t="n">
        <v>45419</v>
      </c>
      <c r="H1547" s="1" t="s">
        <v>34</v>
      </c>
      <c r="I1547" s="1" t="s">
        <v>35</v>
      </c>
      <c r="J1547" s="1" t="n">
        <f aca="false">K1546</f>
        <v>12390</v>
      </c>
      <c r="K1547" s="1" t="n">
        <f aca="false">J1547+L1547</f>
        <v>12402</v>
      </c>
      <c r="L1547" s="1" t="n">
        <v>12</v>
      </c>
      <c r="M1547" s="1" t="n">
        <f aca="false">(E1547+M1546)-N1547</f>
        <v>22.3399999999999</v>
      </c>
      <c r="N1547" s="1" t="n">
        <v>1.25</v>
      </c>
    </row>
    <row r="1548" customFormat="false" ht="15" hidden="false" customHeight="true" outlineLevel="0" collapsed="false">
      <c r="D1548" s="11"/>
      <c r="H1548" s="1" t="s">
        <v>35</v>
      </c>
      <c r="I1548" s="1" t="s">
        <v>34</v>
      </c>
      <c r="J1548" s="1" t="n">
        <f aca="false">K1547</f>
        <v>12402</v>
      </c>
      <c r="K1548" s="1" t="n">
        <f aca="false">J1548+L1548</f>
        <v>12414</v>
      </c>
      <c r="L1548" s="1" t="n">
        <v>12</v>
      </c>
      <c r="M1548" s="1" t="n">
        <f aca="false">(E1548+M1547)-N1548</f>
        <v>21.0899999999999</v>
      </c>
      <c r="N1548" s="1" t="n">
        <v>1.25</v>
      </c>
    </row>
    <row r="1549" customFormat="false" ht="15" hidden="false" customHeight="true" outlineLevel="0" collapsed="false">
      <c r="D1549" s="11" t="n">
        <v>45420</v>
      </c>
      <c r="H1549" s="1" t="s">
        <v>34</v>
      </c>
      <c r="I1549" s="1" t="s">
        <v>35</v>
      </c>
      <c r="J1549" s="1" t="n">
        <f aca="false">K1548</f>
        <v>12414</v>
      </c>
      <c r="K1549" s="1" t="n">
        <f aca="false">J1549+L1549</f>
        <v>12426</v>
      </c>
      <c r="L1549" s="1" t="n">
        <v>12</v>
      </c>
      <c r="M1549" s="1" t="n">
        <f aca="false">(E1549+M1548)-N1549</f>
        <v>19.8399999999999</v>
      </c>
      <c r="N1549" s="1" t="n">
        <v>1.25</v>
      </c>
    </row>
    <row r="1550" customFormat="false" ht="15" hidden="false" customHeight="true" outlineLevel="0" collapsed="false">
      <c r="D1550" s="11"/>
      <c r="H1550" s="1" t="s">
        <v>35</v>
      </c>
      <c r="I1550" s="1" t="s">
        <v>34</v>
      </c>
      <c r="J1550" s="1" t="n">
        <f aca="false">K1549</f>
        <v>12426</v>
      </c>
      <c r="K1550" s="1" t="n">
        <f aca="false">J1550+L1550</f>
        <v>12438</v>
      </c>
      <c r="L1550" s="1" t="n">
        <v>12</v>
      </c>
      <c r="M1550" s="1" t="n">
        <f aca="false">(E1550+M1549)-N1550</f>
        <v>18.5899999999999</v>
      </c>
      <c r="N1550" s="1" t="n">
        <v>1.25</v>
      </c>
    </row>
    <row r="1551" customFormat="false" ht="15" hidden="false" customHeight="true" outlineLevel="0" collapsed="false">
      <c r="D1551" s="11" t="n">
        <v>45425</v>
      </c>
      <c r="H1551" s="1" t="s">
        <v>34</v>
      </c>
      <c r="I1551" s="1" t="s">
        <v>35</v>
      </c>
      <c r="J1551" s="1" t="n">
        <f aca="false">K1550</f>
        <v>12438</v>
      </c>
      <c r="K1551" s="1" t="n">
        <f aca="false">J1551+L1551</f>
        <v>12450</v>
      </c>
      <c r="L1551" s="1" t="n">
        <v>12</v>
      </c>
      <c r="M1551" s="1" t="n">
        <f aca="false">(E1551+M1550)-N1551</f>
        <v>17.3399999999999</v>
      </c>
      <c r="N1551" s="1" t="n">
        <v>1.25</v>
      </c>
    </row>
    <row r="1552" customFormat="false" ht="15" hidden="false" customHeight="true" outlineLevel="0" collapsed="false">
      <c r="D1552" s="11"/>
      <c r="H1552" s="1" t="s">
        <v>35</v>
      </c>
      <c r="I1552" s="1" t="s">
        <v>34</v>
      </c>
      <c r="J1552" s="1" t="n">
        <f aca="false">K1551</f>
        <v>12450</v>
      </c>
      <c r="K1552" s="1" t="n">
        <f aca="false">J1552+L1552</f>
        <v>12462</v>
      </c>
      <c r="L1552" s="1" t="n">
        <v>12</v>
      </c>
      <c r="M1552" s="1" t="n">
        <f aca="false">(E1552+M1551)-N1552</f>
        <v>16.0899999999999</v>
      </c>
      <c r="N1552" s="1" t="n">
        <v>1.25</v>
      </c>
    </row>
    <row r="1553" customFormat="false" ht="15" hidden="false" customHeight="true" outlineLevel="0" collapsed="false">
      <c r="D1553" s="11" t="n">
        <v>45426</v>
      </c>
      <c r="H1553" s="1" t="s">
        <v>34</v>
      </c>
      <c r="I1553" s="1" t="s">
        <v>49</v>
      </c>
      <c r="J1553" s="1" t="n">
        <f aca="false">K1552</f>
        <v>12462</v>
      </c>
      <c r="K1553" s="1" t="n">
        <f aca="false">J1553+L1553</f>
        <v>12489</v>
      </c>
      <c r="L1553" s="1" t="n">
        <v>27</v>
      </c>
      <c r="M1553" s="1" t="n">
        <f aca="false">(E1553+M1552)-N1553</f>
        <v>12.8899999999999</v>
      </c>
      <c r="N1553" s="1" t="n">
        <v>3.2</v>
      </c>
    </row>
    <row r="1554" customFormat="false" ht="15" hidden="false" customHeight="true" outlineLevel="0" collapsed="false">
      <c r="D1554" s="11"/>
      <c r="H1554" s="1" t="s">
        <v>49</v>
      </c>
      <c r="I1554" s="1" t="s">
        <v>34</v>
      </c>
      <c r="J1554" s="1" t="n">
        <f aca="false">K1553</f>
        <v>12489</v>
      </c>
      <c r="K1554" s="1" t="n">
        <f aca="false">J1554+L1554</f>
        <v>12516</v>
      </c>
      <c r="L1554" s="1" t="n">
        <v>27</v>
      </c>
      <c r="M1554" s="1" t="n">
        <f aca="false">(E1554+M1553)-N1554</f>
        <v>9.68999999999995</v>
      </c>
      <c r="N1554" s="1" t="n">
        <v>3.2</v>
      </c>
    </row>
    <row r="1555" customFormat="false" ht="15" hidden="false" customHeight="true" outlineLevel="0" collapsed="false">
      <c r="D1555" s="11" t="n">
        <v>45427</v>
      </c>
      <c r="E1555" s="0" t="n">
        <v>44.22</v>
      </c>
      <c r="F1555" s="1" t="n">
        <v>57.2</v>
      </c>
      <c r="G1555" s="6" t="n">
        <f aca="false">E1555*F1555</f>
        <v>2529.384</v>
      </c>
      <c r="H1555" s="1" t="s">
        <v>34</v>
      </c>
      <c r="I1555" s="1" t="s">
        <v>49</v>
      </c>
      <c r="J1555" s="1" t="n">
        <f aca="false">K1554</f>
        <v>12516</v>
      </c>
      <c r="K1555" s="1" t="n">
        <f aca="false">J1555+L1555</f>
        <v>12543</v>
      </c>
      <c r="L1555" s="1" t="n">
        <v>27</v>
      </c>
      <c r="M1555" s="1" t="n">
        <f aca="false">(E1555+M1554)-N1555</f>
        <v>50.7099999999999</v>
      </c>
      <c r="N1555" s="1" t="n">
        <v>3.2</v>
      </c>
    </row>
    <row r="1556" customFormat="false" ht="15" hidden="false" customHeight="true" outlineLevel="0" collapsed="false">
      <c r="D1556" s="11"/>
      <c r="H1556" s="1" t="s">
        <v>49</v>
      </c>
      <c r="I1556" s="1" t="s">
        <v>34</v>
      </c>
      <c r="J1556" s="1" t="n">
        <f aca="false">K1555</f>
        <v>12543</v>
      </c>
      <c r="K1556" s="1" t="n">
        <f aca="false">J1556+L1556</f>
        <v>12570</v>
      </c>
      <c r="L1556" s="1" t="n">
        <v>27</v>
      </c>
      <c r="M1556" s="1" t="n">
        <f aca="false">(E1556+M1555)-N1556</f>
        <v>47.5099999999999</v>
      </c>
      <c r="N1556" s="1" t="n">
        <v>3.2</v>
      </c>
    </row>
    <row r="1557" customFormat="false" ht="15" hidden="false" customHeight="true" outlineLevel="0" collapsed="false">
      <c r="D1557" s="11" t="n">
        <v>45428</v>
      </c>
      <c r="H1557" s="1" t="s">
        <v>34</v>
      </c>
      <c r="I1557" s="1" t="s">
        <v>54</v>
      </c>
      <c r="J1557" s="1" t="n">
        <f aca="false">K1556</f>
        <v>12570</v>
      </c>
      <c r="K1557" s="1" t="n">
        <f aca="false">J1557+L1557</f>
        <v>12597</v>
      </c>
      <c r="L1557" s="1" t="n">
        <v>27</v>
      </c>
      <c r="M1557" s="1" t="n">
        <f aca="false">(E1557+M1556)-N1557</f>
        <v>44.3099999999999</v>
      </c>
      <c r="N1557" s="1" t="n">
        <v>3.2</v>
      </c>
    </row>
    <row r="1558" customFormat="false" ht="15" hidden="false" customHeight="true" outlineLevel="0" collapsed="false">
      <c r="D1558" s="11"/>
      <c r="H1558" s="1" t="s">
        <v>54</v>
      </c>
      <c r="I1558" s="1" t="s">
        <v>34</v>
      </c>
      <c r="J1558" s="1" t="n">
        <f aca="false">K1557</f>
        <v>12597</v>
      </c>
      <c r="K1558" s="1" t="n">
        <f aca="false">J1558+L1558</f>
        <v>12624</v>
      </c>
      <c r="L1558" s="1" t="n">
        <v>27</v>
      </c>
      <c r="M1558" s="1" t="n">
        <f aca="false">(E1558+M1557)-N1558</f>
        <v>41.1099999999999</v>
      </c>
      <c r="N1558" s="1" t="n">
        <v>3.2</v>
      </c>
    </row>
    <row r="1559" customFormat="false" ht="15" hidden="false" customHeight="true" outlineLevel="0" collapsed="false">
      <c r="D1559" s="11" t="n">
        <v>45429</v>
      </c>
      <c r="H1559" s="1" t="s">
        <v>34</v>
      </c>
      <c r="I1559" s="1" t="s">
        <v>54</v>
      </c>
      <c r="J1559" s="1" t="n">
        <f aca="false">K1558</f>
        <v>12624</v>
      </c>
      <c r="K1559" s="1" t="n">
        <f aca="false">J1559+L1559</f>
        <v>12651</v>
      </c>
      <c r="L1559" s="1" t="n">
        <v>27</v>
      </c>
      <c r="M1559" s="1" t="n">
        <f aca="false">(E1559+M1558)-N1559</f>
        <v>37.9099999999999</v>
      </c>
      <c r="N1559" s="1" t="n">
        <v>3.2</v>
      </c>
    </row>
    <row r="1560" customFormat="false" ht="15" hidden="false" customHeight="true" outlineLevel="0" collapsed="false">
      <c r="D1560" s="11"/>
      <c r="H1560" s="1" t="s">
        <v>54</v>
      </c>
      <c r="I1560" s="1" t="s">
        <v>34</v>
      </c>
      <c r="J1560" s="1" t="n">
        <f aca="false">K1559</f>
        <v>12651</v>
      </c>
      <c r="K1560" s="1" t="n">
        <f aca="false">J1560+L1560</f>
        <v>12678</v>
      </c>
      <c r="L1560" s="1" t="n">
        <v>27</v>
      </c>
      <c r="M1560" s="1" t="n">
        <f aca="false">(E1560+M1559)-N1560</f>
        <v>34.7099999999999</v>
      </c>
      <c r="N1560" s="1" t="n">
        <v>3.2</v>
      </c>
    </row>
    <row r="1561" customFormat="false" ht="15" hidden="false" customHeight="true" outlineLevel="0" collapsed="false">
      <c r="D1561" s="11" t="n">
        <v>45432</v>
      </c>
      <c r="H1561" s="1" t="s">
        <v>34</v>
      </c>
      <c r="I1561" s="1" t="s">
        <v>54</v>
      </c>
      <c r="J1561" s="1" t="n">
        <f aca="false">K1560</f>
        <v>12678</v>
      </c>
      <c r="K1561" s="1" t="n">
        <f aca="false">J1561+L1561</f>
        <v>12705</v>
      </c>
      <c r="L1561" s="1" t="n">
        <v>27</v>
      </c>
      <c r="M1561" s="1" t="n">
        <f aca="false">(E1561+M1560)-N1561</f>
        <v>31.5099999999999</v>
      </c>
      <c r="N1561" s="1" t="n">
        <v>3.2</v>
      </c>
    </row>
    <row r="1562" customFormat="false" ht="15" hidden="false" customHeight="true" outlineLevel="0" collapsed="false">
      <c r="D1562" s="11"/>
      <c r="H1562" s="1" t="s">
        <v>54</v>
      </c>
      <c r="I1562" s="1" t="s">
        <v>34</v>
      </c>
      <c r="J1562" s="1" t="n">
        <f aca="false">K1561</f>
        <v>12705</v>
      </c>
      <c r="K1562" s="1" t="n">
        <f aca="false">J1562+L1562</f>
        <v>12732</v>
      </c>
      <c r="L1562" s="1" t="n">
        <v>27</v>
      </c>
      <c r="M1562" s="1" t="n">
        <f aca="false">(E1562+M1561)-N1562</f>
        <v>28.3099999999999</v>
      </c>
      <c r="N1562" s="1" t="n">
        <v>3.2</v>
      </c>
    </row>
    <row r="1563" customFormat="false" ht="15" hidden="false" customHeight="true" outlineLevel="0" collapsed="false">
      <c r="D1563" s="11" t="n">
        <v>45433</v>
      </c>
      <c r="H1563" s="1" t="s">
        <v>34</v>
      </c>
      <c r="I1563" s="1" t="s">
        <v>32</v>
      </c>
      <c r="J1563" s="1" t="n">
        <f aca="false">K1562</f>
        <v>12732</v>
      </c>
      <c r="K1563" s="1" t="n">
        <f aca="false">J1563+L1563</f>
        <v>12757</v>
      </c>
      <c r="L1563" s="1" t="n">
        <v>25</v>
      </c>
      <c r="M1563" s="1" t="n">
        <f aca="false">(E1563+M1562)-N1563</f>
        <v>25.3099999999999</v>
      </c>
      <c r="N1563" s="1" t="n">
        <v>3</v>
      </c>
    </row>
    <row r="1564" customFormat="false" ht="15" hidden="false" customHeight="true" outlineLevel="0" collapsed="false">
      <c r="D1564" s="11"/>
      <c r="H1564" s="1" t="s">
        <v>32</v>
      </c>
      <c r="I1564" s="1" t="s">
        <v>34</v>
      </c>
      <c r="J1564" s="1" t="n">
        <f aca="false">K1563</f>
        <v>12757</v>
      </c>
      <c r="K1564" s="1" t="n">
        <f aca="false">J1564+L1564</f>
        <v>12782</v>
      </c>
      <c r="L1564" s="1" t="n">
        <v>25</v>
      </c>
      <c r="M1564" s="1" t="n">
        <f aca="false">(E1564+M1563)-N1564</f>
        <v>22.3099999999999</v>
      </c>
      <c r="N1564" s="1" t="n">
        <v>3</v>
      </c>
    </row>
    <row r="1565" customFormat="false" ht="15" hidden="false" customHeight="true" outlineLevel="0" collapsed="false">
      <c r="D1565" s="11" t="n">
        <v>45434</v>
      </c>
      <c r="H1565" s="1" t="s">
        <v>34</v>
      </c>
      <c r="I1565" s="1" t="s">
        <v>65</v>
      </c>
      <c r="J1565" s="1" t="n">
        <f aca="false">K1564</f>
        <v>12782</v>
      </c>
      <c r="K1565" s="1" t="n">
        <f aca="false">J1565+L1565</f>
        <v>12862</v>
      </c>
      <c r="L1565" s="1" t="n">
        <v>80</v>
      </c>
      <c r="M1565" s="1" t="n">
        <f aca="false">(E1565+M1564)-N1565</f>
        <v>13.3099999999999</v>
      </c>
      <c r="N1565" s="1" t="n">
        <v>9</v>
      </c>
    </row>
    <row r="1566" customFormat="false" ht="15" hidden="false" customHeight="true" outlineLevel="0" collapsed="false">
      <c r="D1566" s="11"/>
      <c r="H1566" s="1" t="s">
        <v>65</v>
      </c>
      <c r="I1566" s="1" t="s">
        <v>34</v>
      </c>
      <c r="J1566" s="1" t="n">
        <f aca="false">K1565</f>
        <v>12862</v>
      </c>
      <c r="K1566" s="1" t="n">
        <f aca="false">J1566+L1566</f>
        <v>12942</v>
      </c>
      <c r="L1566" s="1" t="n">
        <v>80</v>
      </c>
      <c r="M1566" s="1" t="n">
        <f aca="false">(E1566+M1565)-N1566</f>
        <v>4.30999999999993</v>
      </c>
      <c r="N1566" s="1" t="n">
        <v>9</v>
      </c>
    </row>
    <row r="1567" customFormat="false" ht="15" hidden="false" customHeight="true" outlineLevel="0" collapsed="false">
      <c r="D1567" s="11" t="n">
        <v>45435</v>
      </c>
      <c r="H1567" s="1" t="s">
        <v>34</v>
      </c>
      <c r="I1567" s="1" t="s">
        <v>35</v>
      </c>
      <c r="J1567" s="1" t="n">
        <f aca="false">K1566</f>
        <v>12942</v>
      </c>
      <c r="K1567" s="1" t="n">
        <f aca="false">J1567+L1567</f>
        <v>12954</v>
      </c>
      <c r="L1567" s="1" t="n">
        <v>12</v>
      </c>
      <c r="M1567" s="1" t="n">
        <f aca="false">(E1567+M1566)-N1567</f>
        <v>3.05999999999993</v>
      </c>
      <c r="N1567" s="1" t="n">
        <v>1.25</v>
      </c>
    </row>
    <row r="1568" customFormat="false" ht="15" hidden="false" customHeight="true" outlineLevel="0" collapsed="false">
      <c r="D1568" s="11"/>
      <c r="H1568" s="1" t="s">
        <v>35</v>
      </c>
      <c r="I1568" s="1" t="s">
        <v>34</v>
      </c>
      <c r="J1568" s="1" t="n">
        <f aca="false">K1567</f>
        <v>12954</v>
      </c>
      <c r="K1568" s="1" t="n">
        <f aca="false">J1568+L1568</f>
        <v>12966</v>
      </c>
      <c r="L1568" s="1" t="n">
        <v>12</v>
      </c>
      <c r="M1568" s="1" t="n">
        <f aca="false">(E1568+M1567)-N1568</f>
        <v>1.80999999999993</v>
      </c>
      <c r="N1568" s="1" t="n">
        <v>1.25</v>
      </c>
    </row>
    <row r="1569" customFormat="false" ht="15" hidden="false" customHeight="true" outlineLevel="0" collapsed="false">
      <c r="D1569" s="11" t="n">
        <v>45436</v>
      </c>
      <c r="E1569" s="0" t="n">
        <v>37.1</v>
      </c>
      <c r="F1569" s="1" t="n">
        <v>56.4</v>
      </c>
      <c r="G1569" s="6" t="n">
        <f aca="false">E1569*F1569</f>
        <v>2092.44</v>
      </c>
      <c r="H1569" s="1" t="s">
        <v>34</v>
      </c>
      <c r="I1569" s="1" t="s">
        <v>54</v>
      </c>
      <c r="J1569" s="1" t="n">
        <f aca="false">K1568</f>
        <v>12966</v>
      </c>
      <c r="K1569" s="1" t="n">
        <f aca="false">J1569+L1569</f>
        <v>12993</v>
      </c>
      <c r="L1569" s="1" t="n">
        <v>27</v>
      </c>
      <c r="M1569" s="1" t="n">
        <f aca="false">(E1569+M1568)-N1569</f>
        <v>35.7099999999999</v>
      </c>
      <c r="N1569" s="1" t="n">
        <v>3.2</v>
      </c>
    </row>
    <row r="1570" customFormat="false" ht="15" hidden="false" customHeight="true" outlineLevel="0" collapsed="false">
      <c r="D1570" s="11"/>
      <c r="H1570" s="1" t="s">
        <v>54</v>
      </c>
      <c r="I1570" s="1" t="s">
        <v>34</v>
      </c>
      <c r="J1570" s="1" t="n">
        <f aca="false">K1569</f>
        <v>12993</v>
      </c>
      <c r="K1570" s="1" t="n">
        <f aca="false">J1570+L1570</f>
        <v>13020</v>
      </c>
      <c r="L1570" s="1" t="n">
        <v>27</v>
      </c>
      <c r="M1570" s="1" t="n">
        <f aca="false">(E1570+M1569)-N1570</f>
        <v>32.5099999999999</v>
      </c>
      <c r="N1570" s="1" t="n">
        <v>3.2</v>
      </c>
    </row>
    <row r="1571" customFormat="false" ht="15" hidden="false" customHeight="true" outlineLevel="0" collapsed="false">
      <c r="D1571" s="11" t="n">
        <v>45439</v>
      </c>
      <c r="H1571" s="1" t="s">
        <v>34</v>
      </c>
      <c r="I1571" s="1" t="s">
        <v>54</v>
      </c>
      <c r="J1571" s="1" t="n">
        <f aca="false">K1570</f>
        <v>13020</v>
      </c>
      <c r="K1571" s="1" t="n">
        <f aca="false">J1571+L1571</f>
        <v>13047</v>
      </c>
      <c r="L1571" s="1" t="n">
        <v>27</v>
      </c>
      <c r="M1571" s="1" t="n">
        <f aca="false">(E1571+M1570)-N1571</f>
        <v>29.3099999999999</v>
      </c>
      <c r="N1571" s="1" t="n">
        <v>3.2</v>
      </c>
    </row>
    <row r="1572" customFormat="false" ht="15" hidden="false" customHeight="true" outlineLevel="0" collapsed="false">
      <c r="D1572" s="11"/>
      <c r="H1572" s="1" t="s">
        <v>54</v>
      </c>
      <c r="I1572" s="1" t="s">
        <v>34</v>
      </c>
      <c r="J1572" s="1" t="n">
        <f aca="false">K1571</f>
        <v>13047</v>
      </c>
      <c r="K1572" s="1" t="n">
        <f aca="false">J1572+L1572</f>
        <v>13074</v>
      </c>
      <c r="L1572" s="1" t="n">
        <v>27</v>
      </c>
      <c r="M1572" s="1" t="n">
        <f aca="false">(E1572+M1571)-N1572</f>
        <v>26.1099999999999</v>
      </c>
      <c r="N1572" s="1" t="n">
        <v>3.2</v>
      </c>
    </row>
    <row r="1573" customFormat="false" ht="15" hidden="false" customHeight="true" outlineLevel="0" collapsed="false">
      <c r="D1573" s="11" t="n">
        <v>45440</v>
      </c>
      <c r="H1573" s="1" t="s">
        <v>34</v>
      </c>
      <c r="I1573" s="1" t="s">
        <v>54</v>
      </c>
      <c r="J1573" s="1" t="n">
        <f aca="false">K1572</f>
        <v>13074</v>
      </c>
      <c r="K1573" s="1" t="n">
        <f aca="false">J1573+L1573</f>
        <v>13101</v>
      </c>
      <c r="L1573" s="1" t="n">
        <v>27</v>
      </c>
      <c r="M1573" s="1" t="n">
        <f aca="false">(E1573+M1572)-N1573</f>
        <v>22.9099999999999</v>
      </c>
      <c r="N1573" s="1" t="n">
        <v>3.2</v>
      </c>
    </row>
    <row r="1574" customFormat="false" ht="15" hidden="false" customHeight="true" outlineLevel="0" collapsed="false">
      <c r="D1574" s="11"/>
      <c r="H1574" s="1" t="s">
        <v>54</v>
      </c>
      <c r="I1574" s="1" t="s">
        <v>34</v>
      </c>
      <c r="J1574" s="1" t="n">
        <f aca="false">K1573</f>
        <v>13101</v>
      </c>
      <c r="K1574" s="1" t="n">
        <f aca="false">J1574+L1574</f>
        <v>13128</v>
      </c>
      <c r="L1574" s="1" t="n">
        <v>27</v>
      </c>
      <c r="M1574" s="1" t="n">
        <f aca="false">(E1574+M1573)-N1574</f>
        <v>19.7099999999999</v>
      </c>
      <c r="N1574" s="1" t="n">
        <v>3.2</v>
      </c>
    </row>
    <row r="1575" customFormat="false" ht="15" hidden="false" customHeight="true" outlineLevel="0" collapsed="false">
      <c r="D1575" s="11" t="n">
        <v>45441</v>
      </c>
      <c r="H1575" s="1" t="s">
        <v>34</v>
      </c>
      <c r="I1575" s="1" t="s">
        <v>54</v>
      </c>
      <c r="J1575" s="1" t="n">
        <f aca="false">K1574</f>
        <v>13128</v>
      </c>
      <c r="K1575" s="1" t="n">
        <f aca="false">J1575+L1575</f>
        <v>13155</v>
      </c>
      <c r="L1575" s="1" t="n">
        <v>27</v>
      </c>
      <c r="M1575" s="1" t="n">
        <f aca="false">(E1575+M1574)-N1575</f>
        <v>16.5099999999999</v>
      </c>
      <c r="N1575" s="1" t="n">
        <v>3.2</v>
      </c>
    </row>
    <row r="1576" customFormat="false" ht="15" hidden="false" customHeight="true" outlineLevel="0" collapsed="false">
      <c r="D1576" s="11"/>
      <c r="H1576" s="1" t="s">
        <v>54</v>
      </c>
      <c r="I1576" s="1" t="s">
        <v>34</v>
      </c>
      <c r="J1576" s="1" t="n">
        <f aca="false">K1575</f>
        <v>13155</v>
      </c>
      <c r="K1576" s="1" t="n">
        <f aca="false">J1576+L1576</f>
        <v>13182</v>
      </c>
      <c r="L1576" s="1" t="n">
        <v>27</v>
      </c>
      <c r="M1576" s="1" t="n">
        <f aca="false">(E1576+M1575)-N1576</f>
        <v>13.3099999999999</v>
      </c>
      <c r="N1576" s="1" t="n">
        <v>3.2</v>
      </c>
    </row>
    <row r="1577" customFormat="false" ht="15" hidden="false" customHeight="true" outlineLevel="0" collapsed="false">
      <c r="D1577" s="11" t="n">
        <v>45442</v>
      </c>
      <c r="H1577" s="1" t="s">
        <v>34</v>
      </c>
      <c r="I1577" s="1" t="s">
        <v>35</v>
      </c>
      <c r="J1577" s="1" t="n">
        <f aca="false">K1576</f>
        <v>13182</v>
      </c>
      <c r="K1577" s="1" t="n">
        <f aca="false">J1577+L1577</f>
        <v>13194</v>
      </c>
      <c r="L1577" s="1" t="n">
        <v>12</v>
      </c>
      <c r="M1577" s="1" t="n">
        <f aca="false">(E1577+M1576)-N1577</f>
        <v>12.0599999999999</v>
      </c>
      <c r="N1577" s="1" t="n">
        <v>1.25</v>
      </c>
    </row>
    <row r="1578" customFormat="false" ht="15" hidden="false" customHeight="true" outlineLevel="0" collapsed="false">
      <c r="D1578" s="11"/>
      <c r="H1578" s="1" t="s">
        <v>35</v>
      </c>
      <c r="I1578" s="1" t="s">
        <v>34</v>
      </c>
      <c r="J1578" s="1" t="n">
        <f aca="false">K1577</f>
        <v>13194</v>
      </c>
      <c r="K1578" s="1" t="n">
        <f aca="false">J1578+L1578</f>
        <v>13206</v>
      </c>
      <c r="L1578" s="1" t="n">
        <v>12</v>
      </c>
      <c r="M1578" s="1" t="n">
        <f aca="false">(E1578+M1577)-N1578</f>
        <v>10.8099999999999</v>
      </c>
      <c r="N1578" s="1" t="n">
        <v>1.25</v>
      </c>
    </row>
    <row r="1579" customFormat="false" ht="15" hidden="false" customHeight="true" outlineLevel="0" collapsed="false">
      <c r="D1579" s="11" t="n">
        <v>45443</v>
      </c>
      <c r="H1579" s="1" t="s">
        <v>34</v>
      </c>
      <c r="I1579" s="1" t="s">
        <v>35</v>
      </c>
      <c r="J1579" s="1" t="n">
        <f aca="false">K1578</f>
        <v>13206</v>
      </c>
      <c r="K1579" s="1" t="n">
        <f aca="false">J1579+L1579</f>
        <v>13218</v>
      </c>
      <c r="L1579" s="1" t="n">
        <v>12</v>
      </c>
      <c r="M1579" s="1" t="n">
        <f aca="false">(E1579+M1578)-N1579</f>
        <v>9.55999999999993</v>
      </c>
      <c r="N1579" s="1" t="n">
        <v>1.25</v>
      </c>
    </row>
    <row r="1580" customFormat="false" ht="15" hidden="false" customHeight="true" outlineLevel="0" collapsed="false">
      <c r="H1580" s="1" t="s">
        <v>35</v>
      </c>
      <c r="I1580" s="1" t="s">
        <v>34</v>
      </c>
      <c r="J1580" s="1" t="n">
        <f aca="false">K1579</f>
        <v>13218</v>
      </c>
      <c r="K1580" s="1" t="n">
        <f aca="false">J1580+L1580</f>
        <v>13230</v>
      </c>
      <c r="L1580" s="1" t="n">
        <v>12</v>
      </c>
      <c r="M1580" s="1" t="n">
        <f aca="false">(E1580+M1579)-N1580</f>
        <v>8.30999999999993</v>
      </c>
      <c r="N1580" s="1" t="n">
        <v>1.25</v>
      </c>
    </row>
    <row r="1582" customFormat="false" ht="15" hidden="false" customHeight="true" outlineLevel="0" collapsed="false">
      <c r="D1582" s="4" t="s">
        <v>79</v>
      </c>
      <c r="E1582" s="4"/>
      <c r="F1582" s="4"/>
      <c r="G1582" s="4"/>
    </row>
    <row r="1583" customFormat="false" ht="15" hidden="false" customHeight="true" outlineLevel="0" collapsed="false">
      <c r="D1583" s="11" t="n">
        <v>45446</v>
      </c>
      <c r="H1583" s="1" t="s">
        <v>34</v>
      </c>
      <c r="I1583" s="1" t="s">
        <v>54</v>
      </c>
      <c r="J1583" s="1" t="n">
        <f aca="false">K1580</f>
        <v>13230</v>
      </c>
      <c r="K1583" s="1" t="n">
        <f aca="false">J1583+L1583</f>
        <v>13257</v>
      </c>
      <c r="L1583" s="1" t="n">
        <v>27</v>
      </c>
      <c r="M1583" s="1" t="n">
        <f aca="false">(E1583+M1580)-N1583</f>
        <v>5.10999999999993</v>
      </c>
      <c r="N1583" s="1" t="n">
        <v>3.2</v>
      </c>
    </row>
    <row r="1584" customFormat="false" ht="15" hidden="false" customHeight="true" outlineLevel="0" collapsed="false">
      <c r="D1584" s="11"/>
      <c r="H1584" s="1" t="s">
        <v>54</v>
      </c>
      <c r="I1584" s="1" t="s">
        <v>34</v>
      </c>
      <c r="J1584" s="1" t="n">
        <f aca="false">K1583</f>
        <v>13257</v>
      </c>
      <c r="K1584" s="1" t="n">
        <f aca="false">J1584+L1584</f>
        <v>13284</v>
      </c>
      <c r="L1584" s="1" t="n">
        <v>27</v>
      </c>
      <c r="M1584" s="1" t="n">
        <f aca="false">(E1584+M1583)-N1584</f>
        <v>1.90999999999993</v>
      </c>
      <c r="N1584" s="1" t="n">
        <v>3.2</v>
      </c>
    </row>
    <row r="1585" customFormat="false" ht="15" hidden="false" customHeight="true" outlineLevel="0" collapsed="false">
      <c r="D1585" s="11" t="n">
        <v>45454</v>
      </c>
      <c r="E1585" s="0" t="n">
        <v>49.09</v>
      </c>
      <c r="F1585" s="1" t="n">
        <v>56.8</v>
      </c>
      <c r="G1585" s="6" t="n">
        <f aca="false">E1585*F1585</f>
        <v>2788.312</v>
      </c>
      <c r="H1585" s="1" t="s">
        <v>34</v>
      </c>
      <c r="I1585" s="1" t="s">
        <v>65</v>
      </c>
      <c r="J1585" s="1" t="n">
        <f aca="false">K1584</f>
        <v>13284</v>
      </c>
      <c r="K1585" s="1" t="n">
        <f aca="false">J1585+L1585</f>
        <v>13364</v>
      </c>
      <c r="L1585" s="1" t="n">
        <v>80</v>
      </c>
      <c r="M1585" s="1" t="n">
        <f aca="false">(E1585+M1584)-N1585</f>
        <v>41.9999999999999</v>
      </c>
      <c r="N1585" s="1" t="n">
        <v>9</v>
      </c>
    </row>
    <row r="1586" customFormat="false" ht="15" hidden="false" customHeight="true" outlineLevel="0" collapsed="false">
      <c r="D1586" s="11"/>
      <c r="H1586" s="1" t="s">
        <v>65</v>
      </c>
      <c r="I1586" s="1" t="s">
        <v>34</v>
      </c>
      <c r="J1586" s="1" t="n">
        <f aca="false">K1585</f>
        <v>13364</v>
      </c>
      <c r="K1586" s="1" t="n">
        <f aca="false">J1586+L1586</f>
        <v>13444</v>
      </c>
      <c r="L1586" s="1" t="n">
        <v>80</v>
      </c>
      <c r="M1586" s="1" t="n">
        <f aca="false">(E1586+M1585)-N1586</f>
        <v>32.9999999999999</v>
      </c>
      <c r="N1586" s="1" t="n">
        <v>9</v>
      </c>
    </row>
    <row r="1587" customFormat="false" ht="15" hidden="false" customHeight="true" outlineLevel="0" collapsed="false">
      <c r="D1587" s="11" t="n">
        <v>45456</v>
      </c>
      <c r="H1587" s="1" t="s">
        <v>34</v>
      </c>
      <c r="I1587" s="1" t="s">
        <v>65</v>
      </c>
      <c r="J1587" s="1" t="n">
        <f aca="false">K1586</f>
        <v>13444</v>
      </c>
      <c r="K1587" s="1" t="n">
        <f aca="false">J1587+L1587</f>
        <v>13524</v>
      </c>
      <c r="L1587" s="1" t="n">
        <v>80</v>
      </c>
      <c r="M1587" s="1" t="n">
        <f aca="false">(E1587+M1586)-N1587</f>
        <v>23.9999999999999</v>
      </c>
      <c r="N1587" s="1" t="n">
        <v>9</v>
      </c>
    </row>
    <row r="1588" customFormat="false" ht="15" hidden="false" customHeight="true" outlineLevel="0" collapsed="false">
      <c r="D1588" s="11"/>
      <c r="H1588" s="1" t="s">
        <v>65</v>
      </c>
      <c r="I1588" s="1" t="s">
        <v>34</v>
      </c>
      <c r="J1588" s="1" t="n">
        <f aca="false">K1587</f>
        <v>13524</v>
      </c>
      <c r="K1588" s="1" t="n">
        <f aca="false">J1588+L1588</f>
        <v>13604</v>
      </c>
      <c r="L1588" s="1" t="n">
        <v>80</v>
      </c>
      <c r="M1588" s="1" t="n">
        <f aca="false">(E1588+M1587)-N1588</f>
        <v>14.9999999999999</v>
      </c>
      <c r="N1588" s="1" t="n">
        <v>9</v>
      </c>
    </row>
    <row r="1589" customFormat="false" ht="15" hidden="false" customHeight="true" outlineLevel="0" collapsed="false">
      <c r="D1589" s="11" t="n">
        <v>45457</v>
      </c>
      <c r="E1589" s="0" t="n">
        <v>32.35</v>
      </c>
      <c r="F1589" s="1" t="n">
        <v>57.25</v>
      </c>
      <c r="G1589" s="6" t="n">
        <f aca="false">E1589*F1589</f>
        <v>1852.0375</v>
      </c>
      <c r="H1589" s="1" t="s">
        <v>34</v>
      </c>
      <c r="I1589" s="1" t="s">
        <v>59</v>
      </c>
      <c r="J1589" s="1" t="n">
        <f aca="false">K1588</f>
        <v>13604</v>
      </c>
      <c r="K1589" s="1" t="n">
        <f aca="false">J1589+L1589</f>
        <v>13631</v>
      </c>
      <c r="L1589" s="1" t="n">
        <v>27</v>
      </c>
      <c r="M1589" s="1" t="n">
        <f aca="false">(E1589+M1588)-N1589</f>
        <v>44.1499999999999</v>
      </c>
      <c r="N1589" s="1" t="n">
        <v>3.2</v>
      </c>
    </row>
    <row r="1590" customFormat="false" ht="15" hidden="false" customHeight="true" outlineLevel="0" collapsed="false">
      <c r="D1590" s="11"/>
      <c r="H1590" s="1" t="s">
        <v>59</v>
      </c>
      <c r="I1590" s="1" t="s">
        <v>34</v>
      </c>
      <c r="J1590" s="1" t="n">
        <f aca="false">K1589</f>
        <v>13631</v>
      </c>
      <c r="K1590" s="1" t="n">
        <f aca="false">J1590+L1590</f>
        <v>13658</v>
      </c>
      <c r="L1590" s="1" t="n">
        <v>27</v>
      </c>
      <c r="M1590" s="1" t="n">
        <f aca="false">(E1590+M1589)-N1590</f>
        <v>40.9499999999999</v>
      </c>
      <c r="N1590" s="1" t="n">
        <v>3.2</v>
      </c>
    </row>
    <row r="1591" customFormat="false" ht="15" hidden="false" customHeight="true" outlineLevel="0" collapsed="false">
      <c r="D1591" s="11"/>
      <c r="H1591" s="1" t="s">
        <v>34</v>
      </c>
      <c r="I1591" s="1" t="s">
        <v>65</v>
      </c>
      <c r="J1591" s="1" t="n">
        <f aca="false">K1590</f>
        <v>13658</v>
      </c>
      <c r="K1591" s="1" t="n">
        <f aca="false">J1591+L1591</f>
        <v>13738</v>
      </c>
      <c r="L1591" s="1" t="n">
        <v>80</v>
      </c>
      <c r="M1591" s="1" t="n">
        <f aca="false">(E1591+M1590)-N1591</f>
        <v>31.9499999999999</v>
      </c>
      <c r="N1591" s="1" t="n">
        <v>9</v>
      </c>
    </row>
    <row r="1592" customFormat="false" ht="15" hidden="false" customHeight="true" outlineLevel="0" collapsed="false">
      <c r="D1592" s="11"/>
      <c r="H1592" s="1" t="s">
        <v>65</v>
      </c>
      <c r="I1592" s="1" t="s">
        <v>34</v>
      </c>
      <c r="J1592" s="1" t="n">
        <f aca="false">K1591</f>
        <v>13738</v>
      </c>
      <c r="K1592" s="1" t="n">
        <f aca="false">J1592+L1592</f>
        <v>13818</v>
      </c>
      <c r="L1592" s="1" t="n">
        <v>80</v>
      </c>
      <c r="M1592" s="1" t="n">
        <f aca="false">(E1592+M1591)-N1592</f>
        <v>22.9499999999999</v>
      </c>
      <c r="N1592" s="1" t="n">
        <v>9</v>
      </c>
    </row>
    <row r="1593" customFormat="false" ht="15" hidden="false" customHeight="true" outlineLevel="0" collapsed="false">
      <c r="D1593" s="11"/>
      <c r="H1593" s="1" t="s">
        <v>34</v>
      </c>
      <c r="I1593" s="1" t="s">
        <v>44</v>
      </c>
      <c r="J1593" s="1" t="n">
        <f aca="false">K1592</f>
        <v>13818</v>
      </c>
      <c r="K1593" s="1" t="n">
        <f aca="false">J1593+L1593</f>
        <v>13858</v>
      </c>
      <c r="L1593" s="1" t="n">
        <v>40</v>
      </c>
      <c r="M1593" s="1" t="n">
        <f aca="false">(E1593+M1592)-N1593</f>
        <v>18.1499999999999</v>
      </c>
      <c r="N1593" s="1" t="n">
        <v>4.8</v>
      </c>
    </row>
    <row r="1594" customFormat="false" ht="15" hidden="false" customHeight="true" outlineLevel="0" collapsed="false">
      <c r="D1594" s="11"/>
      <c r="H1594" s="1" t="s">
        <v>44</v>
      </c>
      <c r="I1594" s="1" t="s">
        <v>34</v>
      </c>
      <c r="J1594" s="1" t="n">
        <f aca="false">K1593</f>
        <v>13858</v>
      </c>
      <c r="K1594" s="1" t="n">
        <f aca="false">J1594+L1594</f>
        <v>13898</v>
      </c>
      <c r="L1594" s="1" t="n">
        <v>40</v>
      </c>
      <c r="M1594" s="1" t="n">
        <f aca="false">(E1594+M1593)-N1594</f>
        <v>13.3499999999999</v>
      </c>
      <c r="N1594" s="1" t="n">
        <v>4.8</v>
      </c>
    </row>
    <row r="1595" customFormat="false" ht="15" hidden="false" customHeight="true" outlineLevel="0" collapsed="false">
      <c r="D1595" s="11" t="n">
        <v>45460</v>
      </c>
      <c r="H1595" s="1" t="s">
        <v>34</v>
      </c>
      <c r="I1595" s="1" t="s">
        <v>37</v>
      </c>
      <c r="J1595" s="1" t="n">
        <f aca="false">K1594</f>
        <v>13898</v>
      </c>
      <c r="K1595" s="1" t="n">
        <f aca="false">J1595+L1595</f>
        <v>13938</v>
      </c>
      <c r="L1595" s="1" t="n">
        <v>40</v>
      </c>
      <c r="M1595" s="1" t="n">
        <f aca="false">(E1595+M1594)-N1595</f>
        <v>8.54999999999993</v>
      </c>
      <c r="N1595" s="1" t="n">
        <v>4.8</v>
      </c>
    </row>
    <row r="1596" customFormat="false" ht="15" hidden="false" customHeight="true" outlineLevel="0" collapsed="false">
      <c r="D1596" s="11"/>
      <c r="H1596" s="1" t="s">
        <v>37</v>
      </c>
      <c r="I1596" s="1" t="s">
        <v>34</v>
      </c>
      <c r="J1596" s="1" t="n">
        <f aca="false">K1595</f>
        <v>13938</v>
      </c>
      <c r="K1596" s="1" t="n">
        <f aca="false">J1596+L1596</f>
        <v>13978</v>
      </c>
      <c r="L1596" s="1" t="n">
        <v>40</v>
      </c>
      <c r="M1596" s="1" t="n">
        <f aca="false">(E1596+M1595)-N1596</f>
        <v>3.74999999999993</v>
      </c>
      <c r="N1596" s="1" t="n">
        <v>4.8</v>
      </c>
    </row>
    <row r="1597" customFormat="false" ht="15" hidden="false" customHeight="true" outlineLevel="0" collapsed="false">
      <c r="D1597" s="11" t="n">
        <v>45461</v>
      </c>
      <c r="E1597" s="0" t="n">
        <v>40.2</v>
      </c>
      <c r="F1597" s="1" t="n">
        <v>57.35</v>
      </c>
      <c r="G1597" s="6" t="n">
        <f aca="false">E1597*F1597</f>
        <v>2305.47</v>
      </c>
      <c r="H1597" s="1" t="s">
        <v>34</v>
      </c>
      <c r="I1597" s="1" t="s">
        <v>44</v>
      </c>
      <c r="J1597" s="1" t="n">
        <f aca="false">K1596</f>
        <v>13978</v>
      </c>
      <c r="K1597" s="1" t="n">
        <f aca="false">J1597+L1597</f>
        <v>14018</v>
      </c>
      <c r="L1597" s="1" t="n">
        <v>40</v>
      </c>
      <c r="M1597" s="1" t="n">
        <f aca="false">(E1597+M1596)-N1597</f>
        <v>39.1499999999999</v>
      </c>
      <c r="N1597" s="1" t="n">
        <v>4.8</v>
      </c>
    </row>
    <row r="1598" customFormat="false" ht="15" hidden="false" customHeight="true" outlineLevel="0" collapsed="false">
      <c r="D1598" s="11"/>
      <c r="H1598" s="1" t="s">
        <v>44</v>
      </c>
      <c r="I1598" s="1" t="s">
        <v>34</v>
      </c>
      <c r="J1598" s="1" t="n">
        <f aca="false">K1597</f>
        <v>14018</v>
      </c>
      <c r="K1598" s="1" t="n">
        <f aca="false">J1598+L1598</f>
        <v>14058</v>
      </c>
      <c r="L1598" s="1" t="n">
        <v>40</v>
      </c>
      <c r="M1598" s="1" t="n">
        <f aca="false">(E1598+M1597)-N1598</f>
        <v>34.3499999999999</v>
      </c>
      <c r="N1598" s="1" t="n">
        <v>4.8</v>
      </c>
    </row>
    <row r="1599" customFormat="false" ht="15" hidden="false" customHeight="true" outlineLevel="0" collapsed="false">
      <c r="D1599" s="11" t="n">
        <v>45462</v>
      </c>
      <c r="H1599" s="1" t="s">
        <v>34</v>
      </c>
      <c r="I1599" s="1" t="s">
        <v>54</v>
      </c>
      <c r="J1599" s="1" t="n">
        <f aca="false">K1598</f>
        <v>14058</v>
      </c>
      <c r="K1599" s="1" t="n">
        <f aca="false">J1599+L1599</f>
        <v>14085</v>
      </c>
      <c r="L1599" s="1" t="n">
        <v>27</v>
      </c>
      <c r="M1599" s="1" t="n">
        <f aca="false">(E1599+M1598)-N1599</f>
        <v>31.1499999999999</v>
      </c>
      <c r="N1599" s="1" t="n">
        <v>3.2</v>
      </c>
    </row>
    <row r="1600" customFormat="false" ht="15" hidden="false" customHeight="true" outlineLevel="0" collapsed="false">
      <c r="D1600" s="11"/>
      <c r="H1600" s="1" t="s">
        <v>54</v>
      </c>
      <c r="I1600" s="1" t="s">
        <v>34</v>
      </c>
      <c r="J1600" s="1" t="n">
        <f aca="false">K1599</f>
        <v>14085</v>
      </c>
      <c r="K1600" s="1" t="n">
        <f aca="false">J1600+L1600</f>
        <v>14112</v>
      </c>
      <c r="L1600" s="1" t="n">
        <v>27</v>
      </c>
      <c r="M1600" s="1" t="n">
        <f aca="false">(E1600+M1599)-N1600</f>
        <v>27.9499999999999</v>
      </c>
      <c r="N1600" s="1" t="n">
        <v>3.2</v>
      </c>
    </row>
    <row r="1601" customFormat="false" ht="15" hidden="false" customHeight="true" outlineLevel="0" collapsed="false">
      <c r="D1601" s="11" t="n">
        <v>45463</v>
      </c>
      <c r="H1601" s="1" t="s">
        <v>34</v>
      </c>
      <c r="I1601" s="1" t="s">
        <v>54</v>
      </c>
      <c r="J1601" s="1" t="n">
        <f aca="false">K1600</f>
        <v>14112</v>
      </c>
      <c r="K1601" s="1" t="n">
        <f aca="false">J1601+L1601</f>
        <v>14139</v>
      </c>
      <c r="L1601" s="1" t="n">
        <v>27</v>
      </c>
      <c r="M1601" s="1" t="n">
        <f aca="false">(E1601+M1600)-N1601</f>
        <v>24.7499999999999</v>
      </c>
      <c r="N1601" s="1" t="n">
        <v>3.2</v>
      </c>
    </row>
    <row r="1602" customFormat="false" ht="15" hidden="false" customHeight="true" outlineLevel="0" collapsed="false">
      <c r="D1602" s="11"/>
      <c r="H1602" s="1" t="s">
        <v>54</v>
      </c>
      <c r="I1602" s="1" t="s">
        <v>34</v>
      </c>
      <c r="J1602" s="1" t="n">
        <f aca="false">K1601</f>
        <v>14139</v>
      </c>
      <c r="K1602" s="1" t="n">
        <f aca="false">J1602+L1602</f>
        <v>14166</v>
      </c>
      <c r="L1602" s="1" t="n">
        <v>27</v>
      </c>
      <c r="M1602" s="1" t="n">
        <f aca="false">(E1602+M1601)-N1602</f>
        <v>21.5499999999999</v>
      </c>
      <c r="N1602" s="1" t="n">
        <v>3.2</v>
      </c>
    </row>
    <row r="1603" customFormat="false" ht="15" hidden="false" customHeight="true" outlineLevel="0" collapsed="false">
      <c r="D1603" s="11" t="n">
        <v>45464</v>
      </c>
      <c r="H1603" s="1" t="s">
        <v>34</v>
      </c>
      <c r="I1603" s="1" t="s">
        <v>54</v>
      </c>
      <c r="J1603" s="1" t="n">
        <f aca="false">K1602</f>
        <v>14166</v>
      </c>
      <c r="K1603" s="1" t="n">
        <f aca="false">J1603+L1603</f>
        <v>14193</v>
      </c>
      <c r="L1603" s="1" t="n">
        <v>27</v>
      </c>
      <c r="M1603" s="1" t="n">
        <f aca="false">(E1603+M1602)-N1603</f>
        <v>18.3499999999999</v>
      </c>
      <c r="N1603" s="1" t="n">
        <v>3.2</v>
      </c>
    </row>
    <row r="1604" customFormat="false" ht="15" hidden="false" customHeight="true" outlineLevel="0" collapsed="false">
      <c r="D1604" s="11"/>
      <c r="H1604" s="1" t="s">
        <v>54</v>
      </c>
      <c r="I1604" s="1" t="s">
        <v>34</v>
      </c>
      <c r="J1604" s="1" t="n">
        <f aca="false">K1603</f>
        <v>14193</v>
      </c>
      <c r="K1604" s="1" t="n">
        <f aca="false">J1604+L1604</f>
        <v>14220</v>
      </c>
      <c r="L1604" s="1" t="n">
        <v>27</v>
      </c>
      <c r="M1604" s="1" t="n">
        <f aca="false">(E1604+M1603)-N1604</f>
        <v>15.1499999999999</v>
      </c>
      <c r="N1604" s="1" t="n">
        <v>3.2</v>
      </c>
    </row>
    <row r="1605" customFormat="false" ht="15" hidden="false" customHeight="true" outlineLevel="0" collapsed="false">
      <c r="D1605" s="11" t="n">
        <v>45467</v>
      </c>
      <c r="H1605" s="1" t="s">
        <v>34</v>
      </c>
      <c r="I1605" s="1" t="s">
        <v>35</v>
      </c>
      <c r="J1605" s="1" t="n">
        <f aca="false">K1604</f>
        <v>14220</v>
      </c>
      <c r="K1605" s="1" t="n">
        <f aca="false">J1605+L1605</f>
        <v>14232</v>
      </c>
      <c r="L1605" s="1" t="n">
        <v>12</v>
      </c>
      <c r="M1605" s="1" t="n">
        <f aca="false">(E1605+M1604)-N1605</f>
        <v>13.8999999999999</v>
      </c>
      <c r="N1605" s="1" t="n">
        <v>1.25</v>
      </c>
    </row>
    <row r="1606" customFormat="false" ht="15" hidden="false" customHeight="true" outlineLevel="0" collapsed="false">
      <c r="D1606" s="11"/>
      <c r="H1606" s="1" t="s">
        <v>35</v>
      </c>
      <c r="I1606" s="1" t="s">
        <v>34</v>
      </c>
      <c r="J1606" s="1" t="n">
        <f aca="false">K1605</f>
        <v>14232</v>
      </c>
      <c r="K1606" s="1" t="n">
        <f aca="false">J1606+L1606</f>
        <v>14244</v>
      </c>
      <c r="L1606" s="1" t="n">
        <v>12</v>
      </c>
      <c r="M1606" s="1" t="n">
        <f aca="false">(E1606+M1605)-N1606</f>
        <v>12.6499999999999</v>
      </c>
      <c r="N1606" s="1" t="n">
        <v>1.25</v>
      </c>
    </row>
    <row r="1607" customFormat="false" ht="15" hidden="false" customHeight="true" outlineLevel="0" collapsed="false">
      <c r="D1607" s="11" t="n">
        <v>45468</v>
      </c>
      <c r="H1607" s="1" t="s">
        <v>34</v>
      </c>
      <c r="I1607" s="1" t="s">
        <v>35</v>
      </c>
      <c r="J1607" s="1" t="n">
        <f aca="false">K1606</f>
        <v>14244</v>
      </c>
      <c r="K1607" s="1" t="n">
        <f aca="false">J1607+L1607</f>
        <v>14256</v>
      </c>
      <c r="L1607" s="1" t="n">
        <v>12</v>
      </c>
      <c r="M1607" s="1" t="n">
        <f aca="false">(E1607+M1606)-N1607</f>
        <v>11.3999999999999</v>
      </c>
      <c r="N1607" s="1" t="n">
        <v>1.25</v>
      </c>
    </row>
    <row r="1608" customFormat="false" ht="15" hidden="false" customHeight="true" outlineLevel="0" collapsed="false">
      <c r="D1608" s="11"/>
      <c r="H1608" s="1" t="s">
        <v>35</v>
      </c>
      <c r="I1608" s="1" t="s">
        <v>34</v>
      </c>
      <c r="J1608" s="1" t="n">
        <f aca="false">K1607</f>
        <v>14256</v>
      </c>
      <c r="K1608" s="1" t="n">
        <f aca="false">J1608+L1608</f>
        <v>14268</v>
      </c>
      <c r="L1608" s="1" t="n">
        <v>12</v>
      </c>
      <c r="M1608" s="1" t="n">
        <f aca="false">(E1608+M1607)-N1608</f>
        <v>10.1499999999999</v>
      </c>
      <c r="N1608" s="1" t="n">
        <v>1.25</v>
      </c>
    </row>
    <row r="1609" customFormat="false" ht="15" hidden="false" customHeight="true" outlineLevel="0" collapsed="false">
      <c r="D1609" s="11" t="n">
        <v>45469</v>
      </c>
      <c r="H1609" s="1" t="s">
        <v>34</v>
      </c>
      <c r="I1609" s="1" t="s">
        <v>35</v>
      </c>
      <c r="J1609" s="1" t="n">
        <f aca="false">K1608</f>
        <v>14268</v>
      </c>
      <c r="K1609" s="1" t="n">
        <f aca="false">J1609+L1609</f>
        <v>14280</v>
      </c>
      <c r="L1609" s="1" t="n">
        <v>12</v>
      </c>
      <c r="M1609" s="1" t="n">
        <f aca="false">(E1609+M1608)-N1609</f>
        <v>8.89999999999994</v>
      </c>
      <c r="N1609" s="1" t="n">
        <v>1.25</v>
      </c>
    </row>
    <row r="1610" customFormat="false" ht="15" hidden="false" customHeight="true" outlineLevel="0" collapsed="false">
      <c r="D1610" s="11"/>
      <c r="H1610" s="1" t="s">
        <v>35</v>
      </c>
      <c r="I1610" s="1" t="s">
        <v>34</v>
      </c>
      <c r="J1610" s="1" t="n">
        <f aca="false">K1609</f>
        <v>14280</v>
      </c>
      <c r="K1610" s="1" t="n">
        <f aca="false">J1610+L1610</f>
        <v>14292</v>
      </c>
      <c r="L1610" s="1" t="n">
        <v>12</v>
      </c>
      <c r="M1610" s="1" t="n">
        <f aca="false">(E1610+M1609)-N1610</f>
        <v>7.64999999999994</v>
      </c>
      <c r="N1610" s="1" t="n">
        <v>1.25</v>
      </c>
    </row>
    <row r="1611" customFormat="false" ht="15" hidden="false" customHeight="true" outlineLevel="0" collapsed="false">
      <c r="D1611" s="11" t="n">
        <v>45470</v>
      </c>
      <c r="E1611" s="0" t="n">
        <v>47.07</v>
      </c>
      <c r="F1611" s="1" t="n">
        <v>57.3</v>
      </c>
      <c r="G1611" s="6" t="n">
        <f aca="false">E1611*F1611</f>
        <v>2697.111</v>
      </c>
      <c r="H1611" s="1" t="s">
        <v>34</v>
      </c>
      <c r="I1611" s="1" t="s">
        <v>54</v>
      </c>
      <c r="J1611" s="1" t="n">
        <f aca="false">K1610</f>
        <v>14292</v>
      </c>
      <c r="K1611" s="1" t="n">
        <f aca="false">J1611+L1611</f>
        <v>14319</v>
      </c>
      <c r="L1611" s="1" t="n">
        <v>27</v>
      </c>
      <c r="M1611" s="1" t="n">
        <f aca="false">(E1611+M1610)-N1611</f>
        <v>51.5199999999999</v>
      </c>
      <c r="N1611" s="1" t="n">
        <v>3.2</v>
      </c>
    </row>
    <row r="1612" customFormat="false" ht="15" hidden="false" customHeight="true" outlineLevel="0" collapsed="false">
      <c r="D1612" s="11"/>
      <c r="H1612" s="1" t="s">
        <v>54</v>
      </c>
      <c r="I1612" s="1" t="s">
        <v>34</v>
      </c>
      <c r="J1612" s="1" t="n">
        <f aca="false">K1611</f>
        <v>14319</v>
      </c>
      <c r="K1612" s="1" t="n">
        <f aca="false">J1612+L1612</f>
        <v>14346</v>
      </c>
      <c r="L1612" s="1" t="n">
        <v>27</v>
      </c>
      <c r="M1612" s="1" t="n">
        <f aca="false">(E1612+M1611)-N1612</f>
        <v>48.3199999999999</v>
      </c>
      <c r="N1612" s="1" t="n">
        <v>3.2</v>
      </c>
    </row>
    <row r="1613" customFormat="false" ht="15" hidden="false" customHeight="true" outlineLevel="0" collapsed="false">
      <c r="D1613" s="11" t="n">
        <v>45471</v>
      </c>
      <c r="H1613" s="1" t="s">
        <v>34</v>
      </c>
      <c r="I1613" s="1" t="s">
        <v>54</v>
      </c>
      <c r="J1613" s="1" t="n">
        <f aca="false">K1612</f>
        <v>14346</v>
      </c>
      <c r="K1613" s="1" t="n">
        <f aca="false">J1613+L1613</f>
        <v>14373</v>
      </c>
      <c r="L1613" s="1" t="n">
        <v>27</v>
      </c>
      <c r="M1613" s="1" t="n">
        <f aca="false">(E1613+M1612)-N1613</f>
        <v>45.1199999999999</v>
      </c>
      <c r="N1613" s="1" t="n">
        <v>3.2</v>
      </c>
    </row>
    <row r="1614" customFormat="false" ht="15" hidden="false" customHeight="true" outlineLevel="0" collapsed="false">
      <c r="D1614" s="11"/>
      <c r="H1614" s="1" t="s">
        <v>54</v>
      </c>
      <c r="I1614" s="1" t="s">
        <v>34</v>
      </c>
      <c r="J1614" s="1" t="n">
        <f aca="false">K1613</f>
        <v>14373</v>
      </c>
      <c r="K1614" s="1" t="n">
        <f aca="false">J1614+L1614</f>
        <v>14400</v>
      </c>
      <c r="L1614" s="1" t="n">
        <v>27</v>
      </c>
      <c r="M1614" s="1" t="n">
        <f aca="false">(E1614+M1613)-N1614</f>
        <v>41.9199999999999</v>
      </c>
      <c r="N1614" s="1" t="n">
        <v>3.2</v>
      </c>
    </row>
    <row r="1616" customFormat="false" ht="15" hidden="false" customHeight="true" outlineLevel="0" collapsed="false">
      <c r="D1616" s="4" t="s">
        <v>80</v>
      </c>
      <c r="E1616" s="4"/>
      <c r="F1616" s="4"/>
      <c r="G1616" s="4"/>
    </row>
    <row r="1617" customFormat="false" ht="15" hidden="false" customHeight="true" outlineLevel="0" collapsed="false">
      <c r="D1617" s="11" t="n">
        <v>45474</v>
      </c>
      <c r="H1617" s="1" t="s">
        <v>34</v>
      </c>
      <c r="I1617" s="1" t="s">
        <v>37</v>
      </c>
      <c r="J1617" s="1" t="n">
        <f aca="false">K1614</f>
        <v>14400</v>
      </c>
      <c r="K1617" s="1" t="n">
        <f aca="false">J1617+L1617</f>
        <v>14440</v>
      </c>
      <c r="L1617" s="1" t="n">
        <v>40</v>
      </c>
      <c r="M1617" s="1" t="n">
        <f aca="false">(E1617+M1614)-N1617</f>
        <v>37.1199999999999</v>
      </c>
      <c r="N1617" s="1" t="n">
        <v>4.8</v>
      </c>
    </row>
    <row r="1618" customFormat="false" ht="15" hidden="false" customHeight="true" outlineLevel="0" collapsed="false">
      <c r="D1618" s="11"/>
      <c r="H1618" s="1" t="s">
        <v>37</v>
      </c>
      <c r="I1618" s="1" t="s">
        <v>34</v>
      </c>
      <c r="J1618" s="1" t="n">
        <f aca="false">K1617</f>
        <v>14440</v>
      </c>
      <c r="K1618" s="1" t="n">
        <f aca="false">J1618+L1618</f>
        <v>14480</v>
      </c>
      <c r="L1618" s="1" t="n">
        <v>40</v>
      </c>
      <c r="M1618" s="1" t="n">
        <f aca="false">(E1618+M1617)-N1618</f>
        <v>32.3199999999999</v>
      </c>
      <c r="N1618" s="1" t="n">
        <v>4.8</v>
      </c>
    </row>
    <row r="1619" customFormat="false" ht="15" hidden="false" customHeight="true" outlineLevel="0" collapsed="false">
      <c r="D1619" s="11" t="n">
        <v>45475</v>
      </c>
      <c r="H1619" s="1" t="s">
        <v>34</v>
      </c>
      <c r="I1619" s="1" t="s">
        <v>65</v>
      </c>
      <c r="J1619" s="1" t="n">
        <f aca="false">K1618</f>
        <v>14480</v>
      </c>
      <c r="K1619" s="1" t="n">
        <f aca="false">J1619+L1619</f>
        <v>14560</v>
      </c>
      <c r="L1619" s="1" t="n">
        <v>80</v>
      </c>
      <c r="M1619" s="1" t="n">
        <f aca="false">(E1619+M1618)-N1619</f>
        <v>23.3199999999999</v>
      </c>
      <c r="N1619" s="1" t="n">
        <v>9</v>
      </c>
    </row>
    <row r="1620" customFormat="false" ht="15" hidden="false" customHeight="true" outlineLevel="0" collapsed="false">
      <c r="D1620" s="11"/>
      <c r="H1620" s="1" t="s">
        <v>65</v>
      </c>
      <c r="I1620" s="1" t="s">
        <v>34</v>
      </c>
      <c r="J1620" s="1" t="n">
        <f aca="false">K1619</f>
        <v>14560</v>
      </c>
      <c r="K1620" s="1" t="n">
        <f aca="false">J1620+L1620</f>
        <v>14640</v>
      </c>
      <c r="L1620" s="1" t="n">
        <v>80</v>
      </c>
      <c r="M1620" s="1" t="n">
        <f aca="false">(E1620+M1619)-N1620</f>
        <v>14.3199999999999</v>
      </c>
      <c r="N1620" s="1" t="n">
        <v>9</v>
      </c>
    </row>
    <row r="1621" customFormat="false" ht="15" hidden="false" customHeight="true" outlineLevel="0" collapsed="false">
      <c r="D1621" s="11" t="n">
        <v>45476</v>
      </c>
      <c r="H1621" s="1" t="s">
        <v>34</v>
      </c>
      <c r="I1621" s="1" t="s">
        <v>54</v>
      </c>
      <c r="J1621" s="1" t="n">
        <f aca="false">K1620</f>
        <v>14640</v>
      </c>
      <c r="K1621" s="1" t="n">
        <f aca="false">J1621+L1621</f>
        <v>14667</v>
      </c>
      <c r="L1621" s="1" t="n">
        <v>27</v>
      </c>
      <c r="M1621" s="1" t="n">
        <f aca="false">(E1621+M1620)-N1621</f>
        <v>11.1199999999999</v>
      </c>
      <c r="N1621" s="1" t="n">
        <v>3.2</v>
      </c>
    </row>
    <row r="1622" customFormat="false" ht="15" hidden="false" customHeight="true" outlineLevel="0" collapsed="false">
      <c r="D1622" s="11"/>
      <c r="H1622" s="1" t="s">
        <v>54</v>
      </c>
      <c r="I1622" s="1" t="s">
        <v>34</v>
      </c>
      <c r="J1622" s="1" t="n">
        <f aca="false">K1621</f>
        <v>14667</v>
      </c>
      <c r="K1622" s="1" t="n">
        <f aca="false">J1622+L1622</f>
        <v>14694</v>
      </c>
      <c r="L1622" s="1" t="n">
        <v>27</v>
      </c>
      <c r="M1622" s="1" t="n">
        <f aca="false">(E1622+M1621)-N1622</f>
        <v>7.91999999999994</v>
      </c>
      <c r="N1622" s="1" t="n">
        <v>3.2</v>
      </c>
    </row>
    <row r="1623" customFormat="false" ht="15" hidden="false" customHeight="true" outlineLevel="0" collapsed="false">
      <c r="D1623" s="11" t="n">
        <v>45477</v>
      </c>
      <c r="H1623" s="1" t="s">
        <v>34</v>
      </c>
      <c r="I1623" s="1" t="s">
        <v>35</v>
      </c>
      <c r="J1623" s="1" t="n">
        <f aca="false">K1622</f>
        <v>14694</v>
      </c>
      <c r="K1623" s="1" t="n">
        <f aca="false">J1623+L1623</f>
        <v>14706</v>
      </c>
      <c r="L1623" s="1" t="n">
        <v>12</v>
      </c>
      <c r="M1623" s="1" t="n">
        <f aca="false">(E1623+M1622)-N1623</f>
        <v>6.66999999999994</v>
      </c>
      <c r="N1623" s="1" t="n">
        <v>1.25</v>
      </c>
    </row>
    <row r="1624" customFormat="false" ht="15" hidden="false" customHeight="true" outlineLevel="0" collapsed="false">
      <c r="D1624" s="11"/>
      <c r="H1624" s="1" t="s">
        <v>35</v>
      </c>
      <c r="I1624" s="1" t="s">
        <v>34</v>
      </c>
      <c r="J1624" s="1" t="n">
        <f aca="false">K1623</f>
        <v>14706</v>
      </c>
      <c r="K1624" s="1" t="n">
        <f aca="false">J1624+L1624</f>
        <v>14718</v>
      </c>
      <c r="L1624" s="1" t="n">
        <v>12</v>
      </c>
      <c r="M1624" s="1" t="n">
        <f aca="false">(E1624+M1623)-N1624</f>
        <v>5.41999999999994</v>
      </c>
      <c r="N1624" s="1" t="n">
        <v>1.25</v>
      </c>
    </row>
    <row r="1625" customFormat="false" ht="15" hidden="false" customHeight="true" outlineLevel="0" collapsed="false">
      <c r="D1625" s="11" t="n">
        <v>45478</v>
      </c>
      <c r="E1625" s="0" t="n">
        <v>46.5</v>
      </c>
      <c r="F1625" s="1" t="n">
        <v>57.85</v>
      </c>
      <c r="G1625" s="6" t="n">
        <f aca="false">E1625*F1625</f>
        <v>2690.025</v>
      </c>
      <c r="H1625" s="1" t="s">
        <v>34</v>
      </c>
      <c r="I1625" s="1" t="s">
        <v>65</v>
      </c>
      <c r="J1625" s="1" t="n">
        <f aca="false">K1624</f>
        <v>14718</v>
      </c>
      <c r="K1625" s="1" t="n">
        <f aca="false">J1625+L1625</f>
        <v>14798</v>
      </c>
      <c r="L1625" s="1" t="n">
        <v>80</v>
      </c>
      <c r="M1625" s="1" t="n">
        <f aca="false">(E1625+M1624)-N1625</f>
        <v>42.9199999999999</v>
      </c>
      <c r="N1625" s="1" t="n">
        <v>9</v>
      </c>
    </row>
    <row r="1626" customFormat="false" ht="15" hidden="false" customHeight="true" outlineLevel="0" collapsed="false">
      <c r="D1626" s="11"/>
      <c r="H1626" s="1" t="s">
        <v>65</v>
      </c>
      <c r="I1626" s="1" t="s">
        <v>34</v>
      </c>
      <c r="J1626" s="1" t="n">
        <f aca="false">K1625</f>
        <v>14798</v>
      </c>
      <c r="K1626" s="1" t="n">
        <f aca="false">J1626+L1626</f>
        <v>14878</v>
      </c>
      <c r="L1626" s="1" t="n">
        <v>80</v>
      </c>
      <c r="M1626" s="1" t="n">
        <f aca="false">(E1626+M1625)-N1626</f>
        <v>33.9199999999999</v>
      </c>
      <c r="N1626" s="1" t="n">
        <v>9</v>
      </c>
    </row>
    <row r="1627" customFormat="false" ht="15" hidden="false" customHeight="true" outlineLevel="0" collapsed="false">
      <c r="D1627" s="11" t="n">
        <v>45481</v>
      </c>
      <c r="H1627" s="1" t="s">
        <v>34</v>
      </c>
      <c r="I1627" s="1" t="s">
        <v>54</v>
      </c>
      <c r="J1627" s="1" t="n">
        <f aca="false">K1626</f>
        <v>14878</v>
      </c>
      <c r="K1627" s="1" t="n">
        <f aca="false">J1627+L1627</f>
        <v>14905</v>
      </c>
      <c r="L1627" s="1" t="n">
        <v>27</v>
      </c>
      <c r="M1627" s="1" t="n">
        <f aca="false">(E1627+M1626)-N1627</f>
        <v>30.7199999999999</v>
      </c>
      <c r="N1627" s="1" t="n">
        <v>3.2</v>
      </c>
    </row>
    <row r="1628" customFormat="false" ht="15" hidden="false" customHeight="true" outlineLevel="0" collapsed="false">
      <c r="D1628" s="11"/>
      <c r="H1628" s="1" t="s">
        <v>54</v>
      </c>
      <c r="I1628" s="1" t="s">
        <v>34</v>
      </c>
      <c r="J1628" s="1" t="n">
        <f aca="false">K1627</f>
        <v>14905</v>
      </c>
      <c r="K1628" s="1" t="n">
        <f aca="false">J1628+L1628</f>
        <v>14932</v>
      </c>
      <c r="L1628" s="1" t="n">
        <v>27</v>
      </c>
      <c r="M1628" s="1" t="n">
        <f aca="false">(E1628+M1627)-N1628</f>
        <v>27.5199999999999</v>
      </c>
      <c r="N1628" s="1" t="n">
        <v>3.2</v>
      </c>
    </row>
    <row r="1629" customFormat="false" ht="15" hidden="false" customHeight="true" outlineLevel="0" collapsed="false">
      <c r="D1629" s="11" t="n">
        <v>45482</v>
      </c>
      <c r="H1629" s="1" t="s">
        <v>34</v>
      </c>
      <c r="I1629" s="1" t="s">
        <v>35</v>
      </c>
      <c r="J1629" s="1" t="n">
        <f aca="false">K1628</f>
        <v>14932</v>
      </c>
      <c r="K1629" s="1" t="n">
        <f aca="false">J1629+L1629</f>
        <v>14944</v>
      </c>
      <c r="L1629" s="1" t="n">
        <v>12</v>
      </c>
      <c r="M1629" s="1" t="n">
        <f aca="false">(E1629+M1628)-N1629</f>
        <v>26.2699999999999</v>
      </c>
      <c r="N1629" s="1" t="n">
        <v>1.25</v>
      </c>
    </row>
    <row r="1630" customFormat="false" ht="15" hidden="false" customHeight="true" outlineLevel="0" collapsed="false">
      <c r="D1630" s="11"/>
      <c r="H1630" s="1" t="s">
        <v>35</v>
      </c>
      <c r="I1630" s="1" t="s">
        <v>34</v>
      </c>
      <c r="J1630" s="1" t="n">
        <f aca="false">K1629</f>
        <v>14944</v>
      </c>
      <c r="K1630" s="1" t="n">
        <f aca="false">J1630+L1630</f>
        <v>14956</v>
      </c>
      <c r="L1630" s="1" t="n">
        <v>12</v>
      </c>
      <c r="M1630" s="1" t="n">
        <f aca="false">(E1630+M1629)-N1630</f>
        <v>25.0199999999999</v>
      </c>
      <c r="N1630" s="1" t="n">
        <v>1.25</v>
      </c>
    </row>
    <row r="1631" customFormat="false" ht="15" hidden="false" customHeight="true" outlineLevel="0" collapsed="false">
      <c r="D1631" s="11" t="n">
        <v>45483</v>
      </c>
      <c r="H1631" s="1" t="s">
        <v>34</v>
      </c>
      <c r="I1631" s="1" t="s">
        <v>54</v>
      </c>
      <c r="J1631" s="1" t="n">
        <f aca="false">K1630</f>
        <v>14956</v>
      </c>
      <c r="K1631" s="1" t="n">
        <f aca="false">J1631+L1631</f>
        <v>14983</v>
      </c>
      <c r="L1631" s="1" t="n">
        <v>27</v>
      </c>
      <c r="M1631" s="1" t="n">
        <f aca="false">(E1631+M1630)-N1631</f>
        <v>21.8199999999999</v>
      </c>
      <c r="N1631" s="1" t="n">
        <v>3.2</v>
      </c>
    </row>
    <row r="1632" customFormat="false" ht="15" hidden="false" customHeight="true" outlineLevel="0" collapsed="false">
      <c r="D1632" s="11"/>
      <c r="H1632" s="1" t="s">
        <v>54</v>
      </c>
      <c r="I1632" s="1" t="s">
        <v>34</v>
      </c>
      <c r="J1632" s="1" t="n">
        <f aca="false">K1631</f>
        <v>14983</v>
      </c>
      <c r="K1632" s="1" t="n">
        <f aca="false">J1632+L1632</f>
        <v>15010</v>
      </c>
      <c r="L1632" s="1" t="n">
        <v>27</v>
      </c>
      <c r="M1632" s="1" t="n">
        <f aca="false">(E1632+M1631)-N1632</f>
        <v>18.6199999999999</v>
      </c>
      <c r="N1632" s="1" t="n">
        <v>3.2</v>
      </c>
    </row>
    <row r="1633" customFormat="false" ht="15" hidden="false" customHeight="true" outlineLevel="0" collapsed="false">
      <c r="D1633" s="11" t="n">
        <v>45484</v>
      </c>
      <c r="H1633" s="1" t="s">
        <v>34</v>
      </c>
      <c r="I1633" s="1" t="s">
        <v>32</v>
      </c>
      <c r="J1633" s="1" t="n">
        <f aca="false">K1632</f>
        <v>15010</v>
      </c>
      <c r="K1633" s="1" t="n">
        <f aca="false">J1633+L1633</f>
        <v>15035</v>
      </c>
      <c r="L1633" s="1" t="n">
        <v>25</v>
      </c>
      <c r="M1633" s="1" t="n">
        <f aca="false">(E1633+M1632)-N1633</f>
        <v>15.6199999999999</v>
      </c>
      <c r="N1633" s="1" t="n">
        <v>3</v>
      </c>
    </row>
    <row r="1634" customFormat="false" ht="15" hidden="false" customHeight="true" outlineLevel="0" collapsed="false">
      <c r="D1634" s="11"/>
      <c r="H1634" s="1" t="s">
        <v>32</v>
      </c>
      <c r="I1634" s="1" t="s">
        <v>34</v>
      </c>
      <c r="J1634" s="1" t="n">
        <f aca="false">K1633</f>
        <v>15035</v>
      </c>
      <c r="K1634" s="1" t="n">
        <f aca="false">J1634+L1634</f>
        <v>15060</v>
      </c>
      <c r="L1634" s="1" t="n">
        <v>25</v>
      </c>
      <c r="M1634" s="1" t="n">
        <f aca="false">(E1634+M1633)-N1634</f>
        <v>12.6199999999999</v>
      </c>
      <c r="N1634" s="1" t="n">
        <v>3</v>
      </c>
    </row>
    <row r="1635" customFormat="false" ht="15" hidden="false" customHeight="true" outlineLevel="0" collapsed="false">
      <c r="D1635" s="11" t="n">
        <v>45485</v>
      </c>
      <c r="H1635" s="1" t="s">
        <v>34</v>
      </c>
      <c r="I1635" s="1" t="s">
        <v>44</v>
      </c>
      <c r="J1635" s="1" t="n">
        <f aca="false">K1634</f>
        <v>15060</v>
      </c>
      <c r="K1635" s="1" t="n">
        <f aca="false">J1635+L1635</f>
        <v>15100</v>
      </c>
      <c r="L1635" s="1" t="n">
        <v>40</v>
      </c>
      <c r="M1635" s="1" t="n">
        <f aca="false">(E1635+M1634)-N1635</f>
        <v>7.81999999999994</v>
      </c>
      <c r="N1635" s="1" t="n">
        <v>4.8</v>
      </c>
    </row>
    <row r="1636" customFormat="false" ht="15" hidden="false" customHeight="true" outlineLevel="0" collapsed="false">
      <c r="H1636" s="1" t="s">
        <v>44</v>
      </c>
      <c r="I1636" s="1" t="s">
        <v>34</v>
      </c>
      <c r="J1636" s="1" t="n">
        <f aca="false">K1635</f>
        <v>15100</v>
      </c>
      <c r="K1636" s="1" t="n">
        <f aca="false">J1636+L1636</f>
        <v>15140</v>
      </c>
      <c r="L1636" s="1" t="n">
        <v>40</v>
      </c>
      <c r="M1636" s="1" t="n">
        <f aca="false">(E1636+M1635)-N1636</f>
        <v>3.01999999999994</v>
      </c>
      <c r="N1636" s="1" t="n">
        <v>4.8</v>
      </c>
    </row>
    <row r="1637" customFormat="false" ht="15" hidden="false" customHeight="true" outlineLevel="0" collapsed="false">
      <c r="D1637" s="11" t="n">
        <v>45488</v>
      </c>
      <c r="H1637" s="1" t="s">
        <v>34</v>
      </c>
      <c r="I1637" s="1" t="s">
        <v>35</v>
      </c>
      <c r="J1637" s="1" t="n">
        <f aca="false">K1636</f>
        <v>15140</v>
      </c>
      <c r="K1637" s="1" t="n">
        <f aca="false">J1637+L1637</f>
        <v>15152</v>
      </c>
      <c r="L1637" s="1" t="n">
        <v>12</v>
      </c>
      <c r="M1637" s="1" t="n">
        <f aca="false">(E1637+M1636)-N1637</f>
        <v>1.76999999999994</v>
      </c>
      <c r="N1637" s="1" t="n">
        <v>1.25</v>
      </c>
    </row>
    <row r="1638" customFormat="false" ht="15" hidden="false" customHeight="true" outlineLevel="0" collapsed="false">
      <c r="D1638" s="11"/>
      <c r="H1638" s="1" t="s">
        <v>35</v>
      </c>
      <c r="I1638" s="1" t="s">
        <v>34</v>
      </c>
      <c r="J1638" s="1" t="n">
        <f aca="false">K1637</f>
        <v>15152</v>
      </c>
      <c r="K1638" s="1" t="n">
        <f aca="false">J1638+L1638</f>
        <v>15164</v>
      </c>
      <c r="L1638" s="1" t="n">
        <v>12</v>
      </c>
      <c r="M1638" s="1" t="n">
        <f aca="false">(E1638+M1637)-N1638</f>
        <v>0.519999999999941</v>
      </c>
      <c r="N1638" s="1" t="n">
        <v>1.25</v>
      </c>
    </row>
    <row r="1639" customFormat="false" ht="15" hidden="false" customHeight="true" outlineLevel="0" collapsed="false">
      <c r="D1639" s="11" t="n">
        <v>45489</v>
      </c>
      <c r="E1639" s="0" t="n">
        <v>49.96</v>
      </c>
      <c r="F1639" s="1" t="n">
        <v>58.35</v>
      </c>
      <c r="G1639" s="6" t="n">
        <f aca="false">E1639*F1639</f>
        <v>2915.166</v>
      </c>
      <c r="H1639" s="1" t="s">
        <v>34</v>
      </c>
      <c r="I1639" s="1" t="s">
        <v>65</v>
      </c>
      <c r="J1639" s="1" t="n">
        <f aca="false">K1638</f>
        <v>15164</v>
      </c>
      <c r="K1639" s="1" t="n">
        <f aca="false">J1639+L1639</f>
        <v>15244</v>
      </c>
      <c r="L1639" s="1" t="n">
        <v>80</v>
      </c>
      <c r="M1639" s="1" t="n">
        <f aca="false">(E1639+M1638)-N1639</f>
        <v>41.4799999999999</v>
      </c>
      <c r="N1639" s="1" t="n">
        <v>9</v>
      </c>
    </row>
    <row r="1640" customFormat="false" ht="15" hidden="false" customHeight="true" outlineLevel="0" collapsed="false">
      <c r="D1640" s="11"/>
      <c r="H1640" s="1" t="s">
        <v>65</v>
      </c>
      <c r="I1640" s="1" t="s">
        <v>34</v>
      </c>
      <c r="J1640" s="1" t="n">
        <f aca="false">K1639</f>
        <v>15244</v>
      </c>
      <c r="K1640" s="1" t="n">
        <f aca="false">J1640+L1640</f>
        <v>15324</v>
      </c>
      <c r="L1640" s="1" t="n">
        <v>80</v>
      </c>
      <c r="M1640" s="1" t="n">
        <f aca="false">(E1640+M1639)-N1640</f>
        <v>32.4799999999999</v>
      </c>
      <c r="N1640" s="1" t="n">
        <v>9</v>
      </c>
    </row>
    <row r="1641" customFormat="false" ht="15" hidden="false" customHeight="true" outlineLevel="0" collapsed="false">
      <c r="D1641" s="11" t="n">
        <v>45490</v>
      </c>
      <c r="H1641" s="1" t="s">
        <v>34</v>
      </c>
      <c r="I1641" s="1" t="s">
        <v>54</v>
      </c>
      <c r="J1641" s="1" t="n">
        <f aca="false">K1640</f>
        <v>15324</v>
      </c>
      <c r="K1641" s="1" t="n">
        <f aca="false">J1641+L1641</f>
        <v>15351</v>
      </c>
      <c r="L1641" s="1" t="n">
        <v>27</v>
      </c>
      <c r="M1641" s="1" t="n">
        <f aca="false">(E1641+M1640)-N1641</f>
        <v>29.2799999999999</v>
      </c>
      <c r="N1641" s="1" t="n">
        <v>3.2</v>
      </c>
    </row>
    <row r="1642" customFormat="false" ht="15" hidden="false" customHeight="true" outlineLevel="0" collapsed="false">
      <c r="D1642" s="11"/>
      <c r="H1642" s="1" t="s">
        <v>54</v>
      </c>
      <c r="I1642" s="1" t="s">
        <v>34</v>
      </c>
      <c r="J1642" s="1" t="n">
        <f aca="false">K1641</f>
        <v>15351</v>
      </c>
      <c r="K1642" s="1" t="n">
        <f aca="false">J1642+L1642</f>
        <v>15378</v>
      </c>
      <c r="L1642" s="1" t="n">
        <v>27</v>
      </c>
      <c r="M1642" s="1" t="n">
        <f aca="false">(E1642+M1641)-N1642</f>
        <v>26.0799999999999</v>
      </c>
      <c r="N1642" s="1" t="n">
        <v>3.2</v>
      </c>
    </row>
    <row r="1643" customFormat="false" ht="15" hidden="false" customHeight="true" outlineLevel="0" collapsed="false">
      <c r="D1643" s="11" t="n">
        <v>45491</v>
      </c>
      <c r="H1643" s="1" t="s">
        <v>34</v>
      </c>
      <c r="I1643" s="1" t="s">
        <v>43</v>
      </c>
      <c r="J1643" s="1" t="n">
        <f aca="false">K1642</f>
        <v>15378</v>
      </c>
      <c r="K1643" s="1" t="n">
        <f aca="false">J1643+L1643</f>
        <v>15390</v>
      </c>
      <c r="L1643" s="1" t="n">
        <v>12</v>
      </c>
      <c r="M1643" s="1" t="n">
        <f aca="false">(E1643+M1642)-N1643</f>
        <v>24.8299999999999</v>
      </c>
      <c r="N1643" s="1" t="n">
        <v>1.25</v>
      </c>
    </row>
    <row r="1644" customFormat="false" ht="15" hidden="false" customHeight="true" outlineLevel="0" collapsed="false">
      <c r="D1644" s="11"/>
      <c r="H1644" s="1" t="s">
        <v>43</v>
      </c>
      <c r="I1644" s="1" t="s">
        <v>34</v>
      </c>
      <c r="J1644" s="1" t="n">
        <f aca="false">K1643</f>
        <v>15390</v>
      </c>
      <c r="K1644" s="1" t="n">
        <f aca="false">J1644+L1644</f>
        <v>15402</v>
      </c>
      <c r="L1644" s="1" t="n">
        <v>12</v>
      </c>
      <c r="M1644" s="1" t="n">
        <f aca="false">(E1644+M1643)-N1644</f>
        <v>23.5799999999999</v>
      </c>
      <c r="N1644" s="1" t="n">
        <v>1.25</v>
      </c>
    </row>
    <row r="1645" customFormat="false" ht="15" hidden="false" customHeight="true" outlineLevel="0" collapsed="false">
      <c r="D1645" s="11" t="n">
        <v>45492</v>
      </c>
      <c r="H1645" s="1" t="s">
        <v>34</v>
      </c>
      <c r="I1645" s="1" t="s">
        <v>59</v>
      </c>
      <c r="J1645" s="1" t="n">
        <f aca="false">K1644</f>
        <v>15402</v>
      </c>
      <c r="K1645" s="1" t="n">
        <f aca="false">J1645+L1645</f>
        <v>15429</v>
      </c>
      <c r="L1645" s="1" t="n">
        <v>27</v>
      </c>
      <c r="M1645" s="1" t="n">
        <f aca="false">(E1645+M1644)-N1645</f>
        <v>20.3799999999999</v>
      </c>
      <c r="N1645" s="1" t="n">
        <v>3.2</v>
      </c>
    </row>
    <row r="1646" customFormat="false" ht="15" hidden="false" customHeight="true" outlineLevel="0" collapsed="false">
      <c r="H1646" s="1" t="s">
        <v>59</v>
      </c>
      <c r="I1646" s="1" t="s">
        <v>34</v>
      </c>
      <c r="J1646" s="1" t="n">
        <f aca="false">K1645</f>
        <v>15429</v>
      </c>
      <c r="K1646" s="1" t="n">
        <f aca="false">J1646+L1646</f>
        <v>15456</v>
      </c>
      <c r="L1646" s="1" t="n">
        <v>27</v>
      </c>
      <c r="M1646" s="1" t="n">
        <f aca="false">(E1646+M1645)-N1646</f>
        <v>17.1799999999999</v>
      </c>
      <c r="N1646" s="1" t="n">
        <v>3.2</v>
      </c>
    </row>
    <row r="1647" customFormat="false" ht="15" hidden="false" customHeight="true" outlineLevel="0" collapsed="false">
      <c r="D1647" s="11" t="n">
        <v>45495</v>
      </c>
      <c r="H1647" s="1" t="s">
        <v>34</v>
      </c>
      <c r="I1647" s="1" t="s">
        <v>49</v>
      </c>
      <c r="J1647" s="1" t="n">
        <f aca="false">K1646</f>
        <v>15456</v>
      </c>
      <c r="K1647" s="1" t="n">
        <f aca="false">J1647+L1647</f>
        <v>15483</v>
      </c>
      <c r="L1647" s="1" t="n">
        <v>27</v>
      </c>
      <c r="M1647" s="1" t="n">
        <f aca="false">(E1647+M1646)-N1647</f>
        <v>13.9799999999999</v>
      </c>
      <c r="N1647" s="1" t="n">
        <v>3.2</v>
      </c>
    </row>
    <row r="1648" customFormat="false" ht="15" hidden="false" customHeight="true" outlineLevel="0" collapsed="false">
      <c r="D1648" s="11"/>
      <c r="H1648" s="1" t="s">
        <v>49</v>
      </c>
      <c r="I1648" s="1" t="s">
        <v>34</v>
      </c>
      <c r="J1648" s="1" t="n">
        <f aca="false">K1647</f>
        <v>15483</v>
      </c>
      <c r="K1648" s="1" t="n">
        <f aca="false">J1648+L1648</f>
        <v>15510</v>
      </c>
      <c r="L1648" s="1" t="n">
        <v>27</v>
      </c>
      <c r="M1648" s="1" t="n">
        <f aca="false">(E1648+M1647)-N1648</f>
        <v>10.7799999999999</v>
      </c>
      <c r="N1648" s="1" t="n">
        <v>3.2</v>
      </c>
    </row>
    <row r="1649" customFormat="false" ht="15" hidden="false" customHeight="true" outlineLevel="0" collapsed="false">
      <c r="D1649" s="11" t="n">
        <v>45496</v>
      </c>
      <c r="H1649" s="1" t="s">
        <v>34</v>
      </c>
      <c r="I1649" s="1" t="s">
        <v>54</v>
      </c>
      <c r="J1649" s="1" t="n">
        <f aca="false">K1648</f>
        <v>15510</v>
      </c>
      <c r="K1649" s="1" t="n">
        <f aca="false">J1649+L1649</f>
        <v>15537</v>
      </c>
      <c r="L1649" s="1" t="n">
        <v>27</v>
      </c>
      <c r="M1649" s="1" t="n">
        <f aca="false">(E1649+M1648)-N1649</f>
        <v>7.57999999999994</v>
      </c>
      <c r="N1649" s="1" t="n">
        <v>3.2</v>
      </c>
    </row>
    <row r="1650" customFormat="false" ht="15" hidden="false" customHeight="true" outlineLevel="0" collapsed="false">
      <c r="D1650" s="11"/>
      <c r="H1650" s="1" t="s">
        <v>54</v>
      </c>
      <c r="I1650" s="1" t="s">
        <v>34</v>
      </c>
      <c r="J1650" s="1" t="n">
        <f aca="false">K1649</f>
        <v>15537</v>
      </c>
      <c r="K1650" s="1" t="n">
        <f aca="false">J1650+L1650</f>
        <v>15564</v>
      </c>
      <c r="L1650" s="1" t="n">
        <v>27</v>
      </c>
      <c r="M1650" s="1" t="n">
        <f aca="false">(E1650+M1649)-N1650</f>
        <v>4.37999999999994</v>
      </c>
      <c r="N1650" s="1" t="n">
        <v>3.2</v>
      </c>
    </row>
    <row r="1651" customFormat="false" ht="15" hidden="false" customHeight="true" outlineLevel="0" collapsed="false">
      <c r="D1651" s="11" t="n">
        <v>45497</v>
      </c>
      <c r="E1651" s="0" t="n">
        <v>43.47</v>
      </c>
      <c r="F1651" s="1" t="n">
        <v>57.5</v>
      </c>
      <c r="G1651" s="6" t="n">
        <f aca="false">E1651*F1651</f>
        <v>2499.525</v>
      </c>
      <c r="H1651" s="1" t="s">
        <v>34</v>
      </c>
      <c r="I1651" s="1" t="s">
        <v>65</v>
      </c>
      <c r="J1651" s="1" t="n">
        <f aca="false">K1650</f>
        <v>15564</v>
      </c>
      <c r="K1651" s="1" t="n">
        <f aca="false">J1651+L1651</f>
        <v>15644</v>
      </c>
      <c r="L1651" s="1" t="n">
        <v>80</v>
      </c>
      <c r="M1651" s="1" t="n">
        <f aca="false">(E1651+M1650)-N1651</f>
        <v>38.8499999999999</v>
      </c>
      <c r="N1651" s="1" t="n">
        <v>9</v>
      </c>
    </row>
    <row r="1652" customFormat="false" ht="15" hidden="false" customHeight="true" outlineLevel="0" collapsed="false">
      <c r="D1652" s="11"/>
      <c r="H1652" s="1" t="s">
        <v>65</v>
      </c>
      <c r="I1652" s="1" t="s">
        <v>34</v>
      </c>
      <c r="J1652" s="1" t="n">
        <f aca="false">K1651</f>
        <v>15644</v>
      </c>
      <c r="K1652" s="1" t="n">
        <f aca="false">J1652+L1652</f>
        <v>15724</v>
      </c>
      <c r="L1652" s="1" t="n">
        <v>80</v>
      </c>
      <c r="M1652" s="1" t="n">
        <f aca="false">(E1652+M1651)-N1652</f>
        <v>29.8499999999999</v>
      </c>
      <c r="N1652" s="1" t="n">
        <v>9</v>
      </c>
    </row>
    <row r="1653" customFormat="false" ht="15" hidden="false" customHeight="true" outlineLevel="0" collapsed="false">
      <c r="D1653" s="11" t="n">
        <v>45498</v>
      </c>
      <c r="H1653" s="1" t="s">
        <v>34</v>
      </c>
      <c r="I1653" s="1" t="s">
        <v>81</v>
      </c>
      <c r="J1653" s="1" t="n">
        <f aca="false">K1652</f>
        <v>15724</v>
      </c>
      <c r="K1653" s="1" t="n">
        <f aca="false">J1653+L1653</f>
        <v>15748</v>
      </c>
      <c r="L1653" s="1" t="n">
        <v>24</v>
      </c>
      <c r="M1653" s="1" t="n">
        <f aca="false">(E1653+M1652)-N1653</f>
        <v>27.3499999999999</v>
      </c>
      <c r="N1653" s="1" t="n">
        <v>2.5</v>
      </c>
    </row>
    <row r="1654" customFormat="false" ht="15" hidden="false" customHeight="true" outlineLevel="0" collapsed="false">
      <c r="D1654" s="11"/>
      <c r="H1654" s="1" t="s">
        <v>81</v>
      </c>
      <c r="I1654" s="1" t="s">
        <v>34</v>
      </c>
      <c r="J1654" s="1" t="n">
        <f aca="false">K1653</f>
        <v>15748</v>
      </c>
      <c r="K1654" s="1" t="n">
        <f aca="false">J1654+L1654</f>
        <v>15772</v>
      </c>
      <c r="L1654" s="1" t="n">
        <v>24</v>
      </c>
      <c r="M1654" s="1" t="n">
        <f aca="false">(E1654+M1653)-N1654</f>
        <v>24.8499999999999</v>
      </c>
      <c r="N1654" s="1" t="n">
        <v>2.5</v>
      </c>
    </row>
    <row r="1655" customFormat="false" ht="15" hidden="false" customHeight="true" outlineLevel="0" collapsed="false">
      <c r="D1655" s="11" t="n">
        <v>45499</v>
      </c>
      <c r="H1655" s="1" t="s">
        <v>34</v>
      </c>
      <c r="I1655" s="1" t="s">
        <v>35</v>
      </c>
      <c r="J1655" s="1" t="n">
        <f aca="false">K1654</f>
        <v>15772</v>
      </c>
      <c r="K1655" s="1" t="n">
        <f aca="false">J1655+L1655</f>
        <v>15784</v>
      </c>
      <c r="L1655" s="1" t="n">
        <v>12</v>
      </c>
      <c r="M1655" s="1" t="n">
        <f aca="false">(E1655+M1654)-N1655</f>
        <v>23.5999999999999</v>
      </c>
      <c r="N1655" s="1" t="n">
        <v>1.25</v>
      </c>
    </row>
    <row r="1656" customFormat="false" ht="15" hidden="false" customHeight="true" outlineLevel="0" collapsed="false">
      <c r="H1656" s="1" t="s">
        <v>35</v>
      </c>
      <c r="I1656" s="1" t="s">
        <v>34</v>
      </c>
      <c r="J1656" s="1" t="n">
        <f aca="false">K1655</f>
        <v>15784</v>
      </c>
      <c r="K1656" s="1" t="n">
        <f aca="false">J1656+L1656</f>
        <v>15796</v>
      </c>
      <c r="L1656" s="1" t="n">
        <v>12</v>
      </c>
      <c r="M1656" s="1" t="n">
        <f aca="false">(E1656+M1655)-N1656</f>
        <v>22.3499999999999</v>
      </c>
      <c r="N1656" s="1" t="n">
        <v>1.25</v>
      </c>
    </row>
    <row r="1657" customFormat="false" ht="15" hidden="false" customHeight="true" outlineLevel="0" collapsed="false">
      <c r="D1657" s="11" t="n">
        <v>45502</v>
      </c>
      <c r="H1657" s="1" t="s">
        <v>34</v>
      </c>
      <c r="I1657" s="1" t="s">
        <v>54</v>
      </c>
      <c r="J1657" s="1" t="n">
        <f aca="false">K1656</f>
        <v>15796</v>
      </c>
      <c r="K1657" s="1" t="n">
        <f aca="false">J1657+L1657</f>
        <v>15823</v>
      </c>
      <c r="L1657" s="1" t="n">
        <v>27</v>
      </c>
      <c r="M1657" s="1" t="n">
        <f aca="false">(E1657+M1656)-N1657</f>
        <v>19.1499999999999</v>
      </c>
      <c r="N1657" s="1" t="n">
        <v>3.2</v>
      </c>
    </row>
    <row r="1658" customFormat="false" ht="15" hidden="false" customHeight="true" outlineLevel="0" collapsed="false">
      <c r="D1658" s="11"/>
      <c r="H1658" s="1" t="s">
        <v>54</v>
      </c>
      <c r="I1658" s="1" t="s">
        <v>34</v>
      </c>
      <c r="J1658" s="1" t="n">
        <f aca="false">K1657</f>
        <v>15823</v>
      </c>
      <c r="K1658" s="1" t="n">
        <f aca="false">J1658+L1658</f>
        <v>15850</v>
      </c>
      <c r="L1658" s="1" t="n">
        <v>27</v>
      </c>
      <c r="M1658" s="1" t="n">
        <f aca="false">(E1658+M1657)-N1658</f>
        <v>15.9499999999999</v>
      </c>
      <c r="N1658" s="1" t="n">
        <v>3.2</v>
      </c>
    </row>
    <row r="1659" customFormat="false" ht="15" hidden="false" customHeight="true" outlineLevel="0" collapsed="false">
      <c r="D1659" s="11" t="n">
        <v>45503</v>
      </c>
      <c r="H1659" s="1" t="s">
        <v>34</v>
      </c>
      <c r="I1659" s="1" t="s">
        <v>35</v>
      </c>
      <c r="J1659" s="1" t="n">
        <f aca="false">K1658</f>
        <v>15850</v>
      </c>
      <c r="K1659" s="1" t="n">
        <f aca="false">J1659+L1659</f>
        <v>15862</v>
      </c>
      <c r="L1659" s="1" t="n">
        <v>12</v>
      </c>
      <c r="M1659" s="1" t="n">
        <f aca="false">(E1659+M1658)-N1659</f>
        <v>14.6999999999999</v>
      </c>
      <c r="N1659" s="1" t="n">
        <v>1.25</v>
      </c>
    </row>
    <row r="1660" customFormat="false" ht="15" hidden="false" customHeight="true" outlineLevel="0" collapsed="false">
      <c r="D1660" s="11"/>
      <c r="H1660" s="1" t="s">
        <v>35</v>
      </c>
      <c r="I1660" s="1" t="s">
        <v>34</v>
      </c>
      <c r="J1660" s="1" t="n">
        <f aca="false">K1659</f>
        <v>15862</v>
      </c>
      <c r="K1660" s="1" t="n">
        <f aca="false">J1660+L1660</f>
        <v>15874</v>
      </c>
      <c r="L1660" s="1" t="n">
        <v>12</v>
      </c>
      <c r="M1660" s="1" t="n">
        <f aca="false">(E1660+M1659)-N1660</f>
        <v>13.4499999999999</v>
      </c>
      <c r="N1660" s="1" t="n">
        <v>1.25</v>
      </c>
    </row>
    <row r="1661" customFormat="false" ht="15" hidden="false" customHeight="true" outlineLevel="0" collapsed="false">
      <c r="D1661" s="11" t="n">
        <v>45504</v>
      </c>
      <c r="H1661" s="1" t="s">
        <v>34</v>
      </c>
      <c r="I1661" s="1" t="s">
        <v>49</v>
      </c>
      <c r="J1661" s="1" t="n">
        <f aca="false">K1660</f>
        <v>15874</v>
      </c>
      <c r="K1661" s="1" t="n">
        <f aca="false">J1661+L1661</f>
        <v>15901</v>
      </c>
      <c r="L1661" s="1" t="n">
        <v>27</v>
      </c>
      <c r="M1661" s="1" t="n">
        <f aca="false">(E1661+M1660)-N1661</f>
        <v>10.2499999999999</v>
      </c>
      <c r="N1661" s="1" t="n">
        <v>3.2</v>
      </c>
    </row>
    <row r="1662" customFormat="false" ht="15" hidden="false" customHeight="true" outlineLevel="0" collapsed="false">
      <c r="D1662" s="11"/>
      <c r="H1662" s="1" t="s">
        <v>49</v>
      </c>
      <c r="I1662" s="1" t="s">
        <v>34</v>
      </c>
      <c r="J1662" s="1" t="n">
        <f aca="false">K1661</f>
        <v>15901</v>
      </c>
      <c r="K1662" s="1" t="n">
        <f aca="false">J1662+L1662</f>
        <v>15928</v>
      </c>
      <c r="L1662" s="1" t="n">
        <v>27</v>
      </c>
      <c r="M1662" s="1" t="n">
        <f aca="false">(E1662+M1661)-N1662</f>
        <v>7.04999999999995</v>
      </c>
      <c r="N1662" s="1" t="n">
        <v>3.2</v>
      </c>
    </row>
    <row r="1664" customFormat="false" ht="15" hidden="false" customHeight="true" outlineLevel="0" collapsed="false">
      <c r="D1664" s="4" t="s">
        <v>82</v>
      </c>
      <c r="E1664" s="4"/>
      <c r="F1664" s="4"/>
      <c r="G1664" s="4"/>
    </row>
    <row r="1665" customFormat="false" ht="15" hidden="false" customHeight="true" outlineLevel="0" collapsed="false">
      <c r="D1665" s="11" t="n">
        <v>45505</v>
      </c>
      <c r="E1665" s="0" t="n">
        <v>40.87</v>
      </c>
      <c r="F1665" s="1" t="n">
        <v>58.4</v>
      </c>
      <c r="G1665" s="6" t="n">
        <f aca="false">E1665*F1665</f>
        <v>2386.808</v>
      </c>
      <c r="H1665" s="1" t="s">
        <v>34</v>
      </c>
      <c r="I1665" s="1" t="s">
        <v>37</v>
      </c>
      <c r="J1665" s="1" t="n">
        <f aca="false">K1662</f>
        <v>15928</v>
      </c>
      <c r="K1665" s="1" t="n">
        <f aca="false">J1665+L1665</f>
        <v>15968</v>
      </c>
      <c r="L1665" s="1" t="n">
        <v>40</v>
      </c>
      <c r="M1665" s="1" t="n">
        <f aca="false">(E1665+M1662)-N1665</f>
        <v>43.12</v>
      </c>
      <c r="N1665" s="1" t="n">
        <v>4.8</v>
      </c>
    </row>
    <row r="1666" customFormat="false" ht="15" hidden="false" customHeight="true" outlineLevel="0" collapsed="false">
      <c r="D1666" s="11"/>
      <c r="H1666" s="1" t="s">
        <v>37</v>
      </c>
      <c r="I1666" s="1" t="s">
        <v>34</v>
      </c>
      <c r="J1666" s="1" t="n">
        <f aca="false">K1665</f>
        <v>15968</v>
      </c>
      <c r="K1666" s="1" t="n">
        <f aca="false">J1666+L1666</f>
        <v>16008</v>
      </c>
      <c r="L1666" s="1" t="n">
        <v>40</v>
      </c>
      <c r="M1666" s="1" t="n">
        <f aca="false">(E1666+M1665)-N1666</f>
        <v>38.32</v>
      </c>
      <c r="N1666" s="1" t="n">
        <v>4.8</v>
      </c>
    </row>
    <row r="1667" customFormat="false" ht="15" hidden="false" customHeight="true" outlineLevel="0" collapsed="false">
      <c r="D1667" s="11" t="n">
        <v>45506</v>
      </c>
      <c r="H1667" s="1" t="s">
        <v>34</v>
      </c>
      <c r="I1667" s="1" t="s">
        <v>54</v>
      </c>
      <c r="J1667" s="1" t="n">
        <f aca="false">K1666</f>
        <v>16008</v>
      </c>
      <c r="K1667" s="1" t="n">
        <f aca="false">J1667+L1667</f>
        <v>16035</v>
      </c>
      <c r="L1667" s="1" t="n">
        <v>27</v>
      </c>
      <c r="M1667" s="1" t="n">
        <f aca="false">(E1667+M1666)-N1667</f>
        <v>35.12</v>
      </c>
      <c r="N1667" s="1" t="n">
        <v>3.2</v>
      </c>
    </row>
    <row r="1668" customFormat="false" ht="15" hidden="false" customHeight="true" outlineLevel="0" collapsed="false">
      <c r="D1668" s="11"/>
      <c r="H1668" s="1" t="s">
        <v>54</v>
      </c>
      <c r="I1668" s="1" t="s">
        <v>34</v>
      </c>
      <c r="J1668" s="1" t="n">
        <f aca="false">K1667</f>
        <v>16035</v>
      </c>
      <c r="K1668" s="1" t="n">
        <f aca="false">J1668+L1668</f>
        <v>16062</v>
      </c>
      <c r="L1668" s="1" t="n">
        <v>27</v>
      </c>
      <c r="M1668" s="1" t="n">
        <f aca="false">(E1668+M1667)-N1668</f>
        <v>31.92</v>
      </c>
      <c r="N1668" s="1" t="n">
        <v>3.2</v>
      </c>
    </row>
    <row r="1669" customFormat="false" ht="15" hidden="false" customHeight="true" outlineLevel="0" collapsed="false">
      <c r="D1669" s="11" t="n">
        <v>45509</v>
      </c>
      <c r="H1669" s="1" t="s">
        <v>34</v>
      </c>
      <c r="I1669" s="1" t="s">
        <v>43</v>
      </c>
      <c r="J1669" s="1" t="n">
        <f aca="false">K1668</f>
        <v>16062</v>
      </c>
      <c r="K1669" s="1" t="n">
        <f aca="false">J1669+L1669</f>
        <v>16074</v>
      </c>
      <c r="L1669" s="1" t="n">
        <v>12</v>
      </c>
      <c r="M1669" s="1" t="n">
        <f aca="false">(E1669+M1668)-N1669</f>
        <v>30.67</v>
      </c>
      <c r="N1669" s="1" t="n">
        <v>1.25</v>
      </c>
    </row>
    <row r="1670" customFormat="false" ht="15" hidden="false" customHeight="true" outlineLevel="0" collapsed="false">
      <c r="D1670" s="11"/>
      <c r="H1670" s="1" t="s">
        <v>43</v>
      </c>
      <c r="I1670" s="1" t="s">
        <v>34</v>
      </c>
      <c r="J1670" s="1" t="n">
        <f aca="false">K1669</f>
        <v>16074</v>
      </c>
      <c r="K1670" s="1" t="n">
        <f aca="false">J1670+L1670</f>
        <v>16086</v>
      </c>
      <c r="L1670" s="1" t="n">
        <v>12</v>
      </c>
      <c r="M1670" s="1" t="n">
        <f aca="false">(E1670+M1669)-N1670</f>
        <v>29.42</v>
      </c>
      <c r="N1670" s="1" t="n">
        <v>1.25</v>
      </c>
    </row>
    <row r="1671" customFormat="false" ht="15" hidden="false" customHeight="true" outlineLevel="0" collapsed="false">
      <c r="D1671" s="11" t="n">
        <v>45510</v>
      </c>
      <c r="H1671" s="1" t="s">
        <v>34</v>
      </c>
      <c r="I1671" s="1" t="s">
        <v>35</v>
      </c>
      <c r="J1671" s="1" t="n">
        <f aca="false">K1670</f>
        <v>16086</v>
      </c>
      <c r="K1671" s="1" t="n">
        <f aca="false">J1671+L1671</f>
        <v>16098</v>
      </c>
      <c r="L1671" s="1" t="n">
        <v>12</v>
      </c>
      <c r="M1671" s="1" t="n">
        <f aca="false">(E1671+M1670)-N1671</f>
        <v>28.17</v>
      </c>
      <c r="N1671" s="1" t="n">
        <v>1.25</v>
      </c>
    </row>
    <row r="1672" customFormat="false" ht="15" hidden="false" customHeight="true" outlineLevel="0" collapsed="false">
      <c r="D1672" s="11"/>
      <c r="H1672" s="1" t="s">
        <v>35</v>
      </c>
      <c r="I1672" s="1" t="s">
        <v>34</v>
      </c>
      <c r="J1672" s="1" t="n">
        <f aca="false">K1671</f>
        <v>16098</v>
      </c>
      <c r="K1672" s="1" t="n">
        <f aca="false">J1672+L1672</f>
        <v>16110</v>
      </c>
      <c r="L1672" s="1" t="n">
        <v>12</v>
      </c>
      <c r="M1672" s="1" t="n">
        <f aca="false">(E1672+M1671)-N1672</f>
        <v>26.92</v>
      </c>
      <c r="N1672" s="1" t="n">
        <v>1.25</v>
      </c>
    </row>
    <row r="1673" customFormat="false" ht="15" hidden="false" customHeight="true" outlineLevel="0" collapsed="false">
      <c r="D1673" s="11" t="n">
        <v>45511</v>
      </c>
      <c r="H1673" s="1" t="s">
        <v>34</v>
      </c>
      <c r="I1673" s="1" t="s">
        <v>44</v>
      </c>
      <c r="J1673" s="1" t="n">
        <f aca="false">K1672</f>
        <v>16110</v>
      </c>
      <c r="K1673" s="1" t="n">
        <f aca="false">J1673+L1673</f>
        <v>16150</v>
      </c>
      <c r="L1673" s="1" t="n">
        <v>40</v>
      </c>
      <c r="M1673" s="1" t="n">
        <f aca="false">(E1673+M1672)-N1673</f>
        <v>22.1199999999999</v>
      </c>
      <c r="N1673" s="1" t="n">
        <v>4.8</v>
      </c>
    </row>
    <row r="1674" customFormat="false" ht="15" hidden="false" customHeight="true" outlineLevel="0" collapsed="false">
      <c r="D1674" s="11"/>
      <c r="H1674" s="1" t="s">
        <v>44</v>
      </c>
      <c r="I1674" s="1" t="s">
        <v>34</v>
      </c>
      <c r="J1674" s="1" t="n">
        <f aca="false">K1673</f>
        <v>16150</v>
      </c>
      <c r="K1674" s="1" t="n">
        <f aca="false">J1674+L1674</f>
        <v>16190</v>
      </c>
      <c r="L1674" s="1" t="n">
        <v>40</v>
      </c>
      <c r="M1674" s="1" t="n">
        <f aca="false">(E1674+M1673)-N1674</f>
        <v>17.3199999999999</v>
      </c>
      <c r="N1674" s="1" t="n">
        <v>4.8</v>
      </c>
    </row>
    <row r="1675" customFormat="false" ht="15" hidden="false" customHeight="true" outlineLevel="0" collapsed="false">
      <c r="D1675" s="11" t="n">
        <v>45512</v>
      </c>
      <c r="H1675" s="1" t="s">
        <v>34</v>
      </c>
      <c r="I1675" s="1" t="s">
        <v>32</v>
      </c>
      <c r="J1675" s="1" t="n">
        <f aca="false">K1674</f>
        <v>16190</v>
      </c>
      <c r="K1675" s="1" t="n">
        <f aca="false">J1675+L1675</f>
        <v>16215</v>
      </c>
      <c r="L1675" s="1" t="n">
        <v>25</v>
      </c>
      <c r="M1675" s="1" t="n">
        <f aca="false">(E1675+M1674)-N1675</f>
        <v>14.3199999999999</v>
      </c>
      <c r="N1675" s="1" t="n">
        <v>3</v>
      </c>
    </row>
    <row r="1676" customFormat="false" ht="15" hidden="false" customHeight="true" outlineLevel="0" collapsed="false">
      <c r="D1676" s="11"/>
      <c r="H1676" s="1" t="s">
        <v>32</v>
      </c>
      <c r="I1676" s="1" t="s">
        <v>34</v>
      </c>
      <c r="J1676" s="1" t="n">
        <f aca="false">K1675</f>
        <v>16215</v>
      </c>
      <c r="K1676" s="1" t="n">
        <f aca="false">J1676+L1676</f>
        <v>16240</v>
      </c>
      <c r="L1676" s="1" t="n">
        <v>25</v>
      </c>
      <c r="M1676" s="1" t="n">
        <f aca="false">(E1676+M1675)-N1676</f>
        <v>11.3199999999999</v>
      </c>
      <c r="N1676" s="1" t="n">
        <v>3</v>
      </c>
    </row>
    <row r="1677" customFormat="false" ht="15" hidden="false" customHeight="true" outlineLevel="0" collapsed="false">
      <c r="D1677" s="11" t="n">
        <v>45513</v>
      </c>
      <c r="H1677" s="1" t="s">
        <v>34</v>
      </c>
      <c r="I1677" s="1" t="s">
        <v>54</v>
      </c>
      <c r="J1677" s="1" t="n">
        <f aca="false">K1676</f>
        <v>16240</v>
      </c>
      <c r="K1677" s="1" t="n">
        <f aca="false">J1677+L1677</f>
        <v>16267</v>
      </c>
      <c r="L1677" s="1" t="n">
        <v>27</v>
      </c>
      <c r="M1677" s="1" t="n">
        <f aca="false">(E1677+M1676)-N1677</f>
        <v>8.11999999999995</v>
      </c>
      <c r="N1677" s="1" t="n">
        <v>3.2</v>
      </c>
    </row>
    <row r="1678" customFormat="false" ht="15" hidden="false" customHeight="true" outlineLevel="0" collapsed="false">
      <c r="D1678" s="11"/>
      <c r="H1678" s="1" t="s">
        <v>54</v>
      </c>
      <c r="I1678" s="1" t="s">
        <v>34</v>
      </c>
      <c r="J1678" s="1" t="n">
        <f aca="false">K1677</f>
        <v>16267</v>
      </c>
      <c r="K1678" s="1" t="n">
        <f aca="false">J1678+L1678</f>
        <v>16294</v>
      </c>
      <c r="L1678" s="1" t="n">
        <v>27</v>
      </c>
      <c r="M1678" s="1" t="n">
        <f aca="false">(E1678+M1677)-N1678</f>
        <v>4.91999999999995</v>
      </c>
      <c r="N1678" s="1" t="n">
        <v>3.2</v>
      </c>
    </row>
    <row r="1679" customFormat="false" ht="15" hidden="false" customHeight="true" outlineLevel="0" collapsed="false">
      <c r="D1679" s="11" t="n">
        <v>45516</v>
      </c>
      <c r="H1679" s="1" t="s">
        <v>34</v>
      </c>
      <c r="I1679" s="1" t="s">
        <v>35</v>
      </c>
      <c r="J1679" s="1" t="n">
        <f aca="false">K1678</f>
        <v>16294</v>
      </c>
      <c r="K1679" s="1" t="n">
        <f aca="false">J1679+L1679</f>
        <v>16306</v>
      </c>
      <c r="L1679" s="1" t="n">
        <v>12</v>
      </c>
      <c r="M1679" s="1" t="n">
        <f aca="false">(E1679+M1678)-N1679</f>
        <v>3.66999999999995</v>
      </c>
      <c r="N1679" s="1" t="n">
        <v>1.25</v>
      </c>
    </row>
    <row r="1680" customFormat="false" ht="15" hidden="false" customHeight="true" outlineLevel="0" collapsed="false">
      <c r="D1680" s="11"/>
      <c r="H1680" s="1" t="s">
        <v>35</v>
      </c>
      <c r="I1680" s="1" t="s">
        <v>34</v>
      </c>
      <c r="J1680" s="1" t="n">
        <f aca="false">K1679</f>
        <v>16306</v>
      </c>
      <c r="K1680" s="1" t="n">
        <f aca="false">J1680+L1680</f>
        <v>16318</v>
      </c>
      <c r="L1680" s="1" t="n">
        <v>12</v>
      </c>
      <c r="M1680" s="1" t="n">
        <f aca="false">(E1680+M1679)-N1680</f>
        <v>2.41999999999995</v>
      </c>
      <c r="N1680" s="1" t="n">
        <v>1.25</v>
      </c>
    </row>
    <row r="1681" customFormat="false" ht="15" hidden="false" customHeight="true" outlineLevel="0" collapsed="false">
      <c r="D1681" s="11" t="n">
        <v>45517</v>
      </c>
      <c r="E1681" s="0" t="n">
        <v>47.37</v>
      </c>
      <c r="F1681" s="1" t="n">
        <v>58.5</v>
      </c>
      <c r="G1681" s="6" t="n">
        <f aca="false">E1681*F1681</f>
        <v>2771.145</v>
      </c>
      <c r="H1681" s="1" t="s">
        <v>34</v>
      </c>
      <c r="I1681" s="1" t="s">
        <v>65</v>
      </c>
      <c r="J1681" s="1" t="n">
        <f aca="false">K1680</f>
        <v>16318</v>
      </c>
      <c r="K1681" s="1" t="n">
        <f aca="false">J1681+L1681</f>
        <v>16398</v>
      </c>
      <c r="L1681" s="1" t="n">
        <v>80</v>
      </c>
      <c r="M1681" s="1" t="n">
        <f aca="false">(E1681+M1680)-N1681</f>
        <v>40.7899999999999</v>
      </c>
      <c r="N1681" s="1" t="n">
        <v>9</v>
      </c>
    </row>
    <row r="1682" customFormat="false" ht="15" hidden="false" customHeight="true" outlineLevel="0" collapsed="false">
      <c r="D1682" s="11"/>
      <c r="H1682" s="1" t="s">
        <v>65</v>
      </c>
      <c r="I1682" s="1" t="s">
        <v>34</v>
      </c>
      <c r="J1682" s="1" t="n">
        <f aca="false">K1681</f>
        <v>16398</v>
      </c>
      <c r="K1682" s="1" t="n">
        <f aca="false">J1682+L1682</f>
        <v>16478</v>
      </c>
      <c r="L1682" s="1" t="n">
        <v>80</v>
      </c>
      <c r="M1682" s="1" t="n">
        <f aca="false">(E1682+M1681)-N1682</f>
        <v>31.7899999999999</v>
      </c>
      <c r="N1682" s="1" t="n">
        <v>9</v>
      </c>
    </row>
    <row r="1683" customFormat="false" ht="15" hidden="false" customHeight="true" outlineLevel="0" collapsed="false">
      <c r="D1683" s="11" t="n">
        <v>45518</v>
      </c>
      <c r="H1683" s="1" t="s">
        <v>34</v>
      </c>
      <c r="I1683" s="1" t="s">
        <v>49</v>
      </c>
      <c r="J1683" s="1" t="n">
        <f aca="false">K1682</f>
        <v>16478</v>
      </c>
      <c r="K1683" s="1" t="n">
        <f aca="false">J1683+L1683</f>
        <v>16505</v>
      </c>
      <c r="L1683" s="1" t="n">
        <v>27</v>
      </c>
      <c r="M1683" s="1" t="n">
        <f aca="false">(E1683+M1682)-N1683</f>
        <v>28.5899999999999</v>
      </c>
      <c r="N1683" s="1" t="n">
        <v>3.2</v>
      </c>
    </row>
    <row r="1684" customFormat="false" ht="15" hidden="false" customHeight="true" outlineLevel="0" collapsed="false">
      <c r="D1684" s="11"/>
      <c r="H1684" s="1" t="s">
        <v>49</v>
      </c>
      <c r="I1684" s="1" t="s">
        <v>34</v>
      </c>
      <c r="J1684" s="1" t="n">
        <f aca="false">K1683</f>
        <v>16505</v>
      </c>
      <c r="K1684" s="1" t="n">
        <f aca="false">J1684+L1684</f>
        <v>16532</v>
      </c>
      <c r="L1684" s="1" t="n">
        <v>27</v>
      </c>
      <c r="M1684" s="1" t="n">
        <f aca="false">(E1684+M1683)-N1684</f>
        <v>25.3899999999999</v>
      </c>
      <c r="N1684" s="1" t="n">
        <v>3.2</v>
      </c>
    </row>
    <row r="1685" customFormat="false" ht="15" hidden="false" customHeight="true" outlineLevel="0" collapsed="false">
      <c r="D1685" s="11" t="n">
        <v>45519</v>
      </c>
      <c r="H1685" s="1" t="s">
        <v>34</v>
      </c>
      <c r="I1685" s="1" t="s">
        <v>35</v>
      </c>
      <c r="J1685" s="1" t="n">
        <f aca="false">K1684</f>
        <v>16532</v>
      </c>
      <c r="K1685" s="1" t="n">
        <f aca="false">J1685+L1685</f>
        <v>16544</v>
      </c>
      <c r="L1685" s="1" t="n">
        <v>12</v>
      </c>
      <c r="M1685" s="1" t="n">
        <f aca="false">(E1685+M1684)-N1685</f>
        <v>24.1399999999999</v>
      </c>
      <c r="N1685" s="1" t="n">
        <v>1.25</v>
      </c>
    </row>
    <row r="1686" customFormat="false" ht="15" hidden="false" customHeight="true" outlineLevel="0" collapsed="false">
      <c r="D1686" s="11"/>
      <c r="H1686" s="1" t="s">
        <v>35</v>
      </c>
      <c r="I1686" s="1" t="s">
        <v>34</v>
      </c>
      <c r="J1686" s="1" t="n">
        <f aca="false">K1685</f>
        <v>16544</v>
      </c>
      <c r="K1686" s="1" t="n">
        <f aca="false">J1686+L1686</f>
        <v>16556</v>
      </c>
      <c r="L1686" s="1" t="n">
        <v>12</v>
      </c>
      <c r="M1686" s="1" t="n">
        <f aca="false">(E1686+M1685)-N1686</f>
        <v>22.8899999999999</v>
      </c>
      <c r="N1686" s="1" t="n">
        <v>1.25</v>
      </c>
    </row>
    <row r="1687" customFormat="false" ht="15" hidden="false" customHeight="true" outlineLevel="0" collapsed="false">
      <c r="D1687" s="11" t="n">
        <v>45520</v>
      </c>
      <c r="H1687" s="1" t="s">
        <v>34</v>
      </c>
      <c r="I1687" s="1" t="s">
        <v>54</v>
      </c>
      <c r="J1687" s="1" t="n">
        <f aca="false">K1686</f>
        <v>16556</v>
      </c>
      <c r="K1687" s="1" t="n">
        <f aca="false">J1687+L1687</f>
        <v>16583</v>
      </c>
      <c r="L1687" s="1" t="n">
        <v>27</v>
      </c>
      <c r="M1687" s="1" t="n">
        <f aca="false">(E1687+M1686)-N1687</f>
        <v>19.6899999999999</v>
      </c>
      <c r="N1687" s="1" t="n">
        <v>3.2</v>
      </c>
    </row>
    <row r="1688" customFormat="false" ht="15" hidden="false" customHeight="true" outlineLevel="0" collapsed="false">
      <c r="D1688" s="11"/>
      <c r="H1688" s="1" t="s">
        <v>54</v>
      </c>
      <c r="I1688" s="1" t="s">
        <v>34</v>
      </c>
      <c r="J1688" s="1" t="n">
        <f aca="false">K1687</f>
        <v>16583</v>
      </c>
      <c r="K1688" s="1" t="n">
        <f aca="false">J1688+L1688</f>
        <v>16610</v>
      </c>
      <c r="L1688" s="1" t="n">
        <v>27</v>
      </c>
      <c r="M1688" s="1" t="n">
        <f aca="false">(E1688+M1687)-N1688</f>
        <v>16.4899999999999</v>
      </c>
      <c r="N1688" s="1" t="n">
        <v>3.2</v>
      </c>
    </row>
    <row r="1689" customFormat="false" ht="15" hidden="false" customHeight="true" outlineLevel="0" collapsed="false">
      <c r="D1689" s="11" t="n">
        <v>45523</v>
      </c>
      <c r="E1689" s="0" t="n">
        <v>48.57</v>
      </c>
      <c r="F1689" s="1" t="n">
        <v>58.2</v>
      </c>
      <c r="G1689" s="6" t="n">
        <f aca="false">E1689*F1689</f>
        <v>2826.774</v>
      </c>
      <c r="H1689" s="1" t="s">
        <v>34</v>
      </c>
      <c r="I1689" s="1" t="s">
        <v>65</v>
      </c>
      <c r="J1689" s="1" t="n">
        <f aca="false">K1688</f>
        <v>16610</v>
      </c>
      <c r="K1689" s="1" t="n">
        <f aca="false">J1689+L1689</f>
        <v>16690</v>
      </c>
      <c r="L1689" s="1" t="n">
        <v>80</v>
      </c>
      <c r="M1689" s="1" t="n">
        <f aca="false">(E1689+M1688)-N1689</f>
        <v>56.0599999999999</v>
      </c>
      <c r="N1689" s="1" t="n">
        <v>9</v>
      </c>
    </row>
    <row r="1690" customFormat="false" ht="15" hidden="false" customHeight="true" outlineLevel="0" collapsed="false">
      <c r="D1690" s="11"/>
      <c r="H1690" s="1" t="s">
        <v>65</v>
      </c>
      <c r="I1690" s="1" t="s">
        <v>34</v>
      </c>
      <c r="J1690" s="1" t="n">
        <f aca="false">K1689</f>
        <v>16690</v>
      </c>
      <c r="K1690" s="1" t="n">
        <f aca="false">J1690+L1690</f>
        <v>16770</v>
      </c>
      <c r="L1690" s="1" t="n">
        <v>80</v>
      </c>
      <c r="M1690" s="1" t="n">
        <f aca="false">(E1690+M1689)-N1690</f>
        <v>47.0599999999999</v>
      </c>
      <c r="N1690" s="1" t="n">
        <v>9</v>
      </c>
    </row>
    <row r="1691" customFormat="false" ht="15" hidden="false" customHeight="true" outlineLevel="0" collapsed="false">
      <c r="D1691" s="11" t="n">
        <v>45524</v>
      </c>
      <c r="H1691" s="1" t="s">
        <v>34</v>
      </c>
      <c r="I1691" s="1" t="s">
        <v>65</v>
      </c>
      <c r="J1691" s="1" t="n">
        <f aca="false">K1690</f>
        <v>16770</v>
      </c>
      <c r="K1691" s="1" t="n">
        <f aca="false">J1691+L1691</f>
        <v>16850</v>
      </c>
      <c r="L1691" s="1" t="n">
        <v>80</v>
      </c>
      <c r="M1691" s="1" t="n">
        <f aca="false">(E1691+M1690)-N1691</f>
        <v>38.0599999999999</v>
      </c>
      <c r="N1691" s="1" t="n">
        <v>9</v>
      </c>
    </row>
    <row r="1692" customFormat="false" ht="15" hidden="false" customHeight="true" outlineLevel="0" collapsed="false">
      <c r="D1692" s="11"/>
      <c r="H1692" s="1" t="s">
        <v>65</v>
      </c>
      <c r="I1692" s="1" t="s">
        <v>34</v>
      </c>
      <c r="J1692" s="1" t="n">
        <f aca="false">K1691</f>
        <v>16850</v>
      </c>
      <c r="K1692" s="1" t="n">
        <f aca="false">J1692+L1692</f>
        <v>16930</v>
      </c>
      <c r="L1692" s="1" t="n">
        <v>80</v>
      </c>
      <c r="M1692" s="1" t="n">
        <f aca="false">(E1692+M1691)-N1692</f>
        <v>29.0599999999999</v>
      </c>
      <c r="N1692" s="1" t="n">
        <v>9</v>
      </c>
    </row>
    <row r="1693" customFormat="false" ht="15" hidden="false" customHeight="true" outlineLevel="0" collapsed="false">
      <c r="D1693" s="11" t="n">
        <v>45525</v>
      </c>
      <c r="E1693" s="15" t="s">
        <v>50</v>
      </c>
    </row>
    <row r="1694" customFormat="false" ht="15" hidden="false" customHeight="true" outlineLevel="0" collapsed="false">
      <c r="D1694" s="11" t="n">
        <v>45526</v>
      </c>
      <c r="E1694" s="15" t="s">
        <v>50</v>
      </c>
    </row>
    <row r="1695" customFormat="false" ht="15" hidden="false" customHeight="true" outlineLevel="0" collapsed="false">
      <c r="D1695" s="11" t="n">
        <v>45527</v>
      </c>
      <c r="E1695" s="15" t="s">
        <v>50</v>
      </c>
    </row>
    <row r="1696" customFormat="false" ht="15" hidden="false" customHeight="true" outlineLevel="0" collapsed="false">
      <c r="D1696" s="11" t="n">
        <v>45530</v>
      </c>
      <c r="E1696" s="15" t="s">
        <v>50</v>
      </c>
    </row>
    <row r="1697" customFormat="false" ht="15" hidden="false" customHeight="true" outlineLevel="0" collapsed="false">
      <c r="D1697" s="11" t="n">
        <v>45531</v>
      </c>
      <c r="E1697" s="15" t="s">
        <v>50</v>
      </c>
    </row>
    <row r="1698" customFormat="false" ht="15" hidden="false" customHeight="true" outlineLevel="0" collapsed="false">
      <c r="D1698" s="11" t="n">
        <v>45532</v>
      </c>
      <c r="E1698" s="15" t="s">
        <v>50</v>
      </c>
    </row>
    <row r="1699" customFormat="false" ht="15" hidden="false" customHeight="true" outlineLevel="0" collapsed="false">
      <c r="D1699" s="11" t="n">
        <v>45533</v>
      </c>
      <c r="E1699" s="15" t="s">
        <v>50</v>
      </c>
    </row>
    <row r="1700" customFormat="false" ht="15" hidden="false" customHeight="true" outlineLevel="0" collapsed="false">
      <c r="D1700" s="11" t="n">
        <v>45534</v>
      </c>
      <c r="E1700" s="15" t="s">
        <v>50</v>
      </c>
    </row>
    <row r="1701" customFormat="false" ht="15" hidden="false" customHeight="true" outlineLevel="0" collapsed="false">
      <c r="D1701" s="11"/>
    </row>
    <row r="1702" customFormat="false" ht="15" hidden="false" customHeight="true" outlineLevel="0" collapsed="false">
      <c r="D1702" s="4" t="s">
        <v>83</v>
      </c>
      <c r="E1702" s="4"/>
      <c r="F1702" s="4"/>
      <c r="G1702" s="4"/>
    </row>
    <row r="1703" customFormat="false" ht="15" hidden="false" customHeight="true" outlineLevel="0" collapsed="false">
      <c r="D1703" s="11"/>
    </row>
    <row r="1704" customFormat="false" ht="15" hidden="false" customHeight="true" outlineLevel="0" collapsed="false">
      <c r="D1704" s="11" t="n">
        <v>45537</v>
      </c>
      <c r="E1704" s="15" t="s">
        <v>50</v>
      </c>
    </row>
    <row r="1705" customFormat="false" ht="15" hidden="false" customHeight="true" outlineLevel="0" collapsed="false">
      <c r="D1705" s="11" t="n">
        <v>45538</v>
      </c>
      <c r="E1705" s="15" t="s">
        <v>50</v>
      </c>
    </row>
    <row r="1706" customFormat="false" ht="15" hidden="false" customHeight="true" outlineLevel="0" collapsed="false">
      <c r="D1706" s="11" t="n">
        <v>45539</v>
      </c>
      <c r="E1706" s="15" t="s">
        <v>50</v>
      </c>
    </row>
    <row r="1707" customFormat="false" ht="15" hidden="false" customHeight="true" outlineLevel="0" collapsed="false">
      <c r="D1707" s="11" t="n">
        <v>45540</v>
      </c>
      <c r="H1707" s="1" t="s">
        <v>34</v>
      </c>
      <c r="I1707" s="1" t="s">
        <v>54</v>
      </c>
      <c r="J1707" s="1" t="n">
        <f aca="false">K1692</f>
        <v>16930</v>
      </c>
      <c r="K1707" s="1" t="n">
        <f aca="false">J1707+L1707</f>
        <v>16957</v>
      </c>
      <c r="L1707" s="1" t="n">
        <v>27</v>
      </c>
      <c r="M1707" s="1" t="n">
        <f aca="false">(E1707+M1692)-N1707</f>
        <v>25.8599999999999</v>
      </c>
      <c r="N1707" s="1" t="n">
        <v>3.2</v>
      </c>
    </row>
    <row r="1708" customFormat="false" ht="15" hidden="false" customHeight="true" outlineLevel="0" collapsed="false">
      <c r="D1708" s="11"/>
      <c r="H1708" s="1" t="s">
        <v>54</v>
      </c>
      <c r="I1708" s="1" t="s">
        <v>34</v>
      </c>
      <c r="J1708" s="1" t="n">
        <f aca="false">K1707</f>
        <v>16957</v>
      </c>
      <c r="K1708" s="1" t="n">
        <f aca="false">J1708+L1708</f>
        <v>16984</v>
      </c>
      <c r="L1708" s="1" t="n">
        <v>27</v>
      </c>
      <c r="M1708" s="1" t="n">
        <f aca="false">(E1708+M1707)-N1708</f>
        <v>22.6599999999999</v>
      </c>
      <c r="N1708" s="1" t="n">
        <v>3.2</v>
      </c>
    </row>
    <row r="1709" customFormat="false" ht="15" hidden="false" customHeight="true" outlineLevel="0" collapsed="false">
      <c r="D1709" s="11" t="n">
        <v>45541</v>
      </c>
      <c r="H1709" s="1" t="s">
        <v>34</v>
      </c>
      <c r="I1709" s="1" t="s">
        <v>61</v>
      </c>
      <c r="J1709" s="1" t="n">
        <f aca="false">K1708</f>
        <v>16984</v>
      </c>
      <c r="K1709" s="1" t="n">
        <f aca="false">J1709+L1709</f>
        <v>16990</v>
      </c>
      <c r="L1709" s="1" t="n">
        <v>6</v>
      </c>
      <c r="M1709" s="1" t="n">
        <f aca="false">(E1709+M1708)-N1709</f>
        <v>21.9599999999999</v>
      </c>
      <c r="N1709" s="1" t="n">
        <v>0.7</v>
      </c>
    </row>
    <row r="1710" customFormat="false" ht="15" hidden="false" customHeight="true" outlineLevel="0" collapsed="false">
      <c r="D1710" s="11"/>
      <c r="H1710" s="1" t="s">
        <v>61</v>
      </c>
      <c r="I1710" s="1" t="s">
        <v>34</v>
      </c>
      <c r="J1710" s="1" t="n">
        <f aca="false">K1709</f>
        <v>16990</v>
      </c>
      <c r="K1710" s="1" t="n">
        <f aca="false">J1710+L1710</f>
        <v>16996</v>
      </c>
      <c r="L1710" s="1" t="n">
        <v>6</v>
      </c>
      <c r="M1710" s="1" t="n">
        <f aca="false">(E1710+M1709)-N1710</f>
        <v>21.26</v>
      </c>
      <c r="N1710" s="1" t="n">
        <v>0.7</v>
      </c>
    </row>
    <row r="1711" customFormat="false" ht="15" hidden="false" customHeight="true" outlineLevel="0" collapsed="false">
      <c r="D1711" s="11" t="n">
        <v>45544</v>
      </c>
      <c r="H1711" s="1" t="s">
        <v>34</v>
      </c>
      <c r="I1711" s="1" t="s">
        <v>65</v>
      </c>
      <c r="J1711" s="1" t="n">
        <f aca="false">K1710</f>
        <v>16996</v>
      </c>
      <c r="K1711" s="1" t="n">
        <f aca="false">J1711+L1711</f>
        <v>17076</v>
      </c>
      <c r="L1711" s="1" t="n">
        <v>80</v>
      </c>
      <c r="M1711" s="1" t="n">
        <f aca="false">(E1711+M1710)-N1711</f>
        <v>12.2599999999999</v>
      </c>
      <c r="N1711" s="1" t="n">
        <v>9</v>
      </c>
    </row>
    <row r="1712" customFormat="false" ht="15" hidden="false" customHeight="true" outlineLevel="0" collapsed="false">
      <c r="D1712" s="11"/>
      <c r="H1712" s="1" t="s">
        <v>65</v>
      </c>
      <c r="I1712" s="1" t="s">
        <v>34</v>
      </c>
      <c r="J1712" s="1" t="n">
        <f aca="false">K1711</f>
        <v>17076</v>
      </c>
      <c r="K1712" s="1" t="n">
        <f aca="false">J1712+L1712</f>
        <v>17156</v>
      </c>
      <c r="L1712" s="1" t="n">
        <v>80</v>
      </c>
      <c r="M1712" s="1" t="n">
        <f aca="false">(E1712+M1711)-N1712</f>
        <v>3.25999999999995</v>
      </c>
      <c r="N1712" s="1" t="n">
        <v>9</v>
      </c>
    </row>
    <row r="1713" customFormat="false" ht="15" hidden="false" customHeight="true" outlineLevel="0" collapsed="false">
      <c r="D1713" s="11" t="n">
        <v>45545</v>
      </c>
      <c r="E1713" s="0" t="n">
        <v>49.31</v>
      </c>
      <c r="F1713" s="1" t="n">
        <v>58.6</v>
      </c>
      <c r="G1713" s="6" t="n">
        <f aca="false">E1713*F1713</f>
        <v>2889.566</v>
      </c>
      <c r="H1713" s="1" t="s">
        <v>34</v>
      </c>
      <c r="I1713" s="1" t="s">
        <v>43</v>
      </c>
      <c r="J1713" s="1" t="n">
        <f aca="false">K1712</f>
        <v>17156</v>
      </c>
      <c r="K1713" s="1" t="n">
        <f aca="false">J1713+L1713</f>
        <v>17168</v>
      </c>
      <c r="L1713" s="1" t="n">
        <v>12</v>
      </c>
      <c r="M1713" s="1" t="n">
        <f aca="false">(E1713+M1712)-N1713</f>
        <v>51.32</v>
      </c>
      <c r="N1713" s="1" t="n">
        <v>1.25</v>
      </c>
    </row>
    <row r="1714" customFormat="false" ht="15" hidden="false" customHeight="true" outlineLevel="0" collapsed="false">
      <c r="D1714" s="11"/>
      <c r="H1714" s="1" t="s">
        <v>43</v>
      </c>
      <c r="I1714" s="1" t="s">
        <v>34</v>
      </c>
      <c r="J1714" s="1" t="n">
        <f aca="false">K1713</f>
        <v>17168</v>
      </c>
      <c r="K1714" s="1" t="n">
        <f aca="false">J1714+L1714</f>
        <v>17180</v>
      </c>
      <c r="L1714" s="1" t="n">
        <v>12</v>
      </c>
      <c r="M1714" s="1" t="n">
        <f aca="false">(E1714+M1713)-N1714</f>
        <v>50.07</v>
      </c>
      <c r="N1714" s="1" t="n">
        <v>1.25</v>
      </c>
    </row>
    <row r="1715" customFormat="false" ht="15" hidden="false" customHeight="true" outlineLevel="0" collapsed="false">
      <c r="D1715" s="11" t="n">
        <v>45546</v>
      </c>
      <c r="H1715" s="1" t="s">
        <v>34</v>
      </c>
      <c r="I1715" s="1" t="s">
        <v>44</v>
      </c>
      <c r="J1715" s="1" t="n">
        <f aca="false">K1714</f>
        <v>17180</v>
      </c>
      <c r="K1715" s="1" t="n">
        <f aca="false">J1715+L1715</f>
        <v>17220</v>
      </c>
      <c r="L1715" s="1" t="n">
        <v>40</v>
      </c>
      <c r="M1715" s="1" t="n">
        <f aca="false">(E1715+M1714)-N1715</f>
        <v>45.27</v>
      </c>
      <c r="N1715" s="1" t="n">
        <v>4.8</v>
      </c>
    </row>
    <row r="1716" customFormat="false" ht="15" hidden="false" customHeight="true" outlineLevel="0" collapsed="false">
      <c r="D1716" s="11"/>
      <c r="H1716" s="1" t="s">
        <v>44</v>
      </c>
      <c r="I1716" s="1" t="s">
        <v>34</v>
      </c>
      <c r="J1716" s="1" t="n">
        <f aca="false">K1715</f>
        <v>17220</v>
      </c>
      <c r="K1716" s="1" t="n">
        <f aca="false">J1716+L1716</f>
        <v>17260</v>
      </c>
      <c r="L1716" s="1" t="n">
        <v>40</v>
      </c>
      <c r="M1716" s="1" t="n">
        <f aca="false">(E1716+M1715)-N1716</f>
        <v>40.47</v>
      </c>
      <c r="N1716" s="1" t="n">
        <v>4.8</v>
      </c>
    </row>
    <row r="1717" customFormat="false" ht="15" hidden="false" customHeight="true" outlineLevel="0" collapsed="false">
      <c r="D1717" s="11" t="n">
        <v>45547</v>
      </c>
      <c r="H1717" s="1" t="s">
        <v>34</v>
      </c>
      <c r="I1717" s="1" t="s">
        <v>49</v>
      </c>
      <c r="J1717" s="1" t="n">
        <f aca="false">K1716</f>
        <v>17260</v>
      </c>
      <c r="K1717" s="1" t="n">
        <f aca="false">J1717+L1717</f>
        <v>17287</v>
      </c>
      <c r="L1717" s="1" t="n">
        <v>27</v>
      </c>
      <c r="M1717" s="1" t="n">
        <f aca="false">(E1717+M1716)-N1717</f>
        <v>37.27</v>
      </c>
      <c r="N1717" s="1" t="n">
        <v>3.2</v>
      </c>
    </row>
    <row r="1718" customFormat="false" ht="15" hidden="false" customHeight="true" outlineLevel="0" collapsed="false">
      <c r="D1718" s="11"/>
      <c r="H1718" s="1" t="s">
        <v>49</v>
      </c>
      <c r="I1718" s="1" t="s">
        <v>34</v>
      </c>
      <c r="J1718" s="1" t="n">
        <f aca="false">K1717</f>
        <v>17287</v>
      </c>
      <c r="K1718" s="1" t="n">
        <f aca="false">J1718+L1718</f>
        <v>17314</v>
      </c>
      <c r="L1718" s="1" t="n">
        <v>27</v>
      </c>
      <c r="M1718" s="1" t="n">
        <f aca="false">(E1718+M1717)-N1718</f>
        <v>34.07</v>
      </c>
      <c r="N1718" s="1" t="n">
        <v>3.2</v>
      </c>
    </row>
    <row r="1719" customFormat="false" ht="15" hidden="false" customHeight="true" outlineLevel="0" collapsed="false">
      <c r="D1719" s="11" t="n">
        <v>45548</v>
      </c>
      <c r="H1719" s="1" t="s">
        <v>34</v>
      </c>
      <c r="I1719" s="1" t="s">
        <v>54</v>
      </c>
      <c r="J1719" s="1" t="n">
        <f aca="false">K1718</f>
        <v>17314</v>
      </c>
      <c r="K1719" s="1" t="n">
        <f aca="false">J1719+L1719</f>
        <v>17341</v>
      </c>
      <c r="L1719" s="1" t="n">
        <v>27</v>
      </c>
      <c r="M1719" s="1" t="n">
        <f aca="false">(E1719+M1718)-N1719</f>
        <v>30.87</v>
      </c>
      <c r="N1719" s="1" t="n">
        <v>3.2</v>
      </c>
    </row>
    <row r="1720" customFormat="false" ht="15" hidden="false" customHeight="true" outlineLevel="0" collapsed="false">
      <c r="D1720" s="11"/>
      <c r="H1720" s="1" t="s">
        <v>54</v>
      </c>
      <c r="I1720" s="1" t="s">
        <v>34</v>
      </c>
      <c r="J1720" s="1" t="n">
        <f aca="false">K1719</f>
        <v>17341</v>
      </c>
      <c r="K1720" s="1" t="n">
        <f aca="false">J1720+L1720</f>
        <v>17368</v>
      </c>
      <c r="L1720" s="1" t="n">
        <v>27</v>
      </c>
      <c r="M1720" s="1" t="n">
        <f aca="false">(E1720+M1719)-N1720</f>
        <v>27.67</v>
      </c>
      <c r="N1720" s="1" t="n">
        <v>3.2</v>
      </c>
    </row>
    <row r="1721" customFormat="false" ht="15" hidden="false" customHeight="true" outlineLevel="0" collapsed="false">
      <c r="D1721" s="11" t="n">
        <v>45551</v>
      </c>
      <c r="H1721" s="1" t="s">
        <v>34</v>
      </c>
      <c r="I1721" s="1" t="s">
        <v>65</v>
      </c>
      <c r="J1721" s="1" t="n">
        <f aca="false">K1720</f>
        <v>17368</v>
      </c>
      <c r="K1721" s="1" t="n">
        <f aca="false">J1721+L1721</f>
        <v>17448</v>
      </c>
      <c r="L1721" s="1" t="n">
        <v>80</v>
      </c>
      <c r="M1721" s="1" t="n">
        <f aca="false">(E1721+M1720)-N1721</f>
        <v>18.67</v>
      </c>
      <c r="N1721" s="1" t="n">
        <v>9</v>
      </c>
    </row>
    <row r="1722" customFormat="false" ht="15" hidden="false" customHeight="true" outlineLevel="0" collapsed="false">
      <c r="D1722" s="11"/>
      <c r="H1722" s="1" t="s">
        <v>65</v>
      </c>
      <c r="I1722" s="1" t="s">
        <v>34</v>
      </c>
      <c r="J1722" s="1" t="n">
        <f aca="false">K1721</f>
        <v>17448</v>
      </c>
      <c r="K1722" s="1" t="n">
        <f aca="false">J1722+L1722</f>
        <v>17528</v>
      </c>
      <c r="L1722" s="1" t="n">
        <v>80</v>
      </c>
      <c r="M1722" s="1" t="n">
        <f aca="false">(E1722+M1721)-N1722</f>
        <v>9.66999999999995</v>
      </c>
      <c r="N1722" s="1" t="n">
        <v>9</v>
      </c>
    </row>
    <row r="1723" customFormat="false" ht="15" hidden="false" customHeight="true" outlineLevel="0" collapsed="false">
      <c r="D1723" s="11" t="n">
        <v>45552</v>
      </c>
      <c r="E1723" s="0" t="n">
        <v>37.7</v>
      </c>
      <c r="F1723" s="1" t="n">
        <v>58.7</v>
      </c>
      <c r="G1723" s="6" t="n">
        <f aca="false">E1723*F1723</f>
        <v>2212.99</v>
      </c>
      <c r="H1723" s="1" t="s">
        <v>34</v>
      </c>
      <c r="I1723" s="1" t="s">
        <v>44</v>
      </c>
      <c r="J1723" s="1" t="n">
        <f aca="false">K1722</f>
        <v>17528</v>
      </c>
      <c r="K1723" s="1" t="n">
        <f aca="false">J1723+L1723</f>
        <v>17568</v>
      </c>
      <c r="L1723" s="1" t="n">
        <v>40</v>
      </c>
      <c r="M1723" s="1" t="n">
        <f aca="false">(E1723+M1722)-N1723</f>
        <v>42.57</v>
      </c>
      <c r="N1723" s="1" t="n">
        <v>4.8</v>
      </c>
    </row>
    <row r="1724" customFormat="false" ht="15" hidden="false" customHeight="true" outlineLevel="0" collapsed="false">
      <c r="D1724" s="11"/>
      <c r="H1724" s="1" t="s">
        <v>44</v>
      </c>
      <c r="I1724" s="1" t="s">
        <v>34</v>
      </c>
      <c r="J1724" s="1" t="n">
        <f aca="false">K1723</f>
        <v>17568</v>
      </c>
      <c r="K1724" s="1" t="n">
        <f aca="false">J1724+L1724</f>
        <v>17608</v>
      </c>
      <c r="L1724" s="1" t="n">
        <v>40</v>
      </c>
      <c r="M1724" s="1" t="n">
        <f aca="false">(E1724+M1723)-N1724</f>
        <v>37.77</v>
      </c>
      <c r="N1724" s="1" t="n">
        <v>4.8</v>
      </c>
    </row>
    <row r="1725" customFormat="false" ht="15" hidden="false" customHeight="true" outlineLevel="0" collapsed="false">
      <c r="D1725" s="11" t="n">
        <v>45553</v>
      </c>
      <c r="H1725" s="1" t="s">
        <v>34</v>
      </c>
      <c r="I1725" s="1" t="s">
        <v>35</v>
      </c>
      <c r="J1725" s="1" t="n">
        <f aca="false">K1724</f>
        <v>17608</v>
      </c>
      <c r="K1725" s="1" t="n">
        <f aca="false">J1725+L1725</f>
        <v>17620</v>
      </c>
      <c r="L1725" s="1" t="n">
        <v>12</v>
      </c>
      <c r="M1725" s="1" t="n">
        <f aca="false">(E1725+M1724)-N1725</f>
        <v>36.52</v>
      </c>
      <c r="N1725" s="1" t="n">
        <v>1.25</v>
      </c>
    </row>
    <row r="1726" customFormat="false" ht="15" hidden="false" customHeight="true" outlineLevel="0" collapsed="false">
      <c r="D1726" s="11"/>
      <c r="H1726" s="1" t="s">
        <v>35</v>
      </c>
      <c r="I1726" s="1" t="s">
        <v>34</v>
      </c>
      <c r="J1726" s="1" t="n">
        <f aca="false">K1725</f>
        <v>17620</v>
      </c>
      <c r="K1726" s="1" t="n">
        <f aca="false">J1726+L1726</f>
        <v>17632</v>
      </c>
      <c r="L1726" s="1" t="n">
        <v>12</v>
      </c>
      <c r="M1726" s="1" t="n">
        <f aca="false">(E1726+M1725)-N1726</f>
        <v>35.27</v>
      </c>
      <c r="N1726" s="1" t="n">
        <v>1.25</v>
      </c>
    </row>
    <row r="1727" customFormat="false" ht="15" hidden="false" customHeight="true" outlineLevel="0" collapsed="false">
      <c r="D1727" s="11" t="n">
        <v>45554</v>
      </c>
      <c r="H1727" s="1" t="s">
        <v>34</v>
      </c>
      <c r="I1727" s="1" t="s">
        <v>43</v>
      </c>
      <c r="J1727" s="1" t="n">
        <f aca="false">K1726</f>
        <v>17632</v>
      </c>
      <c r="K1727" s="1" t="n">
        <f aca="false">J1727+L1727</f>
        <v>17644</v>
      </c>
      <c r="L1727" s="1" t="n">
        <v>12</v>
      </c>
      <c r="M1727" s="1" t="n">
        <f aca="false">(E1727+M1726)-N1727</f>
        <v>34.02</v>
      </c>
      <c r="N1727" s="1" t="n">
        <v>1.25</v>
      </c>
    </row>
    <row r="1728" customFormat="false" ht="15" hidden="false" customHeight="true" outlineLevel="0" collapsed="false">
      <c r="D1728" s="11"/>
      <c r="H1728" s="1" t="s">
        <v>43</v>
      </c>
      <c r="I1728" s="1" t="s">
        <v>34</v>
      </c>
      <c r="J1728" s="1" t="n">
        <f aca="false">K1727</f>
        <v>17644</v>
      </c>
      <c r="K1728" s="1" t="n">
        <f aca="false">J1728+L1728</f>
        <v>17656</v>
      </c>
      <c r="L1728" s="1" t="n">
        <v>12</v>
      </c>
      <c r="M1728" s="1" t="n">
        <f aca="false">(E1728+M1727)-N1728</f>
        <v>32.77</v>
      </c>
      <c r="N1728" s="1" t="n">
        <v>1.25</v>
      </c>
    </row>
    <row r="1729" customFormat="false" ht="15" hidden="false" customHeight="true" outlineLevel="0" collapsed="false">
      <c r="D1729" s="11" t="n">
        <v>45555</v>
      </c>
      <c r="H1729" s="1" t="s">
        <v>34</v>
      </c>
      <c r="I1729" s="1" t="s">
        <v>54</v>
      </c>
      <c r="J1729" s="1" t="n">
        <f aca="false">K1728</f>
        <v>17656</v>
      </c>
      <c r="K1729" s="1" t="n">
        <f aca="false">J1729+L1729</f>
        <v>17683</v>
      </c>
      <c r="L1729" s="1" t="n">
        <v>27</v>
      </c>
      <c r="M1729" s="1" t="n">
        <f aca="false">(E1729+M1728)-N1729</f>
        <v>29.57</v>
      </c>
      <c r="N1729" s="1" t="n">
        <v>3.2</v>
      </c>
    </row>
    <row r="1730" customFormat="false" ht="15" hidden="false" customHeight="true" outlineLevel="0" collapsed="false">
      <c r="D1730" s="11"/>
      <c r="H1730" s="1" t="s">
        <v>54</v>
      </c>
      <c r="I1730" s="1" t="s">
        <v>34</v>
      </c>
      <c r="J1730" s="1" t="n">
        <f aca="false">K1729</f>
        <v>17683</v>
      </c>
      <c r="K1730" s="1" t="n">
        <f aca="false">J1730+L1730</f>
        <v>17710</v>
      </c>
      <c r="L1730" s="1" t="n">
        <v>27</v>
      </c>
      <c r="M1730" s="1" t="n">
        <f aca="false">(E1730+M1729)-N1730</f>
        <v>26.37</v>
      </c>
      <c r="N1730" s="1" t="n">
        <v>3.2</v>
      </c>
    </row>
    <row r="1731" customFormat="false" ht="15" hidden="false" customHeight="true" outlineLevel="0" collapsed="false">
      <c r="D1731" s="11" t="n">
        <v>45558</v>
      </c>
      <c r="H1731" s="1" t="s">
        <v>34</v>
      </c>
      <c r="I1731" s="1" t="s">
        <v>81</v>
      </c>
      <c r="J1731" s="1" t="n">
        <f aca="false">K1730</f>
        <v>17710</v>
      </c>
      <c r="K1731" s="1" t="n">
        <f aca="false">J1731+L1731</f>
        <v>17734</v>
      </c>
      <c r="L1731" s="1" t="n">
        <v>24</v>
      </c>
      <c r="M1731" s="1" t="n">
        <f aca="false">(E1731+M1730)-N1731</f>
        <v>23.87</v>
      </c>
      <c r="N1731" s="1" t="n">
        <v>2.5</v>
      </c>
    </row>
    <row r="1732" customFormat="false" ht="15" hidden="false" customHeight="true" outlineLevel="0" collapsed="false">
      <c r="D1732" s="11"/>
      <c r="H1732" s="1" t="s">
        <v>81</v>
      </c>
      <c r="I1732" s="1" t="s">
        <v>34</v>
      </c>
      <c r="J1732" s="1" t="n">
        <f aca="false">K1731</f>
        <v>17734</v>
      </c>
      <c r="K1732" s="1" t="n">
        <f aca="false">J1732+L1732</f>
        <v>17758</v>
      </c>
      <c r="L1732" s="1" t="n">
        <v>24</v>
      </c>
      <c r="M1732" s="1" t="n">
        <f aca="false">(E1732+M1731)-N1732</f>
        <v>21.37</v>
      </c>
      <c r="N1732" s="1" t="n">
        <v>2.5</v>
      </c>
    </row>
    <row r="1733" customFormat="false" ht="15" hidden="false" customHeight="true" outlineLevel="0" collapsed="false">
      <c r="D1733" s="11" t="n">
        <v>45559</v>
      </c>
      <c r="E1733" s="0" t="n">
        <v>45.71</v>
      </c>
      <c r="F1733" s="1" t="n">
        <v>59.2</v>
      </c>
      <c r="G1733" s="6" t="n">
        <f aca="false">E1733*F1733</f>
        <v>2706.032</v>
      </c>
      <c r="H1733" s="1" t="s">
        <v>34</v>
      </c>
      <c r="I1733" s="1" t="s">
        <v>65</v>
      </c>
      <c r="J1733" s="1" t="n">
        <f aca="false">K1732</f>
        <v>17758</v>
      </c>
      <c r="K1733" s="1" t="n">
        <f aca="false">J1733+L1733</f>
        <v>17838</v>
      </c>
      <c r="L1733" s="1" t="n">
        <v>80</v>
      </c>
      <c r="M1733" s="1" t="n">
        <f aca="false">(E1733+M1732)-N1733</f>
        <v>58.08</v>
      </c>
      <c r="N1733" s="1" t="n">
        <v>9</v>
      </c>
    </row>
    <row r="1734" customFormat="false" ht="15" hidden="false" customHeight="true" outlineLevel="0" collapsed="false">
      <c r="D1734" s="11"/>
      <c r="H1734" s="1" t="s">
        <v>65</v>
      </c>
      <c r="I1734" s="1" t="s">
        <v>34</v>
      </c>
      <c r="J1734" s="1" t="n">
        <f aca="false">K1733</f>
        <v>17838</v>
      </c>
      <c r="K1734" s="1" t="n">
        <f aca="false">J1734+L1734</f>
        <v>17918</v>
      </c>
      <c r="L1734" s="1" t="n">
        <v>80</v>
      </c>
      <c r="M1734" s="1" t="n">
        <f aca="false">(E1734+M1733)-N1734</f>
        <v>49.08</v>
      </c>
      <c r="N1734" s="1" t="n">
        <v>9</v>
      </c>
    </row>
    <row r="1735" customFormat="false" ht="15" hidden="false" customHeight="true" outlineLevel="0" collapsed="false">
      <c r="D1735" s="11" t="n">
        <v>45560</v>
      </c>
      <c r="H1735" s="1" t="s">
        <v>34</v>
      </c>
      <c r="I1735" s="1" t="s">
        <v>44</v>
      </c>
      <c r="J1735" s="1" t="n">
        <f aca="false">K1734</f>
        <v>17918</v>
      </c>
      <c r="K1735" s="1" t="n">
        <f aca="false">J1735+L1735</f>
        <v>17958</v>
      </c>
      <c r="L1735" s="1" t="n">
        <v>40</v>
      </c>
      <c r="M1735" s="1" t="n">
        <f aca="false">(E1735+M1734)-N1735</f>
        <v>44.28</v>
      </c>
      <c r="N1735" s="1" t="n">
        <v>4.8</v>
      </c>
    </row>
    <row r="1736" customFormat="false" ht="15" hidden="false" customHeight="true" outlineLevel="0" collapsed="false">
      <c r="D1736" s="11"/>
      <c r="H1736" s="1" t="s">
        <v>44</v>
      </c>
      <c r="I1736" s="1" t="s">
        <v>34</v>
      </c>
      <c r="J1736" s="1" t="n">
        <f aca="false">K1735</f>
        <v>17958</v>
      </c>
      <c r="K1736" s="1" t="n">
        <f aca="false">J1736+L1736</f>
        <v>17998</v>
      </c>
      <c r="L1736" s="1" t="n">
        <v>40</v>
      </c>
      <c r="M1736" s="1" t="n">
        <f aca="false">(E1736+M1735)-N1736</f>
        <v>39.48</v>
      </c>
      <c r="N1736" s="1" t="n">
        <v>4.8</v>
      </c>
    </row>
    <row r="1737" customFormat="false" ht="15" hidden="false" customHeight="true" outlineLevel="0" collapsed="false">
      <c r="D1737" s="11" t="n">
        <v>45561</v>
      </c>
      <c r="H1737" s="1" t="s">
        <v>34</v>
      </c>
      <c r="I1737" s="1" t="s">
        <v>54</v>
      </c>
      <c r="J1737" s="1" t="n">
        <f aca="false">K1736</f>
        <v>17998</v>
      </c>
      <c r="K1737" s="1" t="n">
        <f aca="false">J1737+L1737</f>
        <v>18025</v>
      </c>
      <c r="L1737" s="1" t="n">
        <v>27</v>
      </c>
      <c r="M1737" s="1" t="n">
        <f aca="false">(E1737+M1736)-N1737</f>
        <v>36.28</v>
      </c>
      <c r="N1737" s="1" t="n">
        <v>3.2</v>
      </c>
    </row>
    <row r="1738" customFormat="false" ht="15" hidden="false" customHeight="true" outlineLevel="0" collapsed="false">
      <c r="D1738" s="11"/>
      <c r="H1738" s="1" t="s">
        <v>54</v>
      </c>
      <c r="I1738" s="1" t="s">
        <v>34</v>
      </c>
      <c r="J1738" s="1" t="n">
        <f aca="false">K1737</f>
        <v>18025</v>
      </c>
      <c r="K1738" s="1" t="n">
        <f aca="false">J1738+L1738</f>
        <v>18052</v>
      </c>
      <c r="L1738" s="1" t="n">
        <v>27</v>
      </c>
      <c r="M1738" s="1" t="n">
        <f aca="false">(E1738+M1737)-N1738</f>
        <v>33.08</v>
      </c>
      <c r="N1738" s="1" t="n">
        <v>3.2</v>
      </c>
    </row>
    <row r="1739" customFormat="false" ht="15" hidden="false" customHeight="true" outlineLevel="0" collapsed="false">
      <c r="D1739" s="11" t="n">
        <v>45562</v>
      </c>
      <c r="H1739" s="1" t="s">
        <v>34</v>
      </c>
      <c r="I1739" s="1" t="s">
        <v>54</v>
      </c>
      <c r="J1739" s="1" t="n">
        <f aca="false">K1738</f>
        <v>18052</v>
      </c>
      <c r="K1739" s="1" t="n">
        <f aca="false">J1739+L1739</f>
        <v>18079</v>
      </c>
      <c r="L1739" s="1" t="n">
        <v>27</v>
      </c>
      <c r="M1739" s="1" t="n">
        <f aca="false">(E1739+M1738)-N1739</f>
        <v>29.88</v>
      </c>
      <c r="N1739" s="1" t="n">
        <v>3.2</v>
      </c>
    </row>
    <row r="1740" customFormat="false" ht="15" hidden="false" customHeight="true" outlineLevel="0" collapsed="false">
      <c r="D1740" s="11"/>
      <c r="H1740" s="1" t="s">
        <v>54</v>
      </c>
      <c r="I1740" s="1" t="s">
        <v>34</v>
      </c>
      <c r="J1740" s="1" t="n">
        <f aca="false">K1739</f>
        <v>18079</v>
      </c>
      <c r="K1740" s="1" t="n">
        <f aca="false">J1740+L1740</f>
        <v>18106</v>
      </c>
      <c r="L1740" s="1" t="n">
        <v>27</v>
      </c>
      <c r="M1740" s="1" t="n">
        <f aca="false">(E1740+M1739)-N1740</f>
        <v>26.68</v>
      </c>
      <c r="N1740" s="1" t="n">
        <v>3.2</v>
      </c>
    </row>
    <row r="1741" customFormat="false" ht="15" hidden="false" customHeight="true" outlineLevel="0" collapsed="false">
      <c r="D1741" s="11" t="n">
        <v>45565</v>
      </c>
      <c r="H1741" s="1" t="s">
        <v>34</v>
      </c>
      <c r="I1741" s="1" t="s">
        <v>35</v>
      </c>
      <c r="J1741" s="1" t="n">
        <f aca="false">K1740</f>
        <v>18106</v>
      </c>
      <c r="K1741" s="1" t="n">
        <f aca="false">J1741+L1741</f>
        <v>18118</v>
      </c>
      <c r="L1741" s="1" t="n">
        <v>12</v>
      </c>
      <c r="M1741" s="1" t="n">
        <f aca="false">(E1741+M1740)-N1741</f>
        <v>25.43</v>
      </c>
      <c r="N1741" s="1" t="n">
        <v>1.25</v>
      </c>
    </row>
    <row r="1742" customFormat="false" ht="15" hidden="false" customHeight="true" outlineLevel="0" collapsed="false">
      <c r="D1742" s="11"/>
      <c r="H1742" s="1" t="s">
        <v>35</v>
      </c>
      <c r="I1742" s="1" t="s">
        <v>34</v>
      </c>
      <c r="J1742" s="1" t="n">
        <f aca="false">K1741</f>
        <v>18118</v>
      </c>
      <c r="K1742" s="1" t="n">
        <f aca="false">J1742+L1742</f>
        <v>18130</v>
      </c>
      <c r="L1742" s="1" t="n">
        <v>12</v>
      </c>
      <c r="M1742" s="1" t="n">
        <f aca="false">(E1742+M1741)-N1742</f>
        <v>24.18</v>
      </c>
      <c r="N1742" s="1" t="n">
        <v>1.25</v>
      </c>
    </row>
    <row r="1743" customFormat="false" ht="15" hidden="false" customHeight="true" outlineLevel="0" collapsed="false">
      <c r="D1743" s="11"/>
      <c r="H1743" s="1" t="s">
        <v>34</v>
      </c>
      <c r="I1743" s="1" t="s">
        <v>65</v>
      </c>
      <c r="J1743" s="1" t="n">
        <f aca="false">K1742</f>
        <v>18130</v>
      </c>
      <c r="K1743" s="1" t="n">
        <f aca="false">J1743+L1743</f>
        <v>18210</v>
      </c>
      <c r="L1743" s="1" t="n">
        <v>80</v>
      </c>
      <c r="M1743" s="1" t="n">
        <f aca="false">(E1743+M1742)-N1743</f>
        <v>15.18</v>
      </c>
      <c r="N1743" s="1" t="n">
        <v>9</v>
      </c>
    </row>
    <row r="1744" customFormat="false" ht="15" hidden="false" customHeight="true" outlineLevel="0" collapsed="false">
      <c r="D1744" s="11"/>
      <c r="H1744" s="1" t="s">
        <v>65</v>
      </c>
      <c r="I1744" s="1" t="s">
        <v>34</v>
      </c>
      <c r="J1744" s="1" t="n">
        <f aca="false">K1743</f>
        <v>18210</v>
      </c>
      <c r="K1744" s="1" t="n">
        <f aca="false">J1744+L1744</f>
        <v>18290</v>
      </c>
      <c r="L1744" s="1" t="n">
        <v>80</v>
      </c>
      <c r="M1744" s="1" t="n">
        <f aca="false">(E1744+M1743)-N1744</f>
        <v>6.17999999999996</v>
      </c>
      <c r="N1744" s="1" t="n">
        <v>9</v>
      </c>
    </row>
    <row r="1747" customFormat="false" ht="15" hidden="false" customHeight="true" outlineLevel="0" collapsed="false">
      <c r="D1747" s="4" t="s">
        <v>84</v>
      </c>
      <c r="E1747" s="4"/>
      <c r="F1747" s="4"/>
      <c r="G1747" s="4"/>
    </row>
    <row r="1749" customFormat="false" ht="15" hidden="false" customHeight="true" outlineLevel="0" collapsed="false">
      <c r="D1749" s="11" t="n">
        <v>45566</v>
      </c>
      <c r="E1749" s="0" t="n">
        <v>38.77</v>
      </c>
      <c r="F1749" s="1" t="n">
        <v>58.83</v>
      </c>
      <c r="G1749" s="6" t="n">
        <f aca="false">E1749*F1749</f>
        <v>2280.8391</v>
      </c>
      <c r="H1749" s="1" t="s">
        <v>34</v>
      </c>
      <c r="I1749" s="1" t="s">
        <v>54</v>
      </c>
      <c r="J1749" s="1" t="n">
        <f aca="false">K1744</f>
        <v>18290</v>
      </c>
      <c r="K1749" s="1" t="n">
        <f aca="false">J1749+L1749</f>
        <v>18317</v>
      </c>
      <c r="L1749" s="1" t="n">
        <v>27</v>
      </c>
      <c r="M1749" s="1" t="n">
        <f aca="false">(E1749+M1744)-N1749</f>
        <v>41.75</v>
      </c>
      <c r="N1749" s="1" t="n">
        <v>3.2</v>
      </c>
    </row>
    <row r="1750" customFormat="false" ht="15" hidden="false" customHeight="true" outlineLevel="0" collapsed="false">
      <c r="D1750" s="11"/>
      <c r="G1750" s="6"/>
      <c r="H1750" s="1" t="s">
        <v>54</v>
      </c>
      <c r="I1750" s="1" t="s">
        <v>34</v>
      </c>
      <c r="J1750" s="1" t="n">
        <f aca="false">K1749</f>
        <v>18317</v>
      </c>
      <c r="K1750" s="1" t="n">
        <f aca="false">J1750+L1750</f>
        <v>18344</v>
      </c>
      <c r="L1750" s="1" t="n">
        <v>27</v>
      </c>
      <c r="M1750" s="1" t="n">
        <f aca="false">(E1750+M1749)-N1750</f>
        <v>38.55</v>
      </c>
      <c r="N1750" s="1" t="n">
        <v>3.2</v>
      </c>
    </row>
    <row r="1751" customFormat="false" ht="15" hidden="false" customHeight="true" outlineLevel="0" collapsed="false">
      <c r="D1751" s="11" t="n">
        <v>45567</v>
      </c>
      <c r="H1751" s="1" t="s">
        <v>34</v>
      </c>
      <c r="I1751" s="1" t="s">
        <v>44</v>
      </c>
      <c r="J1751" s="1" t="n">
        <f aca="false">K1750</f>
        <v>18344</v>
      </c>
      <c r="K1751" s="1" t="n">
        <f aca="false">J1751+L1751</f>
        <v>18384</v>
      </c>
      <c r="L1751" s="1" t="n">
        <v>40</v>
      </c>
      <c r="M1751" s="1" t="n">
        <f aca="false">(E1751+M1750)-N1751</f>
        <v>33.75</v>
      </c>
      <c r="N1751" s="1" t="n">
        <v>4.8</v>
      </c>
    </row>
    <row r="1752" customFormat="false" ht="15" hidden="false" customHeight="true" outlineLevel="0" collapsed="false">
      <c r="D1752" s="11"/>
      <c r="H1752" s="1" t="s">
        <v>44</v>
      </c>
      <c r="I1752" s="1" t="s">
        <v>34</v>
      </c>
      <c r="J1752" s="1" t="n">
        <f aca="false">K1751</f>
        <v>18384</v>
      </c>
      <c r="K1752" s="1" t="n">
        <f aca="false">J1752+L1752</f>
        <v>18424</v>
      </c>
      <c r="L1752" s="1" t="n">
        <v>40</v>
      </c>
      <c r="M1752" s="1" t="n">
        <f aca="false">(E1752+M1751)-N1752</f>
        <v>28.95</v>
      </c>
      <c r="N1752" s="1" t="n">
        <v>4.8</v>
      </c>
    </row>
    <row r="1753" customFormat="false" ht="15" hidden="false" customHeight="true" outlineLevel="0" collapsed="false">
      <c r="D1753" s="11" t="n">
        <v>45568</v>
      </c>
      <c r="H1753" s="1" t="s">
        <v>34</v>
      </c>
      <c r="I1753" s="1" t="s">
        <v>65</v>
      </c>
      <c r="J1753" s="1" t="n">
        <f aca="false">K1752</f>
        <v>18424</v>
      </c>
      <c r="K1753" s="1" t="n">
        <f aca="false">J1753+L1753</f>
        <v>18504</v>
      </c>
      <c r="L1753" s="1" t="n">
        <v>80</v>
      </c>
      <c r="M1753" s="1" t="n">
        <f aca="false">(E1753+M1752)-N1753</f>
        <v>19.95</v>
      </c>
      <c r="N1753" s="1" t="n">
        <v>9</v>
      </c>
    </row>
    <row r="1754" customFormat="false" ht="15" hidden="false" customHeight="true" outlineLevel="0" collapsed="false">
      <c r="D1754" s="11"/>
      <c r="H1754" s="1" t="s">
        <v>65</v>
      </c>
      <c r="I1754" s="1" t="s">
        <v>34</v>
      </c>
      <c r="J1754" s="1" t="n">
        <f aca="false">K1753</f>
        <v>18504</v>
      </c>
      <c r="K1754" s="1" t="n">
        <f aca="false">J1754+L1754</f>
        <v>18584</v>
      </c>
      <c r="L1754" s="1" t="n">
        <v>80</v>
      </c>
      <c r="M1754" s="1" t="n">
        <f aca="false">(E1754+M1753)-N1754</f>
        <v>10.95</v>
      </c>
      <c r="N1754" s="1" t="n">
        <v>9</v>
      </c>
    </row>
    <row r="1755" customFormat="false" ht="15" hidden="false" customHeight="true" outlineLevel="0" collapsed="false">
      <c r="D1755" s="11" t="n">
        <v>45569</v>
      </c>
      <c r="H1755" s="1" t="s">
        <v>34</v>
      </c>
      <c r="I1755" s="1" t="s">
        <v>35</v>
      </c>
      <c r="J1755" s="1" t="n">
        <f aca="false">K1754</f>
        <v>18584</v>
      </c>
      <c r="K1755" s="1" t="n">
        <f aca="false">J1755+L1755</f>
        <v>18596</v>
      </c>
      <c r="L1755" s="1" t="n">
        <v>12</v>
      </c>
      <c r="M1755" s="1" t="n">
        <f aca="false">(E1755+M1754)-N1755</f>
        <v>9.69999999999996</v>
      </c>
      <c r="N1755" s="1" t="n">
        <v>1.25</v>
      </c>
    </row>
    <row r="1756" customFormat="false" ht="15" hidden="false" customHeight="true" outlineLevel="0" collapsed="false">
      <c r="D1756" s="11"/>
      <c r="H1756" s="1" t="s">
        <v>35</v>
      </c>
      <c r="I1756" s="1" t="s">
        <v>34</v>
      </c>
      <c r="J1756" s="1" t="n">
        <f aca="false">K1755</f>
        <v>18596</v>
      </c>
      <c r="K1756" s="1" t="n">
        <f aca="false">J1756+L1756</f>
        <v>18608</v>
      </c>
      <c r="L1756" s="1" t="n">
        <v>12</v>
      </c>
      <c r="M1756" s="1" t="n">
        <f aca="false">(E1756+M1755)-N1756</f>
        <v>8.44999999999996</v>
      </c>
      <c r="N1756" s="1" t="n">
        <v>1.25</v>
      </c>
    </row>
    <row r="1757" customFormat="false" ht="15" hidden="false" customHeight="true" outlineLevel="0" collapsed="false">
      <c r="D1757" s="11" t="n">
        <v>45572</v>
      </c>
      <c r="H1757" s="1" t="s">
        <v>34</v>
      </c>
      <c r="I1757" s="1" t="s">
        <v>54</v>
      </c>
      <c r="J1757" s="1" t="n">
        <f aca="false">K1756</f>
        <v>18608</v>
      </c>
      <c r="K1757" s="1" t="n">
        <f aca="false">J1757+L1757</f>
        <v>18635</v>
      </c>
      <c r="L1757" s="1" t="n">
        <v>27</v>
      </c>
      <c r="M1757" s="1" t="n">
        <f aca="false">(E1757+M1756)-N1757</f>
        <v>5.24999999999996</v>
      </c>
      <c r="N1757" s="1" t="n">
        <v>3.2</v>
      </c>
    </row>
    <row r="1758" customFormat="false" ht="15" hidden="false" customHeight="true" outlineLevel="0" collapsed="false">
      <c r="D1758" s="11"/>
      <c r="H1758" s="1" t="s">
        <v>54</v>
      </c>
      <c r="I1758" s="1" t="s">
        <v>34</v>
      </c>
      <c r="J1758" s="1" t="n">
        <f aca="false">K1757</f>
        <v>18635</v>
      </c>
      <c r="K1758" s="1" t="n">
        <f aca="false">J1758+L1758</f>
        <v>18662</v>
      </c>
      <c r="L1758" s="1" t="n">
        <v>27</v>
      </c>
      <c r="M1758" s="1" t="n">
        <f aca="false">(E1758+M1757)-N1758</f>
        <v>2.04999999999996</v>
      </c>
      <c r="N1758" s="1" t="n">
        <v>3.2</v>
      </c>
    </row>
    <row r="1759" customFormat="false" ht="15" hidden="false" customHeight="true" outlineLevel="0" collapsed="false">
      <c r="D1759" s="11" t="n">
        <v>45573</v>
      </c>
      <c r="E1759" s="0" t="n">
        <v>45.79</v>
      </c>
      <c r="F1759" s="1" t="n">
        <v>58.93</v>
      </c>
      <c r="G1759" s="6" t="n">
        <f aca="false">E1759*F1759</f>
        <v>2698.4047</v>
      </c>
      <c r="H1759" s="1" t="s">
        <v>34</v>
      </c>
      <c r="I1759" s="1" t="s">
        <v>43</v>
      </c>
      <c r="J1759" s="1" t="n">
        <f aca="false">K1758</f>
        <v>18662</v>
      </c>
      <c r="K1759" s="1" t="n">
        <f aca="false">J1759+L1759</f>
        <v>18674</v>
      </c>
      <c r="L1759" s="1" t="n">
        <v>12</v>
      </c>
      <c r="M1759" s="1" t="n">
        <f aca="false">(E1759+M1758)-N1759</f>
        <v>46.59</v>
      </c>
      <c r="N1759" s="1" t="n">
        <v>1.25</v>
      </c>
    </row>
    <row r="1760" customFormat="false" ht="15" hidden="false" customHeight="true" outlineLevel="0" collapsed="false">
      <c r="D1760" s="11"/>
      <c r="G1760" s="6"/>
      <c r="H1760" s="1" t="s">
        <v>43</v>
      </c>
      <c r="I1760" s="1" t="s">
        <v>34</v>
      </c>
      <c r="J1760" s="1" t="n">
        <f aca="false">K1759</f>
        <v>18674</v>
      </c>
      <c r="K1760" s="1" t="n">
        <f aca="false">J1760+L1760</f>
        <v>18686</v>
      </c>
      <c r="L1760" s="1" t="n">
        <v>12</v>
      </c>
      <c r="M1760" s="1" t="n">
        <f aca="false">(E1760+M1759)-N1760</f>
        <v>45.34</v>
      </c>
      <c r="N1760" s="1" t="n">
        <v>1.25</v>
      </c>
    </row>
    <row r="1761" customFormat="false" ht="15" hidden="false" customHeight="true" outlineLevel="0" collapsed="false">
      <c r="D1761" s="11" t="n">
        <v>45574</v>
      </c>
      <c r="H1761" s="1" t="s">
        <v>34</v>
      </c>
      <c r="I1761" s="1" t="s">
        <v>54</v>
      </c>
      <c r="J1761" s="1" t="n">
        <f aca="false">K1760</f>
        <v>18686</v>
      </c>
      <c r="K1761" s="1" t="n">
        <f aca="false">J1761+L1761</f>
        <v>18713</v>
      </c>
      <c r="L1761" s="1" t="n">
        <v>27</v>
      </c>
      <c r="M1761" s="1" t="n">
        <f aca="false">(E1761+M1760)-N1761</f>
        <v>42.14</v>
      </c>
      <c r="N1761" s="1" t="n">
        <v>3.2</v>
      </c>
    </row>
    <row r="1762" customFormat="false" ht="15" hidden="false" customHeight="true" outlineLevel="0" collapsed="false">
      <c r="D1762" s="11"/>
      <c r="H1762" s="1" t="s">
        <v>54</v>
      </c>
      <c r="I1762" s="1" t="s">
        <v>34</v>
      </c>
      <c r="J1762" s="1" t="n">
        <f aca="false">K1761</f>
        <v>18713</v>
      </c>
      <c r="K1762" s="1" t="n">
        <f aca="false">J1762+L1762</f>
        <v>18740</v>
      </c>
      <c r="L1762" s="1" t="n">
        <v>27</v>
      </c>
      <c r="M1762" s="1" t="n">
        <f aca="false">(E1762+M1761)-N1762</f>
        <v>38.94</v>
      </c>
      <c r="N1762" s="1" t="n">
        <v>3.2</v>
      </c>
    </row>
    <row r="1763" customFormat="false" ht="15" hidden="false" customHeight="true" outlineLevel="0" collapsed="false">
      <c r="D1763" s="11" t="n">
        <v>45575</v>
      </c>
      <c r="H1763" s="1" t="s">
        <v>34</v>
      </c>
      <c r="I1763" s="1" t="s">
        <v>54</v>
      </c>
      <c r="J1763" s="1" t="n">
        <f aca="false">K1762</f>
        <v>18740</v>
      </c>
      <c r="K1763" s="1" t="n">
        <f aca="false">J1763+L1763</f>
        <v>18767</v>
      </c>
      <c r="L1763" s="1" t="n">
        <v>27</v>
      </c>
      <c r="M1763" s="1" t="n">
        <f aca="false">(E1763+M1762)-N1763</f>
        <v>35.7399999999999</v>
      </c>
      <c r="N1763" s="1" t="n">
        <v>3.2</v>
      </c>
    </row>
    <row r="1764" customFormat="false" ht="15" hidden="false" customHeight="true" outlineLevel="0" collapsed="false">
      <c r="D1764" s="11"/>
      <c r="H1764" s="1" t="s">
        <v>54</v>
      </c>
      <c r="I1764" s="1" t="s">
        <v>34</v>
      </c>
      <c r="J1764" s="1" t="n">
        <f aca="false">K1763</f>
        <v>18767</v>
      </c>
      <c r="K1764" s="1" t="n">
        <f aca="false">J1764+L1764</f>
        <v>18794</v>
      </c>
      <c r="L1764" s="1" t="n">
        <v>27</v>
      </c>
      <c r="M1764" s="1" t="n">
        <f aca="false">(E1764+M1763)-N1764</f>
        <v>32.5399999999999</v>
      </c>
      <c r="N1764" s="1" t="n">
        <v>3.2</v>
      </c>
    </row>
    <row r="1765" customFormat="false" ht="15" hidden="false" customHeight="true" outlineLevel="0" collapsed="false">
      <c r="D1765" s="11" t="n">
        <v>45576</v>
      </c>
      <c r="H1765" s="1" t="s">
        <v>34</v>
      </c>
      <c r="I1765" s="1" t="s">
        <v>49</v>
      </c>
      <c r="J1765" s="1" t="n">
        <f aca="false">K1764</f>
        <v>18794</v>
      </c>
      <c r="K1765" s="1" t="n">
        <f aca="false">J1765+L1765</f>
        <v>18821</v>
      </c>
      <c r="L1765" s="1" t="n">
        <v>27</v>
      </c>
      <c r="M1765" s="1" t="n">
        <f aca="false">(E1765+M1764)-N1765</f>
        <v>29.3399999999999</v>
      </c>
      <c r="N1765" s="1" t="n">
        <v>3.2</v>
      </c>
    </row>
    <row r="1766" customFormat="false" ht="15" hidden="false" customHeight="true" outlineLevel="0" collapsed="false">
      <c r="H1766" s="1" t="s">
        <v>49</v>
      </c>
      <c r="I1766" s="1" t="s">
        <v>34</v>
      </c>
      <c r="J1766" s="1" t="n">
        <f aca="false">K1765</f>
        <v>18821</v>
      </c>
      <c r="K1766" s="1" t="n">
        <f aca="false">J1766+L1766</f>
        <v>18848</v>
      </c>
      <c r="L1766" s="1" t="n">
        <v>27</v>
      </c>
      <c r="M1766" s="1" t="n">
        <f aca="false">(E1766+M1765)-N1766</f>
        <v>26.1399999999999</v>
      </c>
      <c r="N1766" s="1" t="n">
        <v>3.2</v>
      </c>
    </row>
    <row r="1767" customFormat="false" ht="15" hidden="false" customHeight="true" outlineLevel="0" collapsed="false">
      <c r="D1767" s="11" t="n">
        <v>45579</v>
      </c>
      <c r="H1767" s="1" t="s">
        <v>34</v>
      </c>
      <c r="I1767" s="1" t="s">
        <v>44</v>
      </c>
      <c r="J1767" s="1" t="n">
        <f aca="false">K1766</f>
        <v>18848</v>
      </c>
      <c r="K1767" s="1" t="n">
        <f aca="false">J1767+L1767</f>
        <v>18888</v>
      </c>
      <c r="L1767" s="1" t="n">
        <v>40</v>
      </c>
      <c r="M1767" s="1" t="n">
        <f aca="false">(E1767+M1766)-N1767</f>
        <v>21.3399999999999</v>
      </c>
      <c r="N1767" s="1" t="n">
        <v>4.8</v>
      </c>
    </row>
    <row r="1768" customFormat="false" ht="15" hidden="false" customHeight="true" outlineLevel="0" collapsed="false">
      <c r="D1768" s="11"/>
      <c r="H1768" s="1" t="s">
        <v>44</v>
      </c>
      <c r="I1768" s="1" t="s">
        <v>34</v>
      </c>
      <c r="J1768" s="1" t="n">
        <f aca="false">K1767</f>
        <v>18888</v>
      </c>
      <c r="K1768" s="1" t="n">
        <f aca="false">J1768+L1768</f>
        <v>18928</v>
      </c>
      <c r="L1768" s="1" t="n">
        <v>40</v>
      </c>
      <c r="M1768" s="1" t="n">
        <f aca="false">(E1768+M1767)-N1768</f>
        <v>16.5399999999999</v>
      </c>
      <c r="N1768" s="1" t="n">
        <v>4.8</v>
      </c>
    </row>
    <row r="1769" customFormat="false" ht="15" hidden="false" customHeight="true" outlineLevel="0" collapsed="false">
      <c r="D1769" s="11" t="n">
        <v>45580</v>
      </c>
      <c r="H1769" s="1" t="s">
        <v>34</v>
      </c>
      <c r="I1769" s="1" t="s">
        <v>35</v>
      </c>
      <c r="J1769" s="1" t="n">
        <f aca="false">K1768</f>
        <v>18928</v>
      </c>
      <c r="K1769" s="1" t="n">
        <f aca="false">J1769+L1769</f>
        <v>18940</v>
      </c>
      <c r="L1769" s="1" t="n">
        <v>12</v>
      </c>
      <c r="M1769" s="1" t="n">
        <f aca="false">(E1769+M1768)-N1769</f>
        <v>15.2899999999999</v>
      </c>
      <c r="N1769" s="1" t="n">
        <v>1.25</v>
      </c>
    </row>
    <row r="1770" customFormat="false" ht="15" hidden="false" customHeight="true" outlineLevel="0" collapsed="false">
      <c r="D1770" s="11"/>
      <c r="H1770" s="1" t="s">
        <v>35</v>
      </c>
      <c r="I1770" s="1" t="s">
        <v>34</v>
      </c>
      <c r="J1770" s="1" t="n">
        <f aca="false">K1769</f>
        <v>18940</v>
      </c>
      <c r="K1770" s="1" t="n">
        <f aca="false">J1770+L1770</f>
        <v>18952</v>
      </c>
      <c r="L1770" s="1" t="n">
        <v>12</v>
      </c>
      <c r="M1770" s="1" t="n">
        <f aca="false">(E1770+M1769)-N1770</f>
        <v>14.0399999999999</v>
      </c>
      <c r="N1770" s="1" t="n">
        <v>1.25</v>
      </c>
    </row>
    <row r="1771" customFormat="false" ht="15" hidden="false" customHeight="true" outlineLevel="0" collapsed="false">
      <c r="D1771" s="11" t="n">
        <v>45581</v>
      </c>
      <c r="E1771" s="0" t="n">
        <v>50.19</v>
      </c>
      <c r="F1771" s="1" t="n">
        <v>58.65</v>
      </c>
      <c r="G1771" s="6" t="n">
        <f aca="false">E1771*F1771</f>
        <v>2943.6435</v>
      </c>
      <c r="H1771" s="1" t="s">
        <v>34</v>
      </c>
      <c r="I1771" s="1" t="s">
        <v>85</v>
      </c>
      <c r="J1771" s="1" t="n">
        <f aca="false">K1770</f>
        <v>18952</v>
      </c>
      <c r="K1771" s="1" t="n">
        <f aca="false">J1771+L1771</f>
        <v>18996</v>
      </c>
      <c r="L1771" s="1" t="n">
        <v>44</v>
      </c>
      <c r="M1771" s="1" t="n">
        <f aca="false">(E1771+M1770)-N1771</f>
        <v>59.2299999999999</v>
      </c>
      <c r="N1771" s="1" t="n">
        <v>5</v>
      </c>
    </row>
    <row r="1772" customFormat="false" ht="15" hidden="false" customHeight="true" outlineLevel="0" collapsed="false">
      <c r="D1772" s="11"/>
      <c r="H1772" s="1" t="s">
        <v>85</v>
      </c>
      <c r="I1772" s="1" t="s">
        <v>34</v>
      </c>
      <c r="J1772" s="1" t="n">
        <f aca="false">K1771</f>
        <v>18996</v>
      </c>
      <c r="K1772" s="1" t="n">
        <f aca="false">J1772+L1772</f>
        <v>19040</v>
      </c>
      <c r="L1772" s="1" t="n">
        <v>44</v>
      </c>
      <c r="M1772" s="1" t="n">
        <f aca="false">(E1772+M1771)-N1772</f>
        <v>54.2299999999999</v>
      </c>
      <c r="N1772" s="1" t="n">
        <v>5</v>
      </c>
    </row>
    <row r="1773" customFormat="false" ht="15" hidden="false" customHeight="true" outlineLevel="0" collapsed="false">
      <c r="D1773" s="11" t="n">
        <v>45582</v>
      </c>
      <c r="H1773" s="1" t="s">
        <v>34</v>
      </c>
      <c r="I1773" s="1" t="s">
        <v>54</v>
      </c>
      <c r="J1773" s="1" t="n">
        <f aca="false">K1772</f>
        <v>19040</v>
      </c>
      <c r="K1773" s="1" t="n">
        <f aca="false">J1773+L1773</f>
        <v>19067</v>
      </c>
      <c r="L1773" s="1" t="n">
        <v>27</v>
      </c>
      <c r="M1773" s="1" t="n">
        <f aca="false">(E1773+M1772)-N1773</f>
        <v>51.0299999999999</v>
      </c>
      <c r="N1773" s="1" t="n">
        <v>3.2</v>
      </c>
    </row>
    <row r="1774" customFormat="false" ht="15" hidden="false" customHeight="true" outlineLevel="0" collapsed="false">
      <c r="D1774" s="11"/>
      <c r="H1774" s="1" t="s">
        <v>54</v>
      </c>
      <c r="I1774" s="1" t="s">
        <v>34</v>
      </c>
      <c r="J1774" s="1" t="n">
        <f aca="false">K1773</f>
        <v>19067</v>
      </c>
      <c r="K1774" s="1" t="n">
        <f aca="false">J1774+L1774</f>
        <v>19094</v>
      </c>
      <c r="L1774" s="1" t="n">
        <v>27</v>
      </c>
      <c r="M1774" s="1" t="n">
        <f aca="false">(E1774+M1773)-N1774</f>
        <v>47.8299999999999</v>
      </c>
      <c r="N1774" s="1" t="n">
        <v>3.2</v>
      </c>
    </row>
    <row r="1775" customFormat="false" ht="15" hidden="false" customHeight="true" outlineLevel="0" collapsed="false">
      <c r="D1775" s="11" t="n">
        <v>45583</v>
      </c>
      <c r="H1775" s="1" t="s">
        <v>34</v>
      </c>
      <c r="I1775" s="1" t="s">
        <v>54</v>
      </c>
      <c r="J1775" s="1" t="n">
        <f aca="false">K1774</f>
        <v>19094</v>
      </c>
      <c r="K1775" s="1" t="n">
        <f aca="false">J1775+L1775</f>
        <v>19121</v>
      </c>
      <c r="L1775" s="1" t="n">
        <v>27</v>
      </c>
      <c r="M1775" s="1" t="n">
        <f aca="false">(E1775+M1774)-N1775</f>
        <v>44.6299999999999</v>
      </c>
      <c r="N1775" s="1" t="n">
        <v>3.2</v>
      </c>
    </row>
    <row r="1776" customFormat="false" ht="15" hidden="false" customHeight="true" outlineLevel="0" collapsed="false">
      <c r="H1776" s="1" t="s">
        <v>54</v>
      </c>
      <c r="I1776" s="1" t="s">
        <v>34</v>
      </c>
      <c r="J1776" s="1" t="n">
        <f aca="false">K1775</f>
        <v>19121</v>
      </c>
      <c r="K1776" s="1" t="n">
        <f aca="false">J1776+L1776</f>
        <v>19148</v>
      </c>
      <c r="L1776" s="1" t="n">
        <v>27</v>
      </c>
      <c r="M1776" s="1" t="n">
        <f aca="false">(E1776+M1775)-N1776</f>
        <v>41.4299999999999</v>
      </c>
      <c r="N1776" s="1" t="n">
        <v>3.2</v>
      </c>
    </row>
    <row r="1777" customFormat="false" ht="15" hidden="false" customHeight="true" outlineLevel="0" collapsed="false">
      <c r="D1777" s="11" t="n">
        <v>45586</v>
      </c>
      <c r="H1777" s="1" t="s">
        <v>34</v>
      </c>
      <c r="I1777" s="1" t="s">
        <v>35</v>
      </c>
      <c r="J1777" s="1" t="n">
        <f aca="false">K1776</f>
        <v>19148</v>
      </c>
      <c r="K1777" s="1" t="n">
        <f aca="false">J1777+L1777</f>
        <v>19160</v>
      </c>
      <c r="L1777" s="1" t="n">
        <v>12</v>
      </c>
      <c r="M1777" s="1" t="n">
        <f aca="false">(E1777+M1776)-N1777</f>
        <v>40.1799999999999</v>
      </c>
      <c r="N1777" s="1" t="n">
        <v>1.25</v>
      </c>
    </row>
    <row r="1778" customFormat="false" ht="15" hidden="false" customHeight="true" outlineLevel="0" collapsed="false">
      <c r="D1778" s="11"/>
      <c r="H1778" s="1" t="s">
        <v>35</v>
      </c>
      <c r="I1778" s="1" t="s">
        <v>34</v>
      </c>
      <c r="J1778" s="1" t="n">
        <f aca="false">K1777</f>
        <v>19160</v>
      </c>
      <c r="K1778" s="1" t="n">
        <f aca="false">J1778+L1778</f>
        <v>19172</v>
      </c>
      <c r="L1778" s="1" t="n">
        <v>12</v>
      </c>
      <c r="M1778" s="1" t="n">
        <f aca="false">(E1778+M1777)-N1778</f>
        <v>38.9299999999999</v>
      </c>
      <c r="N1778" s="1" t="n">
        <v>1.25</v>
      </c>
    </row>
    <row r="1779" customFormat="false" ht="15" hidden="false" customHeight="true" outlineLevel="0" collapsed="false">
      <c r="D1779" s="11" t="n">
        <v>45587</v>
      </c>
      <c r="E1779" s="0" t="n">
        <v>44.08</v>
      </c>
      <c r="F1779" s="1" t="n">
        <v>58.81</v>
      </c>
      <c r="G1779" s="6" t="n">
        <f aca="false">E1779*F1779</f>
        <v>2592.3448</v>
      </c>
      <c r="H1779" s="1" t="s">
        <v>34</v>
      </c>
      <c r="I1779" s="1" t="s">
        <v>85</v>
      </c>
      <c r="J1779" s="1" t="n">
        <f aca="false">K1778</f>
        <v>19172</v>
      </c>
      <c r="K1779" s="1" t="n">
        <f aca="false">J1779+L1779</f>
        <v>19216</v>
      </c>
      <c r="L1779" s="1" t="n">
        <v>44</v>
      </c>
      <c r="M1779" s="1" t="n">
        <f aca="false">(E1779+M1778)-N1779</f>
        <v>78.0099999999999</v>
      </c>
      <c r="N1779" s="1" t="n">
        <v>5</v>
      </c>
    </row>
    <row r="1780" customFormat="false" ht="15" hidden="false" customHeight="true" outlineLevel="0" collapsed="false">
      <c r="D1780" s="11"/>
      <c r="H1780" s="1" t="s">
        <v>85</v>
      </c>
      <c r="I1780" s="1" t="s">
        <v>34</v>
      </c>
      <c r="J1780" s="1" t="n">
        <f aca="false">K1779</f>
        <v>19216</v>
      </c>
      <c r="K1780" s="1" t="n">
        <f aca="false">J1780+L1780</f>
        <v>19260</v>
      </c>
      <c r="L1780" s="1" t="n">
        <v>44</v>
      </c>
      <c r="M1780" s="1" t="n">
        <f aca="false">(E1780+M1779)-N1780</f>
        <v>73.0099999999999</v>
      </c>
      <c r="N1780" s="1" t="n">
        <v>5</v>
      </c>
    </row>
    <row r="1781" customFormat="false" ht="15" hidden="false" customHeight="true" outlineLevel="0" collapsed="false">
      <c r="D1781" s="11" t="n">
        <v>45588</v>
      </c>
      <c r="H1781" s="1" t="s">
        <v>34</v>
      </c>
      <c r="I1781" s="1" t="s">
        <v>85</v>
      </c>
      <c r="J1781" s="1" t="n">
        <f aca="false">K1780</f>
        <v>19260</v>
      </c>
      <c r="K1781" s="1" t="n">
        <f aca="false">J1781+L1781</f>
        <v>19304</v>
      </c>
      <c r="L1781" s="1" t="n">
        <v>44</v>
      </c>
      <c r="M1781" s="1" t="n">
        <f aca="false">(E1781+M1780)-N1781</f>
        <v>68.0099999999999</v>
      </c>
      <c r="N1781" s="1" t="n">
        <v>5</v>
      </c>
    </row>
    <row r="1782" customFormat="false" ht="15" hidden="false" customHeight="true" outlineLevel="0" collapsed="false">
      <c r="D1782" s="11"/>
      <c r="H1782" s="1" t="s">
        <v>85</v>
      </c>
      <c r="I1782" s="1" t="s">
        <v>34</v>
      </c>
      <c r="J1782" s="1" t="n">
        <f aca="false">K1781</f>
        <v>19304</v>
      </c>
      <c r="K1782" s="1" t="n">
        <f aca="false">J1782+L1782</f>
        <v>19348</v>
      </c>
      <c r="L1782" s="1" t="n">
        <v>44</v>
      </c>
      <c r="M1782" s="1" t="n">
        <f aca="false">(E1782+M1781)-N1782</f>
        <v>63.0099999999999</v>
      </c>
      <c r="N1782" s="1" t="n">
        <v>5</v>
      </c>
    </row>
    <row r="1783" customFormat="false" ht="15" hidden="false" customHeight="true" outlineLevel="0" collapsed="false">
      <c r="D1783" s="11" t="n">
        <v>45589</v>
      </c>
      <c r="H1783" s="1" t="s">
        <v>34</v>
      </c>
      <c r="I1783" s="1" t="s">
        <v>65</v>
      </c>
      <c r="J1783" s="1" t="n">
        <f aca="false">K1782</f>
        <v>19348</v>
      </c>
      <c r="K1783" s="1" t="n">
        <f aca="false">J1783+L1783</f>
        <v>19428</v>
      </c>
      <c r="L1783" s="1" t="n">
        <v>80</v>
      </c>
      <c r="M1783" s="1" t="n">
        <f aca="false">(E1783+M1782)-N1783</f>
        <v>54.0099999999999</v>
      </c>
      <c r="N1783" s="1" t="n">
        <v>9</v>
      </c>
    </row>
    <row r="1784" customFormat="false" ht="15" hidden="false" customHeight="true" outlineLevel="0" collapsed="false">
      <c r="D1784" s="11"/>
      <c r="H1784" s="1" t="s">
        <v>65</v>
      </c>
      <c r="I1784" s="1" t="s">
        <v>34</v>
      </c>
      <c r="J1784" s="1" t="n">
        <f aca="false">K1783</f>
        <v>19428</v>
      </c>
      <c r="K1784" s="1" t="n">
        <f aca="false">J1784+L1784</f>
        <v>19508</v>
      </c>
      <c r="L1784" s="1" t="n">
        <v>80</v>
      </c>
      <c r="M1784" s="1" t="n">
        <f aca="false">(E1784+M1783)-N1784</f>
        <v>45.0099999999999</v>
      </c>
      <c r="N1784" s="1" t="n">
        <v>9</v>
      </c>
    </row>
    <row r="1785" customFormat="false" ht="15" hidden="false" customHeight="true" outlineLevel="0" collapsed="false">
      <c r="D1785" s="11" t="n">
        <v>45590</v>
      </c>
      <c r="H1785" s="1" t="s">
        <v>34</v>
      </c>
      <c r="I1785" s="1" t="s">
        <v>86</v>
      </c>
      <c r="J1785" s="1" t="n">
        <f aca="false">K1784</f>
        <v>19508</v>
      </c>
      <c r="K1785" s="1" t="n">
        <f aca="false">J1785+L1785</f>
        <v>19520</v>
      </c>
      <c r="L1785" s="1" t="n">
        <v>12</v>
      </c>
      <c r="M1785" s="1" t="n">
        <f aca="false">(E1785+M1784)-N1785</f>
        <v>43.7599999999999</v>
      </c>
      <c r="N1785" s="1" t="n">
        <v>1.25</v>
      </c>
    </row>
    <row r="1786" customFormat="false" ht="15" hidden="false" customHeight="true" outlineLevel="0" collapsed="false">
      <c r="H1786" s="1" t="s">
        <v>86</v>
      </c>
      <c r="I1786" s="1" t="s">
        <v>34</v>
      </c>
      <c r="J1786" s="1" t="n">
        <f aca="false">K1785</f>
        <v>19520</v>
      </c>
      <c r="K1786" s="1" t="n">
        <f aca="false">J1786+L1786</f>
        <v>19532</v>
      </c>
      <c r="L1786" s="1" t="n">
        <v>12</v>
      </c>
      <c r="M1786" s="1" t="n">
        <f aca="false">(E1786+M1785)-N1786</f>
        <v>42.5099999999999</v>
      </c>
      <c r="N1786" s="1" t="n">
        <v>1.25</v>
      </c>
    </row>
    <row r="1787" customFormat="false" ht="15" hidden="false" customHeight="true" outlineLevel="0" collapsed="false">
      <c r="D1787" s="11" t="n">
        <v>45593</v>
      </c>
      <c r="H1787" s="1" t="s">
        <v>34</v>
      </c>
      <c r="I1787" s="1" t="s">
        <v>85</v>
      </c>
      <c r="J1787" s="1" t="n">
        <f aca="false">K1786</f>
        <v>19532</v>
      </c>
      <c r="K1787" s="1" t="n">
        <f aca="false">J1787+L1787</f>
        <v>19576</v>
      </c>
      <c r="L1787" s="1" t="n">
        <v>44</v>
      </c>
      <c r="M1787" s="1" t="n">
        <f aca="false">(E1787+M1786)-N1787</f>
        <v>37.5099999999999</v>
      </c>
      <c r="N1787" s="1" t="n">
        <v>5</v>
      </c>
    </row>
    <row r="1788" customFormat="false" ht="15" hidden="false" customHeight="true" outlineLevel="0" collapsed="false">
      <c r="D1788" s="11"/>
      <c r="H1788" s="1" t="s">
        <v>85</v>
      </c>
      <c r="I1788" s="1" t="s">
        <v>34</v>
      </c>
      <c r="J1788" s="1" t="n">
        <f aca="false">K1787</f>
        <v>19576</v>
      </c>
      <c r="K1788" s="1" t="n">
        <f aca="false">J1788+L1788</f>
        <v>19620</v>
      </c>
      <c r="L1788" s="1" t="n">
        <v>44</v>
      </c>
      <c r="M1788" s="1" t="n">
        <f aca="false">(E1788+M1787)-N1788</f>
        <v>32.5099999999999</v>
      </c>
      <c r="N1788" s="1" t="n">
        <v>5</v>
      </c>
    </row>
    <row r="1789" customFormat="false" ht="15" hidden="false" customHeight="true" outlineLevel="0" collapsed="false">
      <c r="D1789" s="11" t="n">
        <v>45594</v>
      </c>
      <c r="E1789" s="0" t="n">
        <v>38.69</v>
      </c>
      <c r="F1789" s="1" t="n">
        <v>58.92</v>
      </c>
      <c r="G1789" s="6" t="n">
        <f aca="false">E1789*F1789</f>
        <v>2279.6148</v>
      </c>
      <c r="H1789" s="1" t="s">
        <v>34</v>
      </c>
      <c r="I1789" s="1" t="s">
        <v>85</v>
      </c>
      <c r="J1789" s="1" t="n">
        <f aca="false">K1788</f>
        <v>19620</v>
      </c>
      <c r="K1789" s="1" t="n">
        <f aca="false">J1789+L1789</f>
        <v>19664</v>
      </c>
      <c r="L1789" s="1" t="n">
        <v>44</v>
      </c>
      <c r="M1789" s="1" t="n">
        <f aca="false">(E1789+M1788)-N1789</f>
        <v>66.1999999999999</v>
      </c>
      <c r="N1789" s="1" t="n">
        <v>5</v>
      </c>
    </row>
    <row r="1790" customFormat="false" ht="15" hidden="false" customHeight="true" outlineLevel="0" collapsed="false">
      <c r="D1790" s="11"/>
      <c r="H1790" s="1" t="s">
        <v>85</v>
      </c>
      <c r="I1790" s="1" t="s">
        <v>34</v>
      </c>
      <c r="J1790" s="1" t="n">
        <f aca="false">K1789</f>
        <v>19664</v>
      </c>
      <c r="K1790" s="1" t="n">
        <f aca="false">J1790+L1790</f>
        <v>19708</v>
      </c>
      <c r="L1790" s="1" t="n">
        <v>44</v>
      </c>
      <c r="M1790" s="1" t="n">
        <f aca="false">(E1790+M1789)-N1790</f>
        <v>61.1999999999999</v>
      </c>
      <c r="N1790" s="1" t="n">
        <v>5</v>
      </c>
    </row>
    <row r="1791" customFormat="false" ht="15" hidden="false" customHeight="true" outlineLevel="0" collapsed="false">
      <c r="D1791" s="11" t="n">
        <v>45595</v>
      </c>
      <c r="H1791" s="1" t="s">
        <v>34</v>
      </c>
      <c r="I1791" s="1" t="s">
        <v>54</v>
      </c>
      <c r="J1791" s="1" t="n">
        <f aca="false">K1790</f>
        <v>19708</v>
      </c>
      <c r="K1791" s="1" t="n">
        <f aca="false">J1791+L1791</f>
        <v>19735</v>
      </c>
      <c r="L1791" s="1" t="n">
        <v>27</v>
      </c>
      <c r="M1791" s="1" t="n">
        <f aca="false">(E1791+M1790)-N1791</f>
        <v>57.9999999999999</v>
      </c>
      <c r="N1791" s="1" t="n">
        <v>3.2</v>
      </c>
    </row>
    <row r="1792" customFormat="false" ht="15" hidden="false" customHeight="true" outlineLevel="0" collapsed="false">
      <c r="D1792" s="11"/>
      <c r="H1792" s="1" t="s">
        <v>54</v>
      </c>
      <c r="I1792" s="1" t="s">
        <v>34</v>
      </c>
      <c r="J1792" s="1" t="n">
        <f aca="false">K1791</f>
        <v>19735</v>
      </c>
      <c r="K1792" s="1" t="n">
        <f aca="false">J1792+L1792</f>
        <v>19762</v>
      </c>
      <c r="L1792" s="1" t="n">
        <v>27</v>
      </c>
      <c r="M1792" s="1" t="n">
        <f aca="false">(E1792+M1791)-N1792</f>
        <v>54.7999999999999</v>
      </c>
      <c r="N1792" s="1" t="n">
        <v>3.2</v>
      </c>
    </row>
    <row r="1793" customFormat="false" ht="15" hidden="false" customHeight="true" outlineLevel="0" collapsed="false">
      <c r="D1793" s="11"/>
      <c r="H1793" s="1" t="s">
        <v>34</v>
      </c>
      <c r="I1793" s="1" t="s">
        <v>49</v>
      </c>
      <c r="J1793" s="1" t="n">
        <f aca="false">K1792</f>
        <v>19762</v>
      </c>
      <c r="K1793" s="1" t="n">
        <f aca="false">J1793+L1793</f>
        <v>19789</v>
      </c>
      <c r="L1793" s="1" t="n">
        <v>27</v>
      </c>
      <c r="M1793" s="1" t="n">
        <f aca="false">(E1793+M1792)-N1793</f>
        <v>51.5999999999999</v>
      </c>
      <c r="N1793" s="1" t="n">
        <v>3.2</v>
      </c>
    </row>
    <row r="1794" customFormat="false" ht="15" hidden="false" customHeight="true" outlineLevel="0" collapsed="false">
      <c r="D1794" s="11"/>
      <c r="H1794" s="1" t="s">
        <v>49</v>
      </c>
      <c r="I1794" s="1" t="s">
        <v>34</v>
      </c>
      <c r="J1794" s="1" t="n">
        <f aca="false">K1793</f>
        <v>19789</v>
      </c>
      <c r="K1794" s="1" t="n">
        <f aca="false">J1794+L1794</f>
        <v>19816</v>
      </c>
      <c r="L1794" s="1" t="n">
        <v>27</v>
      </c>
      <c r="M1794" s="1" t="n">
        <f aca="false">(E1794+M1793)-N1794</f>
        <v>48.3999999999999</v>
      </c>
      <c r="N1794" s="1" t="n">
        <v>3.2</v>
      </c>
    </row>
    <row r="1795" customFormat="false" ht="15" hidden="false" customHeight="true" outlineLevel="0" collapsed="false">
      <c r="D1795" s="11" t="n">
        <v>45596</v>
      </c>
      <c r="H1795" s="1" t="s">
        <v>34</v>
      </c>
      <c r="I1795" s="1" t="s">
        <v>54</v>
      </c>
      <c r="J1795" s="1" t="n">
        <f aca="false">K1794</f>
        <v>19816</v>
      </c>
      <c r="K1795" s="1" t="n">
        <f aca="false">J1795+L1795</f>
        <v>19843</v>
      </c>
      <c r="L1795" s="1" t="n">
        <v>27</v>
      </c>
      <c r="M1795" s="1" t="n">
        <f aca="false">(E1795+M1794)-N1795</f>
        <v>45.1999999999999</v>
      </c>
      <c r="N1795" s="1" t="n">
        <v>3.2</v>
      </c>
    </row>
    <row r="1796" customFormat="false" ht="15" hidden="false" customHeight="true" outlineLevel="0" collapsed="false">
      <c r="D1796" s="11"/>
      <c r="H1796" s="1" t="s">
        <v>54</v>
      </c>
      <c r="I1796" s="1" t="s">
        <v>34</v>
      </c>
      <c r="J1796" s="1" t="n">
        <f aca="false">K1795</f>
        <v>19843</v>
      </c>
      <c r="K1796" s="1" t="n">
        <f aca="false">J1796+L1796</f>
        <v>19870</v>
      </c>
      <c r="L1796" s="1" t="n">
        <v>27</v>
      </c>
      <c r="M1796" s="1" t="n">
        <f aca="false">(E1796+M1795)-N1796</f>
        <v>41.9999999999999</v>
      </c>
      <c r="N1796" s="1" t="n">
        <v>3.2</v>
      </c>
    </row>
    <row r="1797" customFormat="false" ht="15" hidden="false" customHeight="true" outlineLevel="0" collapsed="false">
      <c r="H1797" s="1" t="s">
        <v>34</v>
      </c>
      <c r="I1797" s="1" t="s">
        <v>85</v>
      </c>
      <c r="J1797" s="1" t="n">
        <f aca="false">K1796</f>
        <v>19870</v>
      </c>
      <c r="K1797" s="1" t="n">
        <f aca="false">J1797+L1797</f>
        <v>19914</v>
      </c>
      <c r="L1797" s="1" t="n">
        <v>44</v>
      </c>
      <c r="M1797" s="1" t="n">
        <f aca="false">(E1797+M1796)-N1797</f>
        <v>36.9999999999999</v>
      </c>
      <c r="N1797" s="1" t="n">
        <v>5</v>
      </c>
    </row>
    <row r="1798" customFormat="false" ht="15" hidden="false" customHeight="true" outlineLevel="0" collapsed="false">
      <c r="H1798" s="1" t="s">
        <v>85</v>
      </c>
      <c r="I1798" s="1" t="s">
        <v>34</v>
      </c>
      <c r="J1798" s="1" t="n">
        <f aca="false">K1797</f>
        <v>19914</v>
      </c>
      <c r="K1798" s="1" t="n">
        <f aca="false">J1798+L1798</f>
        <v>19958</v>
      </c>
      <c r="L1798" s="1" t="n">
        <v>44</v>
      </c>
      <c r="M1798" s="1" t="n">
        <f aca="false">(E1798+M1797)-N1798</f>
        <v>31.9999999999999</v>
      </c>
      <c r="N1798" s="1" t="n">
        <v>5</v>
      </c>
    </row>
    <row r="1800" customFormat="false" ht="15" hidden="false" customHeight="true" outlineLevel="0" collapsed="false">
      <c r="D1800" s="4" t="s">
        <v>87</v>
      </c>
      <c r="E1800" s="4"/>
      <c r="F1800" s="4"/>
      <c r="G1800" s="4"/>
    </row>
    <row r="1801" customFormat="false" ht="15" hidden="false" customHeight="true" outlineLevel="0" collapsed="false">
      <c r="D1801" s="13"/>
      <c r="E1801" s="13"/>
      <c r="F1801" s="13"/>
      <c r="G1801" s="13"/>
    </row>
    <row r="1802" customFormat="false" ht="15" hidden="false" customHeight="true" outlineLevel="0" collapsed="false">
      <c r="D1802" s="11" t="n">
        <v>45598</v>
      </c>
      <c r="H1802" s="1" t="s">
        <v>34</v>
      </c>
      <c r="I1802" s="1" t="s">
        <v>85</v>
      </c>
      <c r="J1802" s="1" t="n">
        <f aca="false">K1798</f>
        <v>19958</v>
      </c>
      <c r="K1802" s="1" t="n">
        <f aca="false">J1802+L1802</f>
        <v>20002</v>
      </c>
      <c r="L1802" s="1" t="n">
        <v>44</v>
      </c>
      <c r="M1802" s="1" t="n">
        <f aca="false">(E1802+M1798)-N1802</f>
        <v>26.9999999999999</v>
      </c>
      <c r="N1802" s="1" t="n">
        <v>5</v>
      </c>
    </row>
    <row r="1803" customFormat="false" ht="15" hidden="false" customHeight="true" outlineLevel="0" collapsed="false">
      <c r="H1803" s="1" t="s">
        <v>85</v>
      </c>
      <c r="I1803" s="1" t="s">
        <v>34</v>
      </c>
      <c r="J1803" s="1" t="n">
        <f aca="false">K1802</f>
        <v>20002</v>
      </c>
      <c r="K1803" s="1" t="n">
        <f aca="false">J1803+L1803</f>
        <v>20046</v>
      </c>
      <c r="L1803" s="1" t="n">
        <v>44</v>
      </c>
      <c r="M1803" s="1" t="n">
        <f aca="false">(E1803+M1802)-N1803</f>
        <v>21.9999999999999</v>
      </c>
      <c r="N1803" s="1" t="n">
        <v>5</v>
      </c>
    </row>
    <row r="1804" customFormat="false" ht="15" hidden="false" customHeight="true" outlineLevel="0" collapsed="false">
      <c r="D1804" s="11" t="n">
        <v>45600</v>
      </c>
      <c r="E1804" s="0" t="n">
        <v>44.51</v>
      </c>
      <c r="F1804" s="1" t="n">
        <v>59.02</v>
      </c>
      <c r="G1804" s="6" t="n">
        <f aca="false">E1804*F1804</f>
        <v>2626.9802</v>
      </c>
      <c r="H1804" s="1" t="s">
        <v>34</v>
      </c>
      <c r="I1804" s="1" t="s">
        <v>54</v>
      </c>
      <c r="J1804" s="1" t="n">
        <f aca="false">K1803</f>
        <v>20046</v>
      </c>
      <c r="K1804" s="1" t="n">
        <f aca="false">J1804+L1804</f>
        <v>20073</v>
      </c>
      <c r="L1804" s="1" t="n">
        <v>27</v>
      </c>
      <c r="M1804" s="1" t="n">
        <f aca="false">(E1804+M1803)-N1804</f>
        <v>63.3099999999999</v>
      </c>
      <c r="N1804" s="1" t="n">
        <v>3.2</v>
      </c>
    </row>
    <row r="1805" customFormat="false" ht="15" hidden="false" customHeight="true" outlineLevel="0" collapsed="false">
      <c r="H1805" s="1" t="s">
        <v>54</v>
      </c>
      <c r="I1805" s="1" t="s">
        <v>34</v>
      </c>
      <c r="J1805" s="1" t="n">
        <f aca="false">K1804</f>
        <v>20073</v>
      </c>
      <c r="K1805" s="1" t="n">
        <f aca="false">J1805+L1805</f>
        <v>20100</v>
      </c>
      <c r="L1805" s="1" t="n">
        <v>27</v>
      </c>
      <c r="M1805" s="1" t="n">
        <f aca="false">(E1805+M1804)-N1805</f>
        <v>60.1099999999999</v>
      </c>
      <c r="N1805" s="1" t="n">
        <v>3.2</v>
      </c>
    </row>
    <row r="1806" customFormat="false" ht="15" hidden="false" customHeight="true" outlineLevel="0" collapsed="false">
      <c r="D1806" s="11" t="n">
        <v>45601</v>
      </c>
      <c r="H1806" s="1" t="s">
        <v>34</v>
      </c>
      <c r="I1806" s="1" t="s">
        <v>35</v>
      </c>
      <c r="J1806" s="1" t="n">
        <f aca="false">K1805</f>
        <v>20100</v>
      </c>
      <c r="K1806" s="1" t="n">
        <f aca="false">J1806+L1806</f>
        <v>20112</v>
      </c>
      <c r="L1806" s="1" t="n">
        <v>12</v>
      </c>
      <c r="M1806" s="1" t="n">
        <f aca="false">(E1806+M1805)-N1806</f>
        <v>58.8599999999999</v>
      </c>
      <c r="N1806" s="1" t="n">
        <v>1.25</v>
      </c>
    </row>
    <row r="1807" customFormat="false" ht="15" hidden="false" customHeight="true" outlineLevel="0" collapsed="false">
      <c r="H1807" s="1" t="s">
        <v>35</v>
      </c>
      <c r="I1807" s="1" t="s">
        <v>34</v>
      </c>
      <c r="J1807" s="1" t="n">
        <f aca="false">K1806</f>
        <v>20112</v>
      </c>
      <c r="K1807" s="1" t="n">
        <f aca="false">J1807+L1807</f>
        <v>20124</v>
      </c>
      <c r="L1807" s="1" t="n">
        <v>12</v>
      </c>
      <c r="M1807" s="1" t="n">
        <f aca="false">(E1807+M1806)-N1807</f>
        <v>57.6099999999999</v>
      </c>
      <c r="N1807" s="1" t="n">
        <v>1.25</v>
      </c>
    </row>
    <row r="1808" customFormat="false" ht="15" hidden="false" customHeight="true" outlineLevel="0" collapsed="false">
      <c r="D1808" s="11" t="n">
        <v>45602</v>
      </c>
      <c r="H1808" s="1" t="s">
        <v>34</v>
      </c>
      <c r="I1808" s="1" t="s">
        <v>85</v>
      </c>
      <c r="J1808" s="1" t="n">
        <f aca="false">K1807</f>
        <v>20124</v>
      </c>
      <c r="K1808" s="1" t="n">
        <f aca="false">J1808+L1808</f>
        <v>20168</v>
      </c>
      <c r="L1808" s="1" t="n">
        <v>44</v>
      </c>
      <c r="M1808" s="1" t="n">
        <f aca="false">(E1808+M1807)-N1808</f>
        <v>52.6099999999999</v>
      </c>
      <c r="N1808" s="1" t="n">
        <v>5</v>
      </c>
    </row>
    <row r="1809" customFormat="false" ht="15" hidden="false" customHeight="true" outlineLevel="0" collapsed="false">
      <c r="H1809" s="1" t="s">
        <v>85</v>
      </c>
      <c r="I1809" s="1" t="s">
        <v>34</v>
      </c>
      <c r="J1809" s="1" t="n">
        <f aca="false">K1808</f>
        <v>20168</v>
      </c>
      <c r="K1809" s="1" t="n">
        <f aca="false">J1809+L1809</f>
        <v>20212</v>
      </c>
      <c r="L1809" s="1" t="n">
        <v>44</v>
      </c>
      <c r="M1809" s="1" t="n">
        <f aca="false">(E1809+M1808)-N1809</f>
        <v>47.6099999999999</v>
      </c>
      <c r="N1809" s="1" t="n">
        <v>5</v>
      </c>
    </row>
    <row r="1810" customFormat="false" ht="15" hidden="false" customHeight="true" outlineLevel="0" collapsed="false">
      <c r="D1810" s="11" t="n">
        <v>45603</v>
      </c>
      <c r="H1810" s="1" t="s">
        <v>34</v>
      </c>
      <c r="I1810" s="1" t="s">
        <v>49</v>
      </c>
      <c r="J1810" s="1" t="n">
        <f aca="false">K1809</f>
        <v>20212</v>
      </c>
      <c r="K1810" s="1" t="n">
        <f aca="false">J1810+L1810</f>
        <v>20239</v>
      </c>
      <c r="L1810" s="1" t="n">
        <v>27</v>
      </c>
      <c r="M1810" s="1" t="n">
        <f aca="false">(E1810+M1809)-N1810</f>
        <v>44.4099999999999</v>
      </c>
      <c r="N1810" s="1" t="n">
        <v>3.2</v>
      </c>
    </row>
    <row r="1811" customFormat="false" ht="15" hidden="false" customHeight="true" outlineLevel="0" collapsed="false">
      <c r="H1811" s="1" t="s">
        <v>49</v>
      </c>
      <c r="I1811" s="1" t="s">
        <v>34</v>
      </c>
      <c r="J1811" s="1" t="n">
        <f aca="false">K1810</f>
        <v>20239</v>
      </c>
      <c r="K1811" s="1" t="n">
        <f aca="false">J1811+L1811</f>
        <v>20266</v>
      </c>
      <c r="L1811" s="1" t="n">
        <v>27</v>
      </c>
      <c r="M1811" s="1" t="n">
        <f aca="false">(E1811+M1810)-N1811</f>
        <v>41.2099999999999</v>
      </c>
      <c r="N1811" s="1" t="n">
        <v>3.2</v>
      </c>
    </row>
    <row r="1812" customFormat="false" ht="15" hidden="false" customHeight="true" outlineLevel="0" collapsed="false">
      <c r="D1812" s="11" t="n">
        <v>45604</v>
      </c>
      <c r="E1812" s="0" t="n">
        <v>42.31</v>
      </c>
      <c r="F1812" s="1" t="n">
        <v>59.4</v>
      </c>
      <c r="G1812" s="6" t="n">
        <f aca="false">E1812*F1812</f>
        <v>2513.214</v>
      </c>
      <c r="H1812" s="1" t="s">
        <v>34</v>
      </c>
      <c r="I1812" s="1" t="s">
        <v>44</v>
      </c>
      <c r="J1812" s="1" t="n">
        <f aca="false">K1811</f>
        <v>20266</v>
      </c>
      <c r="K1812" s="1" t="n">
        <f aca="false">J1812+L1812</f>
        <v>20306</v>
      </c>
      <c r="L1812" s="1" t="n">
        <v>40</v>
      </c>
      <c r="M1812" s="1" t="n">
        <f aca="false">(E1812+M1811)-N1812</f>
        <v>78.7199999999999</v>
      </c>
      <c r="N1812" s="1" t="n">
        <v>4.8</v>
      </c>
    </row>
    <row r="1813" customFormat="false" ht="15" hidden="false" customHeight="true" outlineLevel="0" collapsed="false">
      <c r="H1813" s="1" t="s">
        <v>44</v>
      </c>
      <c r="I1813" s="1" t="s">
        <v>34</v>
      </c>
      <c r="J1813" s="1" t="n">
        <f aca="false">K1812</f>
        <v>20306</v>
      </c>
      <c r="K1813" s="1" t="n">
        <f aca="false">J1813+L1813</f>
        <v>20346</v>
      </c>
      <c r="L1813" s="1" t="n">
        <v>40</v>
      </c>
      <c r="M1813" s="1" t="n">
        <f aca="false">(E1813+M1812)-N1813</f>
        <v>73.9199999999999</v>
      </c>
      <c r="N1813" s="1" t="n">
        <v>4.8</v>
      </c>
    </row>
    <row r="1814" customFormat="false" ht="15" hidden="false" customHeight="true" outlineLevel="0" collapsed="false">
      <c r="D1814" s="11" t="n">
        <v>45607</v>
      </c>
      <c r="H1814" s="1" t="s">
        <v>34</v>
      </c>
      <c r="I1814" s="1" t="s">
        <v>85</v>
      </c>
      <c r="J1814" s="1" t="n">
        <f aca="false">K1813</f>
        <v>20346</v>
      </c>
      <c r="K1814" s="1" t="n">
        <f aca="false">J1814+L1814</f>
        <v>20390</v>
      </c>
      <c r="L1814" s="1" t="n">
        <v>44</v>
      </c>
      <c r="M1814" s="1" t="n">
        <f aca="false">(E1814+M1813)-N1814</f>
        <v>68.9199999999999</v>
      </c>
      <c r="N1814" s="1" t="n">
        <v>5</v>
      </c>
    </row>
    <row r="1815" customFormat="false" ht="15" hidden="false" customHeight="true" outlineLevel="0" collapsed="false">
      <c r="D1815" s="11"/>
      <c r="H1815" s="1" t="s">
        <v>85</v>
      </c>
      <c r="I1815" s="1" t="s">
        <v>34</v>
      </c>
      <c r="J1815" s="1" t="n">
        <f aca="false">K1814</f>
        <v>20390</v>
      </c>
      <c r="K1815" s="1" t="n">
        <f aca="false">J1815+L1815</f>
        <v>20434</v>
      </c>
      <c r="L1815" s="1" t="n">
        <v>44</v>
      </c>
      <c r="M1815" s="1" t="n">
        <f aca="false">(E1815+M1814)-N1815</f>
        <v>63.9199999999999</v>
      </c>
      <c r="N1815" s="1" t="n">
        <v>5</v>
      </c>
    </row>
    <row r="1816" customFormat="false" ht="15" hidden="false" customHeight="true" outlineLevel="0" collapsed="false">
      <c r="D1816" s="11"/>
      <c r="H1816" s="1" t="s">
        <v>34</v>
      </c>
      <c r="I1816" s="1" t="s">
        <v>54</v>
      </c>
      <c r="J1816" s="1" t="n">
        <f aca="false">K1815</f>
        <v>20434</v>
      </c>
      <c r="K1816" s="1" t="n">
        <f aca="false">J1816+L1816</f>
        <v>20461</v>
      </c>
      <c r="L1816" s="1" t="n">
        <v>27</v>
      </c>
      <c r="M1816" s="1" t="n">
        <f aca="false">(E1816+M1815)-N1816</f>
        <v>60.7199999999999</v>
      </c>
      <c r="N1816" s="1" t="n">
        <v>3.2</v>
      </c>
    </row>
    <row r="1817" customFormat="false" ht="15" hidden="false" customHeight="true" outlineLevel="0" collapsed="false">
      <c r="H1817" s="1" t="s">
        <v>54</v>
      </c>
      <c r="I1817" s="1" t="s">
        <v>34</v>
      </c>
      <c r="J1817" s="1" t="n">
        <f aca="false">K1816</f>
        <v>20461</v>
      </c>
      <c r="K1817" s="1" t="n">
        <f aca="false">J1817+L1817</f>
        <v>20488</v>
      </c>
      <c r="L1817" s="1" t="n">
        <v>27</v>
      </c>
      <c r="M1817" s="1" t="n">
        <f aca="false">(E1817+M1816)-N1817</f>
        <v>57.5199999999999</v>
      </c>
      <c r="N1817" s="1" t="n">
        <v>3.2</v>
      </c>
    </row>
    <row r="1818" customFormat="false" ht="15" hidden="false" customHeight="true" outlineLevel="0" collapsed="false">
      <c r="D1818" s="11" t="n">
        <v>45608</v>
      </c>
      <c r="H1818" s="1" t="s">
        <v>34</v>
      </c>
      <c r="I1818" s="1" t="s">
        <v>81</v>
      </c>
      <c r="J1818" s="1" t="n">
        <f aca="false">K1817</f>
        <v>20488</v>
      </c>
      <c r="K1818" s="1" t="n">
        <f aca="false">J1818+L1818</f>
        <v>20512</v>
      </c>
      <c r="L1818" s="1" t="n">
        <v>24</v>
      </c>
      <c r="M1818" s="1" t="n">
        <f aca="false">(E1818+M1817)-N1818</f>
        <v>55.0199999999999</v>
      </c>
      <c r="N1818" s="1" t="n">
        <v>2.5</v>
      </c>
    </row>
    <row r="1819" customFormat="false" ht="15" hidden="false" customHeight="true" outlineLevel="0" collapsed="false">
      <c r="H1819" s="1" t="s">
        <v>81</v>
      </c>
      <c r="I1819" s="1" t="s">
        <v>34</v>
      </c>
      <c r="J1819" s="1" t="n">
        <f aca="false">K1818</f>
        <v>20512</v>
      </c>
      <c r="K1819" s="1" t="n">
        <f aca="false">J1819+L1819</f>
        <v>20536</v>
      </c>
      <c r="L1819" s="1" t="n">
        <v>24</v>
      </c>
      <c r="M1819" s="1" t="n">
        <f aca="false">(E1819+M1818)-N1819</f>
        <v>52.5199999999999</v>
      </c>
      <c r="N1819" s="1" t="n">
        <v>2.5</v>
      </c>
    </row>
    <row r="1820" customFormat="false" ht="15" hidden="false" customHeight="true" outlineLevel="0" collapsed="false">
      <c r="D1820" s="11" t="n">
        <v>45609</v>
      </c>
      <c r="H1820" s="1" t="s">
        <v>34</v>
      </c>
      <c r="I1820" s="1" t="s">
        <v>85</v>
      </c>
      <c r="J1820" s="1" t="n">
        <f aca="false">K1819</f>
        <v>20536</v>
      </c>
      <c r="K1820" s="1" t="n">
        <f aca="false">J1820+L1820</f>
        <v>20580</v>
      </c>
      <c r="L1820" s="1" t="n">
        <v>44</v>
      </c>
      <c r="M1820" s="1" t="n">
        <f aca="false">(E1820+M1819)-N1820</f>
        <v>47.5199999999999</v>
      </c>
      <c r="N1820" s="1" t="n">
        <v>5</v>
      </c>
    </row>
    <row r="1821" customFormat="false" ht="15" hidden="false" customHeight="true" outlineLevel="0" collapsed="false">
      <c r="H1821" s="1" t="s">
        <v>85</v>
      </c>
      <c r="I1821" s="1" t="s">
        <v>34</v>
      </c>
      <c r="J1821" s="1" t="n">
        <f aca="false">K1820</f>
        <v>20580</v>
      </c>
      <c r="K1821" s="1" t="n">
        <f aca="false">J1821+L1821</f>
        <v>20624</v>
      </c>
      <c r="L1821" s="1" t="n">
        <v>44</v>
      </c>
      <c r="M1821" s="1" t="n">
        <f aca="false">(E1821+M1820)-N1821</f>
        <v>42.5199999999999</v>
      </c>
      <c r="N1821" s="1" t="n">
        <v>5</v>
      </c>
    </row>
    <row r="1822" customFormat="false" ht="15" hidden="false" customHeight="true" outlineLevel="0" collapsed="false">
      <c r="H1822" s="1" t="s">
        <v>34</v>
      </c>
      <c r="I1822" s="1" t="s">
        <v>54</v>
      </c>
      <c r="J1822" s="1" t="n">
        <f aca="false">K1821</f>
        <v>20624</v>
      </c>
      <c r="K1822" s="1" t="n">
        <f aca="false">J1822+L1822</f>
        <v>20651</v>
      </c>
      <c r="L1822" s="1" t="n">
        <v>27</v>
      </c>
      <c r="M1822" s="1" t="n">
        <f aca="false">(E1822+M1821)-N1822</f>
        <v>39.3199999999999</v>
      </c>
      <c r="N1822" s="1" t="n">
        <v>3.2</v>
      </c>
    </row>
    <row r="1823" customFormat="false" ht="15" hidden="false" customHeight="true" outlineLevel="0" collapsed="false">
      <c r="H1823" s="1" t="s">
        <v>54</v>
      </c>
      <c r="I1823" s="1" t="s">
        <v>34</v>
      </c>
      <c r="J1823" s="1" t="n">
        <f aca="false">K1822</f>
        <v>20651</v>
      </c>
      <c r="K1823" s="1" t="n">
        <f aca="false">J1823+L1823</f>
        <v>20678</v>
      </c>
      <c r="L1823" s="1" t="n">
        <v>27</v>
      </c>
      <c r="M1823" s="1" t="n">
        <f aca="false">(E1823+M1822)-N1823</f>
        <v>36.1199999999999</v>
      </c>
      <c r="N1823" s="1" t="n">
        <v>3.2</v>
      </c>
    </row>
    <row r="1824" customFormat="false" ht="15" hidden="false" customHeight="true" outlineLevel="0" collapsed="false">
      <c r="D1824" s="11" t="n">
        <v>45610</v>
      </c>
      <c r="E1824" s="0" t="n">
        <v>41.31</v>
      </c>
      <c r="F1824" s="1" t="n">
        <v>59.69</v>
      </c>
      <c r="G1824" s="6" t="n">
        <f aca="false">E1824*F1824</f>
        <v>2465.7939</v>
      </c>
      <c r="H1824" s="1" t="s">
        <v>34</v>
      </c>
      <c r="I1824" s="1" t="s">
        <v>85</v>
      </c>
      <c r="J1824" s="1" t="n">
        <f aca="false">K1823</f>
        <v>20678</v>
      </c>
      <c r="K1824" s="1" t="n">
        <f aca="false">J1824+L1824</f>
        <v>20722</v>
      </c>
      <c r="L1824" s="1" t="n">
        <v>44</v>
      </c>
      <c r="M1824" s="1" t="n">
        <f aca="false">(E1824+M1823)-N1824</f>
        <v>72.4299999999999</v>
      </c>
      <c r="N1824" s="1" t="n">
        <v>5</v>
      </c>
    </row>
    <row r="1825" customFormat="false" ht="15" hidden="false" customHeight="true" outlineLevel="0" collapsed="false">
      <c r="H1825" s="1" t="s">
        <v>85</v>
      </c>
      <c r="I1825" s="1" t="s">
        <v>34</v>
      </c>
      <c r="J1825" s="1" t="n">
        <f aca="false">K1824</f>
        <v>20722</v>
      </c>
      <c r="K1825" s="1" t="n">
        <f aca="false">J1825+L1825</f>
        <v>20766</v>
      </c>
      <c r="L1825" s="1" t="n">
        <v>44</v>
      </c>
      <c r="M1825" s="1" t="n">
        <f aca="false">(E1825+M1824)-N1825</f>
        <v>67.4299999999999</v>
      </c>
      <c r="N1825" s="1" t="n">
        <v>5</v>
      </c>
    </row>
    <row r="1826" customFormat="false" ht="15" hidden="false" customHeight="true" outlineLevel="0" collapsed="false">
      <c r="H1826" s="1" t="s">
        <v>34</v>
      </c>
      <c r="I1826" s="1" t="s">
        <v>49</v>
      </c>
      <c r="J1826" s="1" t="n">
        <f aca="false">K1825</f>
        <v>20766</v>
      </c>
      <c r="K1826" s="1" t="n">
        <f aca="false">J1826+L1826</f>
        <v>20793</v>
      </c>
      <c r="L1826" s="1" t="n">
        <v>27</v>
      </c>
      <c r="M1826" s="1" t="n">
        <f aca="false">(E1826+M1825)-N1826</f>
        <v>64.2299999999999</v>
      </c>
      <c r="N1826" s="1" t="n">
        <v>3.2</v>
      </c>
    </row>
    <row r="1827" customFormat="false" ht="15" hidden="false" customHeight="true" outlineLevel="0" collapsed="false">
      <c r="H1827" s="1" t="s">
        <v>49</v>
      </c>
      <c r="I1827" s="1" t="s">
        <v>34</v>
      </c>
      <c r="J1827" s="1" t="n">
        <f aca="false">K1826</f>
        <v>20793</v>
      </c>
      <c r="K1827" s="1" t="n">
        <f aca="false">J1827+L1827</f>
        <v>20820</v>
      </c>
      <c r="L1827" s="1" t="n">
        <v>27</v>
      </c>
      <c r="M1827" s="1" t="n">
        <f aca="false">(E1827+M1826)-N1827</f>
        <v>61.0299999999999</v>
      </c>
      <c r="N1827" s="1" t="n">
        <v>3.2</v>
      </c>
    </row>
    <row r="1828" customFormat="false" ht="15" hidden="false" customHeight="true" outlineLevel="0" collapsed="false">
      <c r="D1828" s="11" t="n">
        <v>45611</v>
      </c>
      <c r="H1828" s="1" t="s">
        <v>34</v>
      </c>
      <c r="I1828" s="1" t="s">
        <v>85</v>
      </c>
      <c r="J1828" s="1" t="n">
        <f aca="false">K1827</f>
        <v>20820</v>
      </c>
      <c r="K1828" s="1" t="n">
        <f aca="false">J1828+L1828</f>
        <v>20864</v>
      </c>
      <c r="L1828" s="1" t="n">
        <v>44</v>
      </c>
      <c r="M1828" s="1" t="n">
        <f aca="false">(E1828+M1827)-N1828</f>
        <v>56.0299999999999</v>
      </c>
      <c r="N1828" s="1" t="n">
        <v>5</v>
      </c>
    </row>
    <row r="1829" customFormat="false" ht="15" hidden="false" customHeight="true" outlineLevel="0" collapsed="false">
      <c r="H1829" s="1" t="s">
        <v>85</v>
      </c>
      <c r="I1829" s="1" t="s">
        <v>34</v>
      </c>
      <c r="J1829" s="1" t="n">
        <f aca="false">K1828</f>
        <v>20864</v>
      </c>
      <c r="K1829" s="1" t="n">
        <f aca="false">J1829+L1829</f>
        <v>20908</v>
      </c>
      <c r="L1829" s="1" t="n">
        <v>44</v>
      </c>
      <c r="M1829" s="1" t="n">
        <f aca="false">(E1829+M1828)-N1829</f>
        <v>51.0299999999999</v>
      </c>
      <c r="N1829" s="1" t="n">
        <v>5</v>
      </c>
    </row>
    <row r="1830" customFormat="false" ht="15" hidden="false" customHeight="true" outlineLevel="0" collapsed="false">
      <c r="D1830" s="11" t="n">
        <v>45614</v>
      </c>
      <c r="H1830" s="1" t="s">
        <v>34</v>
      </c>
      <c r="I1830" s="1" t="s">
        <v>85</v>
      </c>
      <c r="J1830" s="1" t="n">
        <f aca="false">K1829</f>
        <v>20908</v>
      </c>
      <c r="K1830" s="1" t="n">
        <f aca="false">J1830+L1830</f>
        <v>20952</v>
      </c>
      <c r="L1830" s="1" t="n">
        <v>44</v>
      </c>
      <c r="M1830" s="1" t="n">
        <f aca="false">(E1830+M1829)-N1830</f>
        <v>46.0299999999999</v>
      </c>
      <c r="N1830" s="1" t="n">
        <v>5</v>
      </c>
    </row>
    <row r="1831" customFormat="false" ht="15" hidden="false" customHeight="true" outlineLevel="0" collapsed="false">
      <c r="H1831" s="1" t="s">
        <v>85</v>
      </c>
      <c r="I1831" s="1" t="s">
        <v>34</v>
      </c>
      <c r="J1831" s="1" t="n">
        <f aca="false">K1830</f>
        <v>20952</v>
      </c>
      <c r="K1831" s="1" t="n">
        <f aca="false">J1831+L1831</f>
        <v>20996</v>
      </c>
      <c r="L1831" s="1" t="n">
        <v>44</v>
      </c>
      <c r="M1831" s="1" t="n">
        <f aca="false">(E1831+M1830)-N1831</f>
        <v>41.0299999999999</v>
      </c>
      <c r="N1831" s="1" t="n">
        <v>5</v>
      </c>
    </row>
    <row r="1832" customFormat="false" ht="15" hidden="false" customHeight="true" outlineLevel="0" collapsed="false">
      <c r="D1832" s="11" t="n">
        <v>45615</v>
      </c>
      <c r="H1832" s="1" t="s">
        <v>34</v>
      </c>
      <c r="I1832" s="1" t="s">
        <v>85</v>
      </c>
      <c r="J1832" s="1" t="n">
        <f aca="false">K1831</f>
        <v>20996</v>
      </c>
      <c r="K1832" s="1" t="n">
        <f aca="false">J1832+L1832</f>
        <v>21040</v>
      </c>
      <c r="L1832" s="1" t="n">
        <v>44</v>
      </c>
      <c r="M1832" s="1" t="n">
        <f aca="false">(E1832+M1831)-N1832</f>
        <v>36.0299999999999</v>
      </c>
      <c r="N1832" s="1" t="n">
        <v>5</v>
      </c>
    </row>
    <row r="1833" customFormat="false" ht="15" hidden="false" customHeight="true" outlineLevel="0" collapsed="false">
      <c r="H1833" s="1" t="s">
        <v>85</v>
      </c>
      <c r="I1833" s="1" t="s">
        <v>34</v>
      </c>
      <c r="J1833" s="1" t="n">
        <f aca="false">K1832</f>
        <v>21040</v>
      </c>
      <c r="K1833" s="1" t="n">
        <f aca="false">J1833+L1833</f>
        <v>21084</v>
      </c>
      <c r="L1833" s="1" t="n">
        <v>44</v>
      </c>
      <c r="M1833" s="1" t="n">
        <f aca="false">(E1833+M1832)-N1833</f>
        <v>31.0299999999999</v>
      </c>
      <c r="N1833" s="1" t="n">
        <v>5</v>
      </c>
    </row>
    <row r="1834" customFormat="false" ht="15" hidden="false" customHeight="true" outlineLevel="0" collapsed="false">
      <c r="D1834" s="11" t="n">
        <v>45616</v>
      </c>
      <c r="E1834" s="0" t="n">
        <v>45.73</v>
      </c>
      <c r="F1834" s="1" t="n">
        <v>59.28</v>
      </c>
      <c r="G1834" s="6" t="n">
        <f aca="false">E1834*F1834</f>
        <v>2710.8744</v>
      </c>
      <c r="H1834" s="1" t="s">
        <v>34</v>
      </c>
      <c r="I1834" s="1" t="s">
        <v>54</v>
      </c>
      <c r="J1834" s="1" t="n">
        <f aca="false">K1833</f>
        <v>21084</v>
      </c>
      <c r="K1834" s="1" t="n">
        <f aca="false">J1834+L1834</f>
        <v>21111</v>
      </c>
      <c r="L1834" s="1" t="n">
        <v>27</v>
      </c>
      <c r="M1834" s="1" t="n">
        <f aca="false">(E1834+M1833)-N1834</f>
        <v>73.5599999999999</v>
      </c>
      <c r="N1834" s="1" t="n">
        <v>3.2</v>
      </c>
    </row>
    <row r="1835" customFormat="false" ht="15" hidden="false" customHeight="true" outlineLevel="0" collapsed="false">
      <c r="H1835" s="1" t="s">
        <v>54</v>
      </c>
      <c r="I1835" s="1" t="s">
        <v>34</v>
      </c>
      <c r="J1835" s="1" t="n">
        <f aca="false">K1834</f>
        <v>21111</v>
      </c>
      <c r="K1835" s="1" t="n">
        <f aca="false">J1835+L1835</f>
        <v>21138</v>
      </c>
      <c r="L1835" s="1" t="n">
        <v>27</v>
      </c>
      <c r="M1835" s="1" t="n">
        <f aca="false">(E1835+M1834)-N1835</f>
        <v>70.3599999999999</v>
      </c>
      <c r="N1835" s="1" t="n">
        <v>3.2</v>
      </c>
    </row>
    <row r="1836" customFormat="false" ht="15" hidden="false" customHeight="true" outlineLevel="0" collapsed="false">
      <c r="D1836" s="11" t="n">
        <v>45617</v>
      </c>
      <c r="H1836" s="1" t="s">
        <v>34</v>
      </c>
      <c r="I1836" s="1" t="s">
        <v>85</v>
      </c>
      <c r="J1836" s="1" t="n">
        <f aca="false">K1835</f>
        <v>21138</v>
      </c>
      <c r="K1836" s="1" t="n">
        <f aca="false">J1836+L1836</f>
        <v>21182</v>
      </c>
      <c r="L1836" s="1" t="n">
        <v>44</v>
      </c>
      <c r="M1836" s="1" t="n">
        <f aca="false">(E1836+M1835)-N1836</f>
        <v>65.3599999999999</v>
      </c>
      <c r="N1836" s="1" t="n">
        <v>5</v>
      </c>
    </row>
    <row r="1837" customFormat="false" ht="15" hidden="false" customHeight="true" outlineLevel="0" collapsed="false">
      <c r="H1837" s="1" t="s">
        <v>85</v>
      </c>
      <c r="I1837" s="1" t="s">
        <v>34</v>
      </c>
      <c r="J1837" s="1" t="n">
        <f aca="false">K1836</f>
        <v>21182</v>
      </c>
      <c r="K1837" s="1" t="n">
        <f aca="false">J1837+L1837</f>
        <v>21226</v>
      </c>
      <c r="L1837" s="1" t="n">
        <v>44</v>
      </c>
      <c r="M1837" s="1" t="n">
        <f aca="false">(E1837+M1836)-N1837</f>
        <v>60.3599999999999</v>
      </c>
      <c r="N1837" s="1" t="n">
        <v>5</v>
      </c>
    </row>
    <row r="1838" customFormat="false" ht="15" hidden="false" customHeight="true" outlineLevel="0" collapsed="false">
      <c r="H1838" s="1" t="s">
        <v>34</v>
      </c>
      <c r="I1838" s="1" t="s">
        <v>54</v>
      </c>
      <c r="J1838" s="1" t="n">
        <f aca="false">K1837</f>
        <v>21226</v>
      </c>
      <c r="K1838" s="1" t="n">
        <f aca="false">J1838+L1838</f>
        <v>21253</v>
      </c>
      <c r="L1838" s="1" t="n">
        <v>27</v>
      </c>
      <c r="M1838" s="1" t="n">
        <f aca="false">(E1838+M1837)-N1838</f>
        <v>57.1599999999999</v>
      </c>
      <c r="N1838" s="1" t="n">
        <v>3.2</v>
      </c>
    </row>
    <row r="1839" customFormat="false" ht="15" hidden="false" customHeight="true" outlineLevel="0" collapsed="false">
      <c r="H1839" s="1" t="s">
        <v>54</v>
      </c>
      <c r="I1839" s="1" t="s">
        <v>34</v>
      </c>
      <c r="J1839" s="1" t="n">
        <f aca="false">K1838</f>
        <v>21253</v>
      </c>
      <c r="K1839" s="1" t="n">
        <f aca="false">J1839+L1839</f>
        <v>21280</v>
      </c>
      <c r="L1839" s="1" t="n">
        <v>27</v>
      </c>
      <c r="M1839" s="1" t="n">
        <f aca="false">(E1839+M1838)-N1839</f>
        <v>53.9599999999999</v>
      </c>
      <c r="N1839" s="1" t="n">
        <v>3.2</v>
      </c>
    </row>
    <row r="1840" customFormat="false" ht="15" hidden="false" customHeight="true" outlineLevel="0" collapsed="false">
      <c r="D1840" s="11" t="n">
        <v>45618</v>
      </c>
      <c r="H1840" s="1" t="s">
        <v>34</v>
      </c>
      <c r="I1840" s="1" t="s">
        <v>85</v>
      </c>
      <c r="J1840" s="1" t="n">
        <f aca="false">K1839</f>
        <v>21280</v>
      </c>
      <c r="K1840" s="1" t="n">
        <f aca="false">J1840+L1840</f>
        <v>21324</v>
      </c>
      <c r="L1840" s="1" t="n">
        <v>44</v>
      </c>
      <c r="M1840" s="1" t="n">
        <f aca="false">(E1840+M1839)-N1840</f>
        <v>48.9599999999999</v>
      </c>
      <c r="N1840" s="1" t="n">
        <v>5</v>
      </c>
    </row>
    <row r="1841" customFormat="false" ht="15" hidden="false" customHeight="true" outlineLevel="0" collapsed="false">
      <c r="H1841" s="1" t="s">
        <v>85</v>
      </c>
      <c r="I1841" s="1" t="s">
        <v>34</v>
      </c>
      <c r="J1841" s="1" t="n">
        <f aca="false">K1840</f>
        <v>21324</v>
      </c>
      <c r="K1841" s="1" t="n">
        <f aca="false">J1841+L1841</f>
        <v>21368</v>
      </c>
      <c r="L1841" s="1" t="n">
        <v>44</v>
      </c>
      <c r="M1841" s="1" t="n">
        <f aca="false">(E1841+M1840)-N1841</f>
        <v>43.9599999999999</v>
      </c>
      <c r="N1841" s="1" t="n">
        <v>5</v>
      </c>
    </row>
    <row r="1842" customFormat="false" ht="15" hidden="false" customHeight="true" outlineLevel="0" collapsed="false">
      <c r="D1842" s="11" t="n">
        <v>45621</v>
      </c>
      <c r="E1842" s="0" t="n">
        <v>48.31</v>
      </c>
      <c r="F1842" s="1" t="n">
        <v>59.86</v>
      </c>
      <c r="G1842" s="6" t="n">
        <f aca="false">E1842*F1842</f>
        <v>2891.8366</v>
      </c>
      <c r="H1842" s="1" t="s">
        <v>34</v>
      </c>
      <c r="I1842" s="1" t="s">
        <v>44</v>
      </c>
      <c r="J1842" s="1" t="n">
        <f aca="false">K1841</f>
        <v>21368</v>
      </c>
      <c r="K1842" s="1" t="n">
        <f aca="false">J1842+L1842</f>
        <v>21408</v>
      </c>
      <c r="L1842" s="1" t="n">
        <v>40</v>
      </c>
      <c r="M1842" s="1" t="n">
        <f aca="false">(E1842+M1841)-N1842</f>
        <v>87.4699999999999</v>
      </c>
      <c r="N1842" s="1" t="n">
        <v>4.8</v>
      </c>
    </row>
    <row r="1843" customFormat="false" ht="15" hidden="false" customHeight="true" outlineLevel="0" collapsed="false">
      <c r="H1843" s="1" t="s">
        <v>44</v>
      </c>
      <c r="I1843" s="1" t="s">
        <v>34</v>
      </c>
      <c r="J1843" s="1" t="n">
        <f aca="false">K1842</f>
        <v>21408</v>
      </c>
      <c r="K1843" s="1" t="n">
        <f aca="false">J1843+L1843</f>
        <v>21448</v>
      </c>
      <c r="L1843" s="1" t="n">
        <v>40</v>
      </c>
      <c r="M1843" s="1" t="n">
        <f aca="false">(E1843+M1842)-N1843</f>
        <v>82.6699999999999</v>
      </c>
      <c r="N1843" s="1" t="n">
        <v>4.8</v>
      </c>
    </row>
    <row r="1844" customFormat="false" ht="15" hidden="false" customHeight="true" outlineLevel="0" collapsed="false">
      <c r="H1844" s="1" t="s">
        <v>34</v>
      </c>
      <c r="I1844" s="1" t="s">
        <v>85</v>
      </c>
      <c r="J1844" s="1" t="n">
        <f aca="false">K1843</f>
        <v>21448</v>
      </c>
      <c r="K1844" s="1" t="n">
        <f aca="false">J1844+L1844</f>
        <v>21492</v>
      </c>
      <c r="L1844" s="1" t="n">
        <v>44</v>
      </c>
      <c r="M1844" s="1" t="n">
        <f aca="false">(E1844+M1843)-N1844</f>
        <v>77.6699999999999</v>
      </c>
      <c r="N1844" s="1" t="n">
        <v>5</v>
      </c>
    </row>
    <row r="1845" customFormat="false" ht="15" hidden="false" customHeight="true" outlineLevel="0" collapsed="false">
      <c r="H1845" s="1" t="s">
        <v>85</v>
      </c>
      <c r="I1845" s="1" t="s">
        <v>34</v>
      </c>
      <c r="J1845" s="1" t="n">
        <f aca="false">K1844</f>
        <v>21492</v>
      </c>
      <c r="K1845" s="1" t="n">
        <f aca="false">J1845+L1845</f>
        <v>21536</v>
      </c>
      <c r="L1845" s="1" t="n">
        <v>44</v>
      </c>
      <c r="M1845" s="1" t="n">
        <f aca="false">(E1845+M1844)-N1845</f>
        <v>72.6699999999999</v>
      </c>
      <c r="N1845" s="1" t="n">
        <v>5</v>
      </c>
    </row>
    <row r="1846" customFormat="false" ht="15" hidden="false" customHeight="true" outlineLevel="0" collapsed="false">
      <c r="D1846" s="11" t="n">
        <v>45622</v>
      </c>
      <c r="H1846" s="1" t="s">
        <v>34</v>
      </c>
      <c r="I1846" s="1" t="s">
        <v>54</v>
      </c>
      <c r="J1846" s="1" t="n">
        <f aca="false">K1845</f>
        <v>21536</v>
      </c>
      <c r="K1846" s="1" t="n">
        <f aca="false">J1846+L1846</f>
        <v>21563</v>
      </c>
      <c r="L1846" s="1" t="n">
        <v>27</v>
      </c>
      <c r="M1846" s="1" t="n">
        <f aca="false">(E1846+M1845)-N1846</f>
        <v>69.4699999999999</v>
      </c>
      <c r="N1846" s="1" t="n">
        <v>3.2</v>
      </c>
    </row>
    <row r="1847" customFormat="false" ht="15" hidden="false" customHeight="true" outlineLevel="0" collapsed="false">
      <c r="H1847" s="1" t="s">
        <v>54</v>
      </c>
      <c r="I1847" s="1" t="s">
        <v>34</v>
      </c>
      <c r="J1847" s="1" t="n">
        <f aca="false">K1846</f>
        <v>21563</v>
      </c>
      <c r="K1847" s="1" t="n">
        <f aca="false">J1847+L1847</f>
        <v>21590</v>
      </c>
      <c r="L1847" s="1" t="n">
        <v>27</v>
      </c>
      <c r="M1847" s="1" t="n">
        <f aca="false">(E1847+M1846)-N1847</f>
        <v>66.2699999999999</v>
      </c>
      <c r="N1847" s="1" t="n">
        <v>3.2</v>
      </c>
    </row>
    <row r="1848" customFormat="false" ht="15" hidden="false" customHeight="true" outlineLevel="0" collapsed="false">
      <c r="H1848" s="1" t="s">
        <v>34</v>
      </c>
      <c r="I1848" s="1" t="s">
        <v>81</v>
      </c>
      <c r="J1848" s="1" t="n">
        <f aca="false">K1847</f>
        <v>21590</v>
      </c>
      <c r="K1848" s="1" t="n">
        <f aca="false">J1848+L1848</f>
        <v>21614</v>
      </c>
      <c r="L1848" s="1" t="n">
        <v>24</v>
      </c>
      <c r="M1848" s="1" t="n">
        <f aca="false">(E1848+M1847)-N1848</f>
        <v>63.7699999999999</v>
      </c>
      <c r="N1848" s="1" t="n">
        <v>2.5</v>
      </c>
    </row>
    <row r="1849" customFormat="false" ht="15" hidden="false" customHeight="true" outlineLevel="0" collapsed="false">
      <c r="H1849" s="1" t="s">
        <v>81</v>
      </c>
      <c r="I1849" s="1" t="s">
        <v>34</v>
      </c>
      <c r="J1849" s="1" t="n">
        <f aca="false">K1848</f>
        <v>21614</v>
      </c>
      <c r="K1849" s="1" t="n">
        <f aca="false">J1849+L1849</f>
        <v>21638</v>
      </c>
      <c r="L1849" s="1" t="n">
        <v>24</v>
      </c>
      <c r="M1849" s="1" t="n">
        <f aca="false">(E1849+M1848)-N1849</f>
        <v>61.2699999999999</v>
      </c>
      <c r="N1849" s="1" t="n">
        <v>2.5</v>
      </c>
    </row>
    <row r="1850" customFormat="false" ht="15" hidden="false" customHeight="true" outlineLevel="0" collapsed="false">
      <c r="D1850" s="11" t="n">
        <v>45623</v>
      </c>
      <c r="H1850" s="1" t="s">
        <v>34</v>
      </c>
      <c r="I1850" s="1" t="s">
        <v>85</v>
      </c>
      <c r="J1850" s="1" t="n">
        <f aca="false">K1849</f>
        <v>21638</v>
      </c>
      <c r="K1850" s="1" t="n">
        <f aca="false">J1850+L1850</f>
        <v>21682</v>
      </c>
      <c r="L1850" s="1" t="n">
        <v>44</v>
      </c>
      <c r="M1850" s="1" t="n">
        <f aca="false">(E1850+M1849)-N1850</f>
        <v>56.2699999999999</v>
      </c>
      <c r="N1850" s="1" t="n">
        <v>5</v>
      </c>
    </row>
    <row r="1851" customFormat="false" ht="15" hidden="false" customHeight="true" outlineLevel="0" collapsed="false">
      <c r="H1851" s="1" t="s">
        <v>85</v>
      </c>
      <c r="I1851" s="1" t="s">
        <v>34</v>
      </c>
      <c r="J1851" s="1" t="n">
        <f aca="false">K1850</f>
        <v>21682</v>
      </c>
      <c r="K1851" s="1" t="n">
        <f aca="false">J1851+L1851</f>
        <v>21726</v>
      </c>
      <c r="L1851" s="1" t="n">
        <v>44</v>
      </c>
      <c r="M1851" s="1" t="n">
        <f aca="false">(E1851+M1850)-N1851</f>
        <v>51.2699999999999</v>
      </c>
      <c r="N1851" s="1" t="n">
        <v>5</v>
      </c>
    </row>
    <row r="1852" customFormat="false" ht="15" hidden="false" customHeight="true" outlineLevel="0" collapsed="false">
      <c r="H1852" s="1" t="s">
        <v>34</v>
      </c>
      <c r="I1852" s="1" t="s">
        <v>44</v>
      </c>
      <c r="J1852" s="1" t="n">
        <f aca="false">K1851</f>
        <v>21726</v>
      </c>
      <c r="K1852" s="1" t="n">
        <f aca="false">J1852+L1852</f>
        <v>21766</v>
      </c>
      <c r="L1852" s="1" t="n">
        <v>40</v>
      </c>
      <c r="M1852" s="1" t="n">
        <f aca="false">(E1852+M1851)-N1852</f>
        <v>46.4699999999999</v>
      </c>
      <c r="N1852" s="1" t="n">
        <v>4.8</v>
      </c>
    </row>
    <row r="1853" customFormat="false" ht="15" hidden="false" customHeight="true" outlineLevel="0" collapsed="false">
      <c r="H1853" s="1" t="s">
        <v>44</v>
      </c>
      <c r="I1853" s="1" t="s">
        <v>34</v>
      </c>
      <c r="J1853" s="1" t="n">
        <f aca="false">K1852</f>
        <v>21766</v>
      </c>
      <c r="K1853" s="1" t="n">
        <f aca="false">J1853+L1853</f>
        <v>21806</v>
      </c>
      <c r="L1853" s="1" t="n">
        <v>40</v>
      </c>
      <c r="M1853" s="1" t="n">
        <f aca="false">(E1853+M1852)-N1853</f>
        <v>41.6699999999999</v>
      </c>
      <c r="N1853" s="1" t="n">
        <v>4.8</v>
      </c>
    </row>
    <row r="1854" customFormat="false" ht="15" hidden="false" customHeight="true" outlineLevel="0" collapsed="false">
      <c r="D1854" s="11" t="n">
        <v>45624</v>
      </c>
      <c r="H1854" s="1" t="s">
        <v>34</v>
      </c>
      <c r="I1854" s="1" t="s">
        <v>49</v>
      </c>
      <c r="J1854" s="1" t="n">
        <f aca="false">K1853</f>
        <v>21806</v>
      </c>
      <c r="K1854" s="1" t="n">
        <f aca="false">J1854+L1854</f>
        <v>21833</v>
      </c>
      <c r="L1854" s="1" t="n">
        <v>27</v>
      </c>
      <c r="M1854" s="1" t="n">
        <f aca="false">(E1854+M1853)-N1854</f>
        <v>38.4699999999999</v>
      </c>
      <c r="N1854" s="1" t="n">
        <v>3.2</v>
      </c>
    </row>
    <row r="1855" customFormat="false" ht="15" hidden="false" customHeight="true" outlineLevel="0" collapsed="false">
      <c r="D1855" s="11"/>
      <c r="H1855" s="1" t="s">
        <v>49</v>
      </c>
      <c r="I1855" s="1" t="s">
        <v>34</v>
      </c>
      <c r="J1855" s="1" t="n">
        <f aca="false">K1854</f>
        <v>21833</v>
      </c>
      <c r="K1855" s="1" t="n">
        <f aca="false">J1855+L1855</f>
        <v>21860</v>
      </c>
      <c r="L1855" s="1" t="n">
        <v>27</v>
      </c>
      <c r="M1855" s="1" t="n">
        <f aca="false">(E1855+M1854)-N1855</f>
        <v>35.2699999999999</v>
      </c>
      <c r="N1855" s="1" t="n">
        <v>3.2</v>
      </c>
    </row>
    <row r="1856" customFormat="false" ht="15" hidden="false" customHeight="true" outlineLevel="0" collapsed="false">
      <c r="D1856" s="11"/>
      <c r="H1856" s="1" t="s">
        <v>34</v>
      </c>
      <c r="I1856" s="1" t="s">
        <v>85</v>
      </c>
      <c r="J1856" s="1" t="n">
        <f aca="false">K1855</f>
        <v>21860</v>
      </c>
      <c r="K1856" s="1" t="n">
        <f aca="false">J1856+L1856</f>
        <v>21904</v>
      </c>
      <c r="L1856" s="1" t="n">
        <v>44</v>
      </c>
      <c r="M1856" s="1" t="n">
        <f aca="false">(E1856+M1855)-N1856</f>
        <v>30.2699999999999</v>
      </c>
      <c r="N1856" s="1" t="n">
        <v>5</v>
      </c>
    </row>
    <row r="1857" customFormat="false" ht="15" hidden="false" customHeight="true" outlineLevel="0" collapsed="false">
      <c r="H1857" s="1" t="s">
        <v>85</v>
      </c>
      <c r="I1857" s="1" t="s">
        <v>34</v>
      </c>
      <c r="J1857" s="1" t="n">
        <f aca="false">K1856</f>
        <v>21904</v>
      </c>
      <c r="K1857" s="1" t="n">
        <f aca="false">J1857+L1857</f>
        <v>21948</v>
      </c>
      <c r="L1857" s="1" t="n">
        <v>44</v>
      </c>
      <c r="M1857" s="1" t="n">
        <f aca="false">(E1857+M1856)-N1857</f>
        <v>25.2699999999999</v>
      </c>
      <c r="N1857" s="1" t="n">
        <v>5</v>
      </c>
    </row>
    <row r="1858" customFormat="false" ht="15" hidden="false" customHeight="true" outlineLevel="0" collapsed="false">
      <c r="D1858" s="11" t="n">
        <v>45625</v>
      </c>
      <c r="H1858" s="1" t="s">
        <v>34</v>
      </c>
      <c r="I1858" s="1" t="s">
        <v>54</v>
      </c>
      <c r="J1858" s="1" t="n">
        <f aca="false">K1857</f>
        <v>21948</v>
      </c>
      <c r="K1858" s="1" t="n">
        <f aca="false">J1858+L1858</f>
        <v>21975</v>
      </c>
      <c r="L1858" s="1" t="n">
        <v>27</v>
      </c>
      <c r="M1858" s="1" t="n">
        <f aca="false">(E1858+M1857)-N1858</f>
        <v>22.0699999999999</v>
      </c>
      <c r="N1858" s="1" t="n">
        <v>3.2</v>
      </c>
    </row>
    <row r="1859" customFormat="false" ht="15" hidden="false" customHeight="true" outlineLevel="0" collapsed="false">
      <c r="D1859" s="11"/>
      <c r="H1859" s="1" t="s">
        <v>54</v>
      </c>
      <c r="I1859" s="1" t="s">
        <v>34</v>
      </c>
      <c r="J1859" s="1" t="n">
        <f aca="false">K1858</f>
        <v>21975</v>
      </c>
      <c r="K1859" s="1" t="n">
        <f aca="false">J1859+L1859</f>
        <v>22002</v>
      </c>
      <c r="L1859" s="1" t="n">
        <v>27</v>
      </c>
      <c r="M1859" s="1" t="n">
        <f aca="false">(E1859+M1858)-N1859</f>
        <v>18.8699999999999</v>
      </c>
      <c r="N1859" s="1" t="n">
        <v>3.2</v>
      </c>
    </row>
    <row r="1860" customFormat="false" ht="15" hidden="false" customHeight="true" outlineLevel="0" collapsed="false">
      <c r="D1860" s="11"/>
      <c r="H1860" s="1" t="s">
        <v>34</v>
      </c>
      <c r="I1860" s="1" t="s">
        <v>85</v>
      </c>
      <c r="J1860" s="1" t="n">
        <f aca="false">K1859</f>
        <v>22002</v>
      </c>
      <c r="K1860" s="1" t="n">
        <f aca="false">J1860+L1860</f>
        <v>22046</v>
      </c>
      <c r="L1860" s="1" t="n">
        <v>44</v>
      </c>
      <c r="M1860" s="1" t="n">
        <f aca="false">(E1860+M1859)-N1860</f>
        <v>13.8699999999999</v>
      </c>
      <c r="N1860" s="1" t="n">
        <v>5</v>
      </c>
    </row>
    <row r="1861" customFormat="false" ht="15" hidden="false" customHeight="true" outlineLevel="0" collapsed="false">
      <c r="D1861" s="11"/>
      <c r="H1861" s="1" t="s">
        <v>85</v>
      </c>
      <c r="I1861" s="1" t="s">
        <v>34</v>
      </c>
      <c r="J1861" s="1" t="n">
        <f aca="false">K1860</f>
        <v>22046</v>
      </c>
      <c r="K1861" s="1" t="n">
        <f aca="false">J1861+L1861</f>
        <v>22090</v>
      </c>
      <c r="L1861" s="1" t="n">
        <v>44</v>
      </c>
      <c r="M1861" s="1" t="n">
        <f aca="false">(E1861+M1860)-N1861</f>
        <v>8.86999999999987</v>
      </c>
      <c r="N1861" s="1" t="n">
        <v>5</v>
      </c>
    </row>
    <row r="1863" customFormat="false" ht="15" hidden="false" customHeight="true" outlineLevel="0" collapsed="false">
      <c r="D1863" s="4" t="s">
        <v>88</v>
      </c>
      <c r="E1863" s="4"/>
      <c r="F1863" s="4"/>
      <c r="G1863" s="4"/>
    </row>
    <row r="1865" customFormat="false" ht="15" hidden="false" customHeight="true" outlineLevel="0" collapsed="false">
      <c r="D1865" s="11" t="n">
        <v>45628</v>
      </c>
      <c r="E1865" s="0" t="n">
        <v>46.82</v>
      </c>
      <c r="F1865" s="1" t="n">
        <v>60.06</v>
      </c>
      <c r="G1865" s="6" t="n">
        <f aca="false">E1865*F1865</f>
        <v>2812.0092</v>
      </c>
      <c r="H1865" s="1" t="s">
        <v>34</v>
      </c>
      <c r="I1865" s="1" t="s">
        <v>85</v>
      </c>
      <c r="J1865" s="1" t="n">
        <f aca="false">K1861</f>
        <v>22090</v>
      </c>
      <c r="K1865" s="1" t="n">
        <f aca="false">J1865+L1865</f>
        <v>22134</v>
      </c>
      <c r="L1865" s="1" t="n">
        <v>44</v>
      </c>
      <c r="M1865" s="1" t="n">
        <f aca="false">(E1865+M1861)-N1865</f>
        <v>50.6899999999999</v>
      </c>
      <c r="N1865" s="1" t="n">
        <v>5</v>
      </c>
    </row>
    <row r="1866" customFormat="false" ht="15" hidden="false" customHeight="true" outlineLevel="0" collapsed="false">
      <c r="H1866" s="1" t="s">
        <v>85</v>
      </c>
      <c r="I1866" s="1" t="s">
        <v>34</v>
      </c>
      <c r="J1866" s="1" t="n">
        <f aca="false">K1865</f>
        <v>22134</v>
      </c>
      <c r="K1866" s="1" t="n">
        <f aca="false">J1866+L1866</f>
        <v>22178</v>
      </c>
      <c r="L1866" s="1" t="n">
        <v>44</v>
      </c>
      <c r="M1866" s="1" t="n">
        <f aca="false">(E1866+M1865)-N1866</f>
        <v>45.6899999999999</v>
      </c>
      <c r="N1866" s="1" t="n">
        <v>5</v>
      </c>
    </row>
    <row r="1867" customFormat="false" ht="15" hidden="false" customHeight="true" outlineLevel="0" collapsed="false">
      <c r="D1867" s="11" t="n">
        <v>45629</v>
      </c>
      <c r="H1867" s="1" t="s">
        <v>34</v>
      </c>
      <c r="I1867" s="1" t="s">
        <v>44</v>
      </c>
      <c r="J1867" s="1" t="n">
        <f aca="false">K1866</f>
        <v>22178</v>
      </c>
      <c r="K1867" s="1" t="n">
        <f aca="false">J1867+L1867</f>
        <v>22218</v>
      </c>
      <c r="L1867" s="1" t="n">
        <v>40</v>
      </c>
      <c r="M1867" s="1" t="n">
        <f aca="false">(E1867+M1866)-N1867</f>
        <v>40.8899999999999</v>
      </c>
      <c r="N1867" s="1" t="n">
        <v>4.8</v>
      </c>
    </row>
    <row r="1868" customFormat="false" ht="15" hidden="false" customHeight="true" outlineLevel="0" collapsed="false">
      <c r="H1868" s="1" t="s">
        <v>44</v>
      </c>
      <c r="I1868" s="1" t="s">
        <v>34</v>
      </c>
      <c r="J1868" s="1" t="n">
        <f aca="false">K1867</f>
        <v>22218</v>
      </c>
      <c r="K1868" s="1" t="n">
        <f aca="false">J1868+L1868</f>
        <v>22258</v>
      </c>
      <c r="L1868" s="1" t="n">
        <v>40</v>
      </c>
      <c r="M1868" s="1" t="n">
        <f aca="false">(E1868+M1867)-N1868</f>
        <v>36.0899999999999</v>
      </c>
      <c r="N1868" s="1" t="n">
        <v>4.8</v>
      </c>
    </row>
    <row r="1869" customFormat="false" ht="15" hidden="false" customHeight="true" outlineLevel="0" collapsed="false">
      <c r="D1869" s="11" t="n">
        <v>45630</v>
      </c>
      <c r="H1869" s="1" t="s">
        <v>34</v>
      </c>
      <c r="I1869" s="1" t="s">
        <v>54</v>
      </c>
      <c r="J1869" s="1" t="n">
        <f aca="false">K1868</f>
        <v>22258</v>
      </c>
      <c r="K1869" s="1" t="n">
        <f aca="false">J1869+L1869</f>
        <v>22285</v>
      </c>
      <c r="L1869" s="1" t="n">
        <v>27</v>
      </c>
      <c r="M1869" s="1" t="n">
        <f aca="false">(E1869+M1868)-N1869</f>
        <v>32.8899999999999</v>
      </c>
      <c r="N1869" s="1" t="n">
        <v>3.2</v>
      </c>
    </row>
    <row r="1870" customFormat="false" ht="15" hidden="false" customHeight="true" outlineLevel="0" collapsed="false">
      <c r="H1870" s="1" t="s">
        <v>54</v>
      </c>
      <c r="I1870" s="1" t="s">
        <v>34</v>
      </c>
      <c r="J1870" s="1" t="n">
        <f aca="false">K1869</f>
        <v>22285</v>
      </c>
      <c r="K1870" s="1" t="n">
        <f aca="false">J1870+L1870</f>
        <v>22312</v>
      </c>
      <c r="L1870" s="1" t="n">
        <v>27</v>
      </c>
      <c r="M1870" s="1" t="n">
        <f aca="false">(E1870+M1869)-N1870</f>
        <v>29.6899999999999</v>
      </c>
      <c r="N1870" s="1" t="n">
        <v>3.2</v>
      </c>
    </row>
    <row r="1871" customFormat="false" ht="15" hidden="false" customHeight="true" outlineLevel="0" collapsed="false">
      <c r="D1871" s="11" t="n">
        <v>45631</v>
      </c>
      <c r="H1871" s="1" t="s">
        <v>34</v>
      </c>
      <c r="I1871" s="1" t="s">
        <v>49</v>
      </c>
      <c r="J1871" s="1" t="n">
        <f aca="false">K1870</f>
        <v>22312</v>
      </c>
      <c r="K1871" s="1" t="n">
        <f aca="false">J1871+L1871</f>
        <v>22339</v>
      </c>
      <c r="L1871" s="1" t="n">
        <v>27</v>
      </c>
      <c r="M1871" s="1" t="n">
        <f aca="false">(E1871+M1870)-N1871</f>
        <v>26.4899999999999</v>
      </c>
      <c r="N1871" s="1" t="n">
        <v>3.2</v>
      </c>
    </row>
    <row r="1872" customFormat="false" ht="15" hidden="false" customHeight="true" outlineLevel="0" collapsed="false">
      <c r="H1872" s="1" t="s">
        <v>49</v>
      </c>
      <c r="I1872" s="1" t="s">
        <v>34</v>
      </c>
      <c r="J1872" s="1" t="n">
        <f aca="false">K1871</f>
        <v>22339</v>
      </c>
      <c r="K1872" s="1" t="n">
        <f aca="false">J1872+L1872</f>
        <v>22366</v>
      </c>
      <c r="L1872" s="1" t="n">
        <v>27</v>
      </c>
      <c r="M1872" s="1" t="n">
        <f aca="false">(E1872+M1871)-N1872</f>
        <v>23.2899999999999</v>
      </c>
      <c r="N1872" s="1" t="n">
        <v>3.2</v>
      </c>
    </row>
    <row r="1873" customFormat="false" ht="15" hidden="false" customHeight="true" outlineLevel="0" collapsed="false">
      <c r="D1873" s="11" t="n">
        <v>45632</v>
      </c>
      <c r="H1873" s="1" t="s">
        <v>34</v>
      </c>
      <c r="I1873" s="1" t="s">
        <v>85</v>
      </c>
      <c r="J1873" s="1" t="n">
        <f aca="false">K1872</f>
        <v>22366</v>
      </c>
      <c r="K1873" s="1" t="n">
        <f aca="false">J1873+L1873</f>
        <v>22410</v>
      </c>
      <c r="L1873" s="1" t="n">
        <v>44</v>
      </c>
      <c r="M1873" s="1" t="n">
        <f aca="false">(E1873+M1872)-N1873</f>
        <v>18.2899999999999</v>
      </c>
      <c r="N1873" s="1" t="n">
        <v>5</v>
      </c>
    </row>
    <row r="1874" customFormat="false" ht="15" hidden="false" customHeight="true" outlineLevel="0" collapsed="false">
      <c r="D1874" s="11"/>
      <c r="H1874" s="1" t="s">
        <v>85</v>
      </c>
      <c r="I1874" s="1" t="s">
        <v>34</v>
      </c>
      <c r="J1874" s="1" t="n">
        <f aca="false">K1873</f>
        <v>22410</v>
      </c>
      <c r="K1874" s="1" t="n">
        <f aca="false">J1874+L1874</f>
        <v>22454</v>
      </c>
      <c r="L1874" s="1" t="n">
        <v>44</v>
      </c>
      <c r="M1874" s="1" t="n">
        <f aca="false">(E1874+M1873)-N1874</f>
        <v>13.2899999999999</v>
      </c>
      <c r="N1874" s="1" t="n">
        <v>5</v>
      </c>
    </row>
    <row r="1875" customFormat="false" ht="15" hidden="false" customHeight="true" outlineLevel="0" collapsed="false">
      <c r="D1875" s="11" t="n">
        <v>45635</v>
      </c>
      <c r="H1875" s="1" t="s">
        <v>34</v>
      </c>
      <c r="I1875" s="1" t="s">
        <v>54</v>
      </c>
      <c r="J1875" s="1" t="n">
        <f aca="false">K1874</f>
        <v>22454</v>
      </c>
      <c r="K1875" s="1" t="n">
        <f aca="false">J1875+L1875</f>
        <v>22481</v>
      </c>
      <c r="L1875" s="1" t="n">
        <v>27</v>
      </c>
      <c r="M1875" s="1" t="n">
        <f aca="false">(E1875+M1874)-N1875</f>
        <v>10.0899999999999</v>
      </c>
      <c r="N1875" s="1" t="n">
        <v>3.2</v>
      </c>
    </row>
    <row r="1876" customFormat="false" ht="15" hidden="false" customHeight="true" outlineLevel="0" collapsed="false">
      <c r="H1876" s="1" t="s">
        <v>54</v>
      </c>
      <c r="I1876" s="1" t="s">
        <v>34</v>
      </c>
      <c r="J1876" s="1" t="n">
        <f aca="false">K1875</f>
        <v>22481</v>
      </c>
      <c r="K1876" s="1" t="n">
        <f aca="false">J1876+L1876</f>
        <v>22508</v>
      </c>
      <c r="L1876" s="1" t="n">
        <v>27</v>
      </c>
      <c r="M1876" s="1" t="n">
        <f aca="false">(E1876+M1875)-N1876</f>
        <v>6.88999999999988</v>
      </c>
      <c r="N1876" s="1" t="n">
        <v>3.2</v>
      </c>
    </row>
    <row r="1877" customFormat="false" ht="15" hidden="false" customHeight="true" outlineLevel="0" collapsed="false">
      <c r="D1877" s="11" t="n">
        <v>45636</v>
      </c>
      <c r="E1877" s="0" t="n">
        <v>48.05</v>
      </c>
      <c r="F1877" s="1" t="n">
        <v>60.39</v>
      </c>
      <c r="G1877" s="6" t="n">
        <f aca="false">E1877*F1877</f>
        <v>2901.7395</v>
      </c>
      <c r="H1877" s="1" t="s">
        <v>34</v>
      </c>
      <c r="I1877" s="1" t="s">
        <v>85</v>
      </c>
      <c r="J1877" s="1" t="n">
        <f aca="false">K1876</f>
        <v>22508</v>
      </c>
      <c r="K1877" s="1" t="n">
        <f aca="false">J1877+L1877</f>
        <v>22552</v>
      </c>
      <c r="L1877" s="1" t="n">
        <v>44</v>
      </c>
      <c r="M1877" s="1" t="n">
        <f aca="false">(E1877+M1876)-N1877</f>
        <v>49.9399999999999</v>
      </c>
      <c r="N1877" s="1" t="n">
        <v>5</v>
      </c>
    </row>
    <row r="1878" customFormat="false" ht="15" hidden="false" customHeight="true" outlineLevel="0" collapsed="false">
      <c r="H1878" s="1" t="s">
        <v>85</v>
      </c>
      <c r="I1878" s="1" t="s">
        <v>34</v>
      </c>
      <c r="J1878" s="1" t="n">
        <f aca="false">K1877</f>
        <v>22552</v>
      </c>
      <c r="K1878" s="1" t="n">
        <f aca="false">J1878+L1878</f>
        <v>22596</v>
      </c>
      <c r="L1878" s="1" t="n">
        <v>44</v>
      </c>
      <c r="M1878" s="1" t="n">
        <f aca="false">(E1878+M1877)-N1878</f>
        <v>44.9399999999999</v>
      </c>
      <c r="N1878" s="1" t="n">
        <v>5</v>
      </c>
    </row>
    <row r="1879" customFormat="false" ht="15" hidden="false" customHeight="true" outlineLevel="0" collapsed="false">
      <c r="D1879" s="11" t="n">
        <v>45637</v>
      </c>
      <c r="H1879" s="1" t="s">
        <v>34</v>
      </c>
      <c r="I1879" s="1" t="s">
        <v>54</v>
      </c>
      <c r="J1879" s="1" t="n">
        <f aca="false">K1878</f>
        <v>22596</v>
      </c>
      <c r="K1879" s="1" t="n">
        <f aca="false">J1879+L1879</f>
        <v>22623</v>
      </c>
      <c r="L1879" s="1" t="n">
        <v>27</v>
      </c>
      <c r="M1879" s="1" t="n">
        <f aca="false">(E1879+M1878)-N1879</f>
        <v>41.7399999999999</v>
      </c>
      <c r="N1879" s="1" t="n">
        <v>3.2</v>
      </c>
    </row>
    <row r="1880" customFormat="false" ht="15" hidden="false" customHeight="true" outlineLevel="0" collapsed="false">
      <c r="H1880" s="1" t="s">
        <v>54</v>
      </c>
      <c r="I1880" s="1" t="s">
        <v>34</v>
      </c>
      <c r="J1880" s="1" t="n">
        <f aca="false">K1879</f>
        <v>22623</v>
      </c>
      <c r="K1880" s="1" t="n">
        <f aca="false">J1880+L1880</f>
        <v>22650</v>
      </c>
      <c r="L1880" s="1" t="n">
        <v>27</v>
      </c>
      <c r="M1880" s="1" t="n">
        <f aca="false">(E1880+M1879)-N1880</f>
        <v>38.5399999999999</v>
      </c>
      <c r="N1880" s="1" t="n">
        <v>3.2</v>
      </c>
    </row>
    <row r="1881" customFormat="false" ht="15" hidden="false" customHeight="true" outlineLevel="0" collapsed="false">
      <c r="D1881" s="11" t="n">
        <v>45638</v>
      </c>
      <c r="H1881" s="1" t="s">
        <v>34</v>
      </c>
      <c r="I1881" s="1" t="s">
        <v>54</v>
      </c>
      <c r="J1881" s="1" t="n">
        <f aca="false">K1880</f>
        <v>22650</v>
      </c>
      <c r="K1881" s="1" t="n">
        <f aca="false">J1881+L1881</f>
        <v>22677</v>
      </c>
      <c r="L1881" s="1" t="n">
        <v>27</v>
      </c>
      <c r="M1881" s="1" t="n">
        <f aca="false">(E1881+M1880)-N1881</f>
        <v>35.3399999999999</v>
      </c>
      <c r="N1881" s="1" t="n">
        <v>3.2</v>
      </c>
    </row>
    <row r="1882" customFormat="false" ht="15" hidden="false" customHeight="true" outlineLevel="0" collapsed="false">
      <c r="H1882" s="1" t="s">
        <v>54</v>
      </c>
      <c r="I1882" s="1" t="s">
        <v>34</v>
      </c>
      <c r="J1882" s="1" t="n">
        <f aca="false">K1881</f>
        <v>22677</v>
      </c>
      <c r="K1882" s="1" t="n">
        <f aca="false">J1882+L1882</f>
        <v>22704</v>
      </c>
      <c r="L1882" s="1" t="n">
        <v>27</v>
      </c>
      <c r="M1882" s="1" t="n">
        <f aca="false">(E1882+M1881)-N1882</f>
        <v>32.1399999999999</v>
      </c>
      <c r="N1882" s="1" t="n">
        <v>3.2</v>
      </c>
    </row>
    <row r="1883" customFormat="false" ht="15" hidden="false" customHeight="true" outlineLevel="0" collapsed="false">
      <c r="D1883" s="11" t="n">
        <v>45639</v>
      </c>
      <c r="H1883" s="1" t="s">
        <v>34</v>
      </c>
      <c r="I1883" s="1" t="s">
        <v>85</v>
      </c>
      <c r="J1883" s="1" t="n">
        <f aca="false">K1882</f>
        <v>22704</v>
      </c>
      <c r="K1883" s="1" t="n">
        <f aca="false">J1883+L1883</f>
        <v>22748</v>
      </c>
      <c r="L1883" s="1" t="n">
        <v>44</v>
      </c>
      <c r="M1883" s="1" t="n">
        <f aca="false">(E1883+M1882)-N1883</f>
        <v>27.1399999999999</v>
      </c>
      <c r="N1883" s="1" t="n">
        <v>5</v>
      </c>
    </row>
    <row r="1884" customFormat="false" ht="15" hidden="false" customHeight="true" outlineLevel="0" collapsed="false">
      <c r="D1884" s="11"/>
      <c r="H1884" s="1" t="s">
        <v>85</v>
      </c>
      <c r="I1884" s="1" t="s">
        <v>34</v>
      </c>
      <c r="J1884" s="1" t="n">
        <f aca="false">K1883</f>
        <v>22748</v>
      </c>
      <c r="K1884" s="1" t="n">
        <f aca="false">J1884+L1884</f>
        <v>22792</v>
      </c>
      <c r="L1884" s="1" t="n">
        <v>44</v>
      </c>
      <c r="M1884" s="1" t="n">
        <f aca="false">(E1884+M1883)-N1884</f>
        <v>22.1399999999999</v>
      </c>
      <c r="N1884" s="1" t="n">
        <v>5</v>
      </c>
    </row>
    <row r="1885" customFormat="false" ht="15" hidden="false" customHeight="true" outlineLevel="0" collapsed="false">
      <c r="D1885" s="11" t="n">
        <v>45642</v>
      </c>
      <c r="H1885" s="1" t="s">
        <v>34</v>
      </c>
      <c r="I1885" s="1" t="s">
        <v>44</v>
      </c>
      <c r="J1885" s="1" t="n">
        <f aca="false">K1884</f>
        <v>22792</v>
      </c>
      <c r="K1885" s="1" t="n">
        <f aca="false">J1885+L1885</f>
        <v>22832</v>
      </c>
      <c r="L1885" s="1" t="n">
        <v>40</v>
      </c>
      <c r="M1885" s="1" t="n">
        <f aca="false">(E1885+M1884)-N1885</f>
        <v>17.3399999999999</v>
      </c>
      <c r="N1885" s="1" t="n">
        <v>4.8</v>
      </c>
    </row>
    <row r="1886" customFormat="false" ht="15" hidden="false" customHeight="true" outlineLevel="0" collapsed="false">
      <c r="H1886" s="1" t="s">
        <v>44</v>
      </c>
      <c r="I1886" s="1" t="s">
        <v>34</v>
      </c>
      <c r="J1886" s="1" t="n">
        <f aca="false">K1885</f>
        <v>22832</v>
      </c>
      <c r="K1886" s="1" t="n">
        <f aca="false">J1886+L1886</f>
        <v>22872</v>
      </c>
      <c r="L1886" s="1" t="n">
        <v>40</v>
      </c>
      <c r="M1886" s="1" t="n">
        <f aca="false">(E1886+M1885)-N1886</f>
        <v>12.5399999999999</v>
      </c>
      <c r="N1886" s="1" t="n">
        <v>4.8</v>
      </c>
    </row>
    <row r="1887" customFormat="false" ht="15" hidden="false" customHeight="true" outlineLevel="0" collapsed="false">
      <c r="D1887" s="11" t="n">
        <v>45643</v>
      </c>
      <c r="E1887" s="0" t="n">
        <v>45.04</v>
      </c>
      <c r="F1887" s="1" t="n">
        <v>60.25</v>
      </c>
      <c r="G1887" s="6" t="n">
        <f aca="false">E1887*F1887</f>
        <v>2713.66</v>
      </c>
      <c r="H1887" s="1" t="s">
        <v>34</v>
      </c>
      <c r="I1887" s="1" t="s">
        <v>81</v>
      </c>
      <c r="J1887" s="1" t="n">
        <f aca="false">K1886</f>
        <v>22872</v>
      </c>
      <c r="K1887" s="1" t="n">
        <f aca="false">J1887+L1887</f>
        <v>22896</v>
      </c>
      <c r="L1887" s="1" t="n">
        <v>24</v>
      </c>
      <c r="M1887" s="1" t="n">
        <f aca="false">(E1887+M1886)-N1887</f>
        <v>55.0799999999999</v>
      </c>
      <c r="N1887" s="1" t="n">
        <v>2.5</v>
      </c>
    </row>
    <row r="1888" customFormat="false" ht="15" hidden="false" customHeight="true" outlineLevel="0" collapsed="false">
      <c r="H1888" s="1" t="s">
        <v>81</v>
      </c>
      <c r="I1888" s="1" t="s">
        <v>34</v>
      </c>
      <c r="J1888" s="1" t="n">
        <f aca="false">K1887</f>
        <v>22896</v>
      </c>
      <c r="K1888" s="1" t="n">
        <f aca="false">J1888+L1888</f>
        <v>22920</v>
      </c>
      <c r="L1888" s="1" t="n">
        <v>24</v>
      </c>
      <c r="M1888" s="1" t="n">
        <f aca="false">(E1888+M1887)-N1888</f>
        <v>52.5799999999999</v>
      </c>
      <c r="N1888" s="1" t="n">
        <v>2.5</v>
      </c>
    </row>
    <row r="1889" customFormat="false" ht="15" hidden="false" customHeight="true" outlineLevel="0" collapsed="false">
      <c r="D1889" s="11" t="n">
        <v>45644</v>
      </c>
      <c r="H1889" s="1" t="s">
        <v>34</v>
      </c>
      <c r="I1889" s="1" t="s">
        <v>54</v>
      </c>
      <c r="J1889" s="1" t="n">
        <f aca="false">K1888</f>
        <v>22920</v>
      </c>
      <c r="K1889" s="1" t="n">
        <f aca="false">J1889+L1889</f>
        <v>22947</v>
      </c>
      <c r="L1889" s="1" t="n">
        <v>27</v>
      </c>
      <c r="M1889" s="1" t="n">
        <f aca="false">(E1889+M1888)-N1889</f>
        <v>49.3799999999999</v>
      </c>
      <c r="N1889" s="1" t="n">
        <v>3.2</v>
      </c>
    </row>
    <row r="1890" customFormat="false" ht="15" hidden="false" customHeight="true" outlineLevel="0" collapsed="false">
      <c r="H1890" s="1" t="s">
        <v>54</v>
      </c>
      <c r="I1890" s="1" t="s">
        <v>34</v>
      </c>
      <c r="J1890" s="1" t="n">
        <f aca="false">K1889</f>
        <v>22947</v>
      </c>
      <c r="K1890" s="1" t="n">
        <f aca="false">J1890+L1890</f>
        <v>22974</v>
      </c>
      <c r="L1890" s="1" t="n">
        <v>27</v>
      </c>
      <c r="M1890" s="1" t="n">
        <f aca="false">(E1890+M1889)-N1890</f>
        <v>46.1799999999999</v>
      </c>
      <c r="N1890" s="1" t="n">
        <v>3.2</v>
      </c>
    </row>
    <row r="1891" customFormat="false" ht="15" hidden="false" customHeight="true" outlineLevel="0" collapsed="false">
      <c r="D1891" s="11" t="n">
        <v>45645</v>
      </c>
      <c r="H1891" s="1" t="s">
        <v>34</v>
      </c>
      <c r="I1891" s="1" t="s">
        <v>54</v>
      </c>
      <c r="J1891" s="1" t="n">
        <f aca="false">K1890</f>
        <v>22974</v>
      </c>
      <c r="K1891" s="1" t="n">
        <f aca="false">J1891+L1891</f>
        <v>23001</v>
      </c>
      <c r="L1891" s="1" t="n">
        <v>27</v>
      </c>
      <c r="M1891" s="1" t="n">
        <f aca="false">(E1891+M1890)-N1891</f>
        <v>42.9799999999999</v>
      </c>
      <c r="N1891" s="1" t="n">
        <v>3.2</v>
      </c>
    </row>
    <row r="1892" customFormat="false" ht="15" hidden="false" customHeight="true" outlineLevel="0" collapsed="false">
      <c r="H1892" s="1" t="s">
        <v>54</v>
      </c>
      <c r="I1892" s="1" t="s">
        <v>34</v>
      </c>
      <c r="J1892" s="1" t="n">
        <f aca="false">K1891</f>
        <v>23001</v>
      </c>
      <c r="K1892" s="1" t="n">
        <f aca="false">J1892+L1892</f>
        <v>23028</v>
      </c>
      <c r="L1892" s="1" t="n">
        <v>27</v>
      </c>
      <c r="M1892" s="1" t="n">
        <f aca="false">(E1892+M1891)-N1892</f>
        <v>39.7799999999998</v>
      </c>
      <c r="N1892" s="1" t="n">
        <v>3.2</v>
      </c>
    </row>
    <row r="1893" customFormat="false" ht="15" hidden="false" customHeight="true" outlineLevel="0" collapsed="false">
      <c r="D1893" s="11" t="n">
        <v>45646</v>
      </c>
      <c r="H1893" s="1" t="s">
        <v>34</v>
      </c>
      <c r="I1893" s="1" t="s">
        <v>85</v>
      </c>
      <c r="J1893" s="1" t="n">
        <f aca="false">K1892</f>
        <v>23028</v>
      </c>
      <c r="K1893" s="1" t="n">
        <f aca="false">J1893+L1893</f>
        <v>23072</v>
      </c>
      <c r="L1893" s="1" t="n">
        <v>44</v>
      </c>
      <c r="M1893" s="1" t="n">
        <f aca="false">(E1893+M1892)-N1893</f>
        <v>34.7799999999998</v>
      </c>
      <c r="N1893" s="1" t="n">
        <v>5</v>
      </c>
    </row>
    <row r="1894" customFormat="false" ht="15" hidden="false" customHeight="true" outlineLevel="0" collapsed="false">
      <c r="D1894" s="11"/>
      <c r="H1894" s="1" t="s">
        <v>85</v>
      </c>
      <c r="I1894" s="1" t="s">
        <v>34</v>
      </c>
      <c r="J1894" s="1" t="n">
        <f aca="false">K1893</f>
        <v>23072</v>
      </c>
      <c r="K1894" s="1" t="n">
        <f aca="false">J1894+L1894</f>
        <v>23116</v>
      </c>
      <c r="L1894" s="1" t="n">
        <v>44</v>
      </c>
      <c r="M1894" s="1" t="n">
        <f aca="false">(E1894+M1893)-N1894</f>
        <v>29.7799999999998</v>
      </c>
      <c r="N1894" s="1" t="n">
        <v>5</v>
      </c>
    </row>
    <row r="1895" customFormat="false" ht="15" hidden="false" customHeight="true" outlineLevel="0" collapsed="false">
      <c r="D1895" s="11" t="n">
        <v>45649</v>
      </c>
      <c r="H1895" s="1" t="s">
        <v>34</v>
      </c>
      <c r="I1895" s="1" t="s">
        <v>85</v>
      </c>
      <c r="J1895" s="1" t="n">
        <f aca="false">K1894</f>
        <v>23116</v>
      </c>
      <c r="K1895" s="1" t="n">
        <f aca="false">J1895+L1895</f>
        <v>23160</v>
      </c>
      <c r="L1895" s="1" t="n">
        <v>44</v>
      </c>
      <c r="M1895" s="1" t="n">
        <f aca="false">(E1895+M1894)-N1895</f>
        <v>24.7799999999998</v>
      </c>
      <c r="N1895" s="1" t="n">
        <v>5</v>
      </c>
    </row>
    <row r="1896" customFormat="false" ht="15" hidden="false" customHeight="true" outlineLevel="0" collapsed="false">
      <c r="H1896" s="1" t="s">
        <v>85</v>
      </c>
      <c r="I1896" s="1" t="s">
        <v>34</v>
      </c>
      <c r="J1896" s="1" t="n">
        <f aca="false">K1895</f>
        <v>23160</v>
      </c>
      <c r="K1896" s="1" t="n">
        <f aca="false">J1896+L1896</f>
        <v>23204</v>
      </c>
      <c r="L1896" s="1" t="n">
        <v>44</v>
      </c>
      <c r="M1896" s="1" t="n">
        <f aca="false">(E1896+M1895)-N1896</f>
        <v>19.7799999999998</v>
      </c>
      <c r="N1896" s="1" t="n">
        <v>5</v>
      </c>
    </row>
    <row r="1897" customFormat="false" ht="15" hidden="false" customHeight="true" outlineLevel="0" collapsed="false">
      <c r="D1897" s="11" t="n">
        <v>45650</v>
      </c>
      <c r="E1897" s="0" t="n">
        <v>48.17</v>
      </c>
      <c r="F1897" s="1" t="n">
        <v>60.46</v>
      </c>
      <c r="G1897" s="6" t="n">
        <f aca="false">E1897*F1897</f>
        <v>2912.3582</v>
      </c>
      <c r="H1897" s="1" t="s">
        <v>34</v>
      </c>
      <c r="I1897" s="1" t="s">
        <v>85</v>
      </c>
      <c r="J1897" s="1" t="n">
        <f aca="false">K1896</f>
        <v>23204</v>
      </c>
      <c r="K1897" s="1" t="n">
        <f aca="false">J1897+L1897</f>
        <v>23248</v>
      </c>
      <c r="L1897" s="1" t="n">
        <v>44</v>
      </c>
      <c r="M1897" s="1" t="n">
        <f aca="false">(E1897+M1896)-N1897</f>
        <v>62.9499999999999</v>
      </c>
      <c r="N1897" s="1" t="n">
        <v>5</v>
      </c>
    </row>
    <row r="1898" customFormat="false" ht="15" hidden="false" customHeight="true" outlineLevel="0" collapsed="false">
      <c r="H1898" s="1" t="s">
        <v>85</v>
      </c>
      <c r="I1898" s="1" t="s">
        <v>34</v>
      </c>
      <c r="J1898" s="1" t="n">
        <f aca="false">K1897</f>
        <v>23248</v>
      </c>
      <c r="K1898" s="1" t="n">
        <f aca="false">J1898+L1898</f>
        <v>23292</v>
      </c>
      <c r="L1898" s="1" t="n">
        <v>44</v>
      </c>
      <c r="M1898" s="1" t="n">
        <f aca="false">(E1898+M1897)-N1898</f>
        <v>57.9499999999999</v>
      </c>
      <c r="N1898" s="1" t="n">
        <v>5</v>
      </c>
    </row>
    <row r="1899" customFormat="false" ht="15" hidden="false" customHeight="true" outlineLevel="0" collapsed="false">
      <c r="D1899" s="11" t="n">
        <v>45651</v>
      </c>
      <c r="H1899" s="1" t="s">
        <v>34</v>
      </c>
      <c r="I1899" s="1" t="s">
        <v>54</v>
      </c>
      <c r="J1899" s="1" t="n">
        <f aca="false">K1898</f>
        <v>23292</v>
      </c>
      <c r="K1899" s="1" t="n">
        <f aca="false">J1899+L1899</f>
        <v>23319</v>
      </c>
      <c r="L1899" s="1" t="n">
        <v>27</v>
      </c>
      <c r="M1899" s="1" t="n">
        <f aca="false">(E1899+M1898)-N1899</f>
        <v>54.7499999999998</v>
      </c>
      <c r="N1899" s="1" t="n">
        <v>3.2</v>
      </c>
    </row>
    <row r="1900" customFormat="false" ht="15" hidden="false" customHeight="true" outlineLevel="0" collapsed="false">
      <c r="H1900" s="1" t="s">
        <v>54</v>
      </c>
      <c r="I1900" s="1" t="s">
        <v>34</v>
      </c>
      <c r="J1900" s="1" t="n">
        <f aca="false">K1899</f>
        <v>23319</v>
      </c>
      <c r="K1900" s="1" t="n">
        <f aca="false">J1900+L1900</f>
        <v>23346</v>
      </c>
      <c r="L1900" s="1" t="n">
        <v>27</v>
      </c>
      <c r="M1900" s="1" t="n">
        <f aca="false">(E1900+M1899)-N1900</f>
        <v>51.5499999999998</v>
      </c>
      <c r="N1900" s="1" t="n">
        <v>3.2</v>
      </c>
    </row>
    <row r="1901" customFormat="false" ht="15" hidden="false" customHeight="true" outlineLevel="0" collapsed="false">
      <c r="H1901" s="1" t="s">
        <v>34</v>
      </c>
      <c r="I1901" s="1" t="s">
        <v>35</v>
      </c>
      <c r="J1901" s="1" t="n">
        <f aca="false">K1900</f>
        <v>23346</v>
      </c>
      <c r="K1901" s="1" t="n">
        <f aca="false">J1901+L1901</f>
        <v>23358</v>
      </c>
      <c r="L1901" s="1" t="n">
        <v>12</v>
      </c>
      <c r="M1901" s="1" t="n">
        <f aca="false">(E1901+M1900)-N1901</f>
        <v>50.2999999999998</v>
      </c>
      <c r="N1901" s="1" t="n">
        <v>1.25</v>
      </c>
    </row>
    <row r="1902" customFormat="false" ht="15" hidden="false" customHeight="true" outlineLevel="0" collapsed="false">
      <c r="H1902" s="1" t="s">
        <v>35</v>
      </c>
      <c r="I1902" s="1" t="s">
        <v>34</v>
      </c>
      <c r="J1902" s="1" t="n">
        <f aca="false">K1901</f>
        <v>23358</v>
      </c>
      <c r="K1902" s="1" t="n">
        <f aca="false">J1902+L1902</f>
        <v>23370</v>
      </c>
      <c r="L1902" s="1" t="n">
        <v>12</v>
      </c>
      <c r="M1902" s="1" t="n">
        <f aca="false">(E1902+M1901)-N1902</f>
        <v>49.0499999999998</v>
      </c>
      <c r="N1902" s="1" t="n">
        <v>1.25</v>
      </c>
    </row>
    <row r="1903" customFormat="false" ht="15" hidden="false" customHeight="true" outlineLevel="0" collapsed="false">
      <c r="D1903" s="11" t="n">
        <v>45652</v>
      </c>
      <c r="H1903" s="1" t="s">
        <v>34</v>
      </c>
      <c r="I1903" s="1" t="s">
        <v>49</v>
      </c>
      <c r="J1903" s="1" t="n">
        <f aca="false">K1902</f>
        <v>23370</v>
      </c>
      <c r="K1903" s="1" t="n">
        <f aca="false">J1903+L1903</f>
        <v>23397</v>
      </c>
      <c r="L1903" s="1" t="n">
        <v>27</v>
      </c>
      <c r="M1903" s="1" t="n">
        <f aca="false">(E1903+M1902)-N1903</f>
        <v>45.8499999999998</v>
      </c>
      <c r="N1903" s="1" t="n">
        <v>3.2</v>
      </c>
    </row>
    <row r="1904" customFormat="false" ht="15" hidden="false" customHeight="true" outlineLevel="0" collapsed="false">
      <c r="H1904" s="1" t="s">
        <v>49</v>
      </c>
      <c r="I1904" s="1" t="s">
        <v>34</v>
      </c>
      <c r="J1904" s="1" t="n">
        <f aca="false">K1903</f>
        <v>23397</v>
      </c>
      <c r="K1904" s="1" t="n">
        <f aca="false">J1904+L1904</f>
        <v>23424</v>
      </c>
      <c r="L1904" s="1" t="n">
        <v>27</v>
      </c>
      <c r="M1904" s="1" t="n">
        <f aca="false">(E1904+M1903)-N1904</f>
        <v>42.6499999999998</v>
      </c>
      <c r="N1904" s="1" t="n">
        <v>3.2</v>
      </c>
    </row>
    <row r="1905" customFormat="false" ht="15" hidden="false" customHeight="true" outlineLevel="0" collapsed="false">
      <c r="H1905" s="1" t="s">
        <v>34</v>
      </c>
      <c r="I1905" s="1" t="s">
        <v>54</v>
      </c>
      <c r="J1905" s="1" t="n">
        <f aca="false">K1904</f>
        <v>23424</v>
      </c>
      <c r="K1905" s="1" t="n">
        <f aca="false">J1905+L1905</f>
        <v>23451</v>
      </c>
      <c r="L1905" s="1" t="n">
        <v>27</v>
      </c>
      <c r="M1905" s="1" t="n">
        <f aca="false">(E1905+M1904)-N1905</f>
        <v>39.4499999999998</v>
      </c>
      <c r="N1905" s="1" t="n">
        <v>3.2</v>
      </c>
    </row>
    <row r="1906" customFormat="false" ht="15" hidden="false" customHeight="true" outlineLevel="0" collapsed="false">
      <c r="H1906" s="1" t="s">
        <v>54</v>
      </c>
      <c r="I1906" s="1" t="s">
        <v>34</v>
      </c>
      <c r="J1906" s="1" t="n">
        <f aca="false">K1905</f>
        <v>23451</v>
      </c>
      <c r="K1906" s="1" t="n">
        <f aca="false">J1906+L1906</f>
        <v>23478</v>
      </c>
      <c r="L1906" s="1" t="n">
        <v>27</v>
      </c>
      <c r="M1906" s="1" t="n">
        <f aca="false">(E1906+M1905)-N1906</f>
        <v>36.2499999999998</v>
      </c>
      <c r="N1906" s="1" t="n">
        <v>3.2</v>
      </c>
    </row>
    <row r="1907" customFormat="false" ht="15" hidden="false" customHeight="true" outlineLevel="0" collapsed="false">
      <c r="D1907" s="11" t="n">
        <v>45653</v>
      </c>
      <c r="H1907" s="1" t="s">
        <v>34</v>
      </c>
      <c r="I1907" s="1" t="s">
        <v>85</v>
      </c>
      <c r="J1907" s="1" t="n">
        <f aca="false">K1906</f>
        <v>23478</v>
      </c>
      <c r="K1907" s="1" t="n">
        <f aca="false">J1907+L1907</f>
        <v>23522</v>
      </c>
      <c r="L1907" s="1" t="n">
        <v>44</v>
      </c>
      <c r="M1907" s="1" t="n">
        <f aca="false">(E1907+M1906)-N1907</f>
        <v>31.2499999999998</v>
      </c>
      <c r="N1907" s="1" t="n">
        <v>5</v>
      </c>
    </row>
    <row r="1908" customFormat="false" ht="15" hidden="false" customHeight="true" outlineLevel="0" collapsed="false">
      <c r="H1908" s="1" t="s">
        <v>85</v>
      </c>
      <c r="I1908" s="1" t="s">
        <v>34</v>
      </c>
      <c r="J1908" s="1" t="n">
        <f aca="false">K1907</f>
        <v>23522</v>
      </c>
      <c r="K1908" s="1" t="n">
        <f aca="false">J1908+L1908</f>
        <v>23566</v>
      </c>
      <c r="L1908" s="1" t="n">
        <v>44</v>
      </c>
      <c r="M1908" s="1" t="n">
        <f aca="false">(E1908+M1907)-N1908</f>
        <v>26.2499999999998</v>
      </c>
      <c r="N1908" s="1" t="n">
        <v>5</v>
      </c>
    </row>
    <row r="1909" customFormat="false" ht="15" hidden="false" customHeight="true" outlineLevel="0" collapsed="false">
      <c r="D1909" s="11" t="n">
        <v>45654</v>
      </c>
      <c r="H1909" s="1" t="s">
        <v>34</v>
      </c>
      <c r="I1909" s="1" t="s">
        <v>85</v>
      </c>
      <c r="J1909" s="1" t="n">
        <f aca="false">K1908</f>
        <v>23566</v>
      </c>
      <c r="K1909" s="1" t="n">
        <f aca="false">J1909+L1909</f>
        <v>23610</v>
      </c>
      <c r="L1909" s="1" t="n">
        <v>44</v>
      </c>
      <c r="M1909" s="1" t="n">
        <f aca="false">(E1909+M1908)-N1909</f>
        <v>21.2499999999998</v>
      </c>
      <c r="N1909" s="1" t="n">
        <v>5</v>
      </c>
    </row>
    <row r="1910" customFormat="false" ht="15" hidden="false" customHeight="true" outlineLevel="0" collapsed="false">
      <c r="H1910" s="1" t="s">
        <v>85</v>
      </c>
      <c r="I1910" s="1" t="s">
        <v>34</v>
      </c>
      <c r="J1910" s="1" t="n">
        <f aca="false">K1909</f>
        <v>23610</v>
      </c>
      <c r="K1910" s="1" t="n">
        <f aca="false">J1910+L1910</f>
        <v>23654</v>
      </c>
      <c r="L1910" s="1" t="n">
        <v>44</v>
      </c>
      <c r="M1910" s="1" t="n">
        <f aca="false">(E1910+M1909)-N1910</f>
        <v>16.2499999999998</v>
      </c>
      <c r="N1910" s="1" t="n">
        <v>5</v>
      </c>
    </row>
    <row r="1912" customFormat="false" ht="15" hidden="false" customHeight="true" outlineLevel="0" collapsed="false">
      <c r="D1912" s="4" t="s">
        <v>89</v>
      </c>
      <c r="E1912" s="4"/>
      <c r="F1912" s="4"/>
      <c r="G1912" s="4"/>
    </row>
    <row r="1914" customFormat="false" ht="15" hidden="false" customHeight="true" outlineLevel="0" collapsed="false">
      <c r="D1914" s="11" t="n">
        <v>45666</v>
      </c>
      <c r="H1914" s="1" t="s">
        <v>34</v>
      </c>
      <c r="I1914" s="1" t="s">
        <v>54</v>
      </c>
      <c r="J1914" s="1" t="n">
        <f aca="false">K1910</f>
        <v>23654</v>
      </c>
      <c r="K1914" s="1" t="n">
        <f aca="false">J1914+L1914</f>
        <v>23681</v>
      </c>
      <c r="L1914" s="1" t="n">
        <v>27</v>
      </c>
      <c r="M1914" s="1" t="n">
        <f aca="false">(E1914+M1910)-N1914</f>
        <v>13.0499999999998</v>
      </c>
      <c r="N1914" s="1" t="n">
        <v>3.2</v>
      </c>
    </row>
    <row r="1915" customFormat="false" ht="15" hidden="false" customHeight="true" outlineLevel="0" collapsed="false">
      <c r="H1915" s="1" t="s">
        <v>54</v>
      </c>
      <c r="I1915" s="1" t="s">
        <v>34</v>
      </c>
      <c r="J1915" s="1" t="n">
        <f aca="false">K1914</f>
        <v>23681</v>
      </c>
      <c r="K1915" s="1" t="n">
        <f aca="false">J1915+L1915</f>
        <v>23708</v>
      </c>
      <c r="L1915" s="1" t="n">
        <v>27</v>
      </c>
      <c r="M1915" s="1" t="n">
        <f aca="false">(E1915+M1914)-N1915</f>
        <v>9.84999999999983</v>
      </c>
      <c r="N1915" s="1" t="n">
        <v>3.2</v>
      </c>
    </row>
    <row r="1916" customFormat="false" ht="15" hidden="false" customHeight="true" outlineLevel="0" collapsed="false">
      <c r="D1916" s="11" t="n">
        <v>45667</v>
      </c>
      <c r="H1916" s="1" t="s">
        <v>34</v>
      </c>
      <c r="I1916" s="1" t="s">
        <v>54</v>
      </c>
      <c r="J1916" s="1" t="n">
        <f aca="false">K1915</f>
        <v>23708</v>
      </c>
      <c r="K1916" s="1" t="n">
        <f aca="false">J1916+L1916</f>
        <v>23735</v>
      </c>
      <c r="L1916" s="1" t="n">
        <v>27</v>
      </c>
      <c r="M1916" s="1" t="n">
        <f aca="false">(E1916+M1915)-N1916</f>
        <v>6.64999999999983</v>
      </c>
      <c r="N1916" s="1" t="n">
        <v>3.2</v>
      </c>
    </row>
    <row r="1917" customFormat="false" ht="15" hidden="false" customHeight="true" outlineLevel="0" collapsed="false">
      <c r="H1917" s="1" t="s">
        <v>54</v>
      </c>
      <c r="I1917" s="1" t="s">
        <v>34</v>
      </c>
      <c r="J1917" s="1" t="n">
        <f aca="false">K1916</f>
        <v>23735</v>
      </c>
      <c r="K1917" s="1" t="n">
        <f aca="false">J1917+L1917</f>
        <v>23762</v>
      </c>
      <c r="L1917" s="1" t="n">
        <v>27</v>
      </c>
      <c r="M1917" s="1" t="n">
        <f aca="false">(E1917+M1916)-N1917</f>
        <v>3.44999999999983</v>
      </c>
      <c r="N1917" s="1" t="n">
        <v>3.2</v>
      </c>
    </row>
    <row r="1918" customFormat="false" ht="15" hidden="false" customHeight="true" outlineLevel="0" collapsed="false">
      <c r="D1918" s="11" t="n">
        <v>45670</v>
      </c>
      <c r="E1918" s="15" t="s">
        <v>50</v>
      </c>
    </row>
    <row r="1919" customFormat="false" ht="15" hidden="false" customHeight="true" outlineLevel="0" collapsed="false">
      <c r="D1919" s="11" t="n">
        <v>45671</v>
      </c>
      <c r="E1919" s="15" t="s">
        <v>50</v>
      </c>
    </row>
    <row r="1920" customFormat="false" ht="15" hidden="false" customHeight="true" outlineLevel="0" collapsed="false">
      <c r="D1920" s="11" t="n">
        <v>45672</v>
      </c>
      <c r="E1920" s="15" t="s">
        <v>50</v>
      </c>
    </row>
    <row r="1921" customFormat="false" ht="15" hidden="false" customHeight="true" outlineLevel="0" collapsed="false">
      <c r="D1921" s="11" t="n">
        <v>45673</v>
      </c>
      <c r="E1921" s="15" t="s">
        <v>50</v>
      </c>
    </row>
    <row r="1922" customFormat="false" ht="15" hidden="false" customHeight="true" outlineLevel="0" collapsed="false">
      <c r="D1922" s="11" t="n">
        <v>45674</v>
      </c>
      <c r="E1922" s="15" t="s">
        <v>50</v>
      </c>
    </row>
    <row r="1923" customFormat="false" ht="15" hidden="false" customHeight="true" outlineLevel="0" collapsed="false">
      <c r="D1923" s="11" t="n">
        <v>45677</v>
      </c>
      <c r="E1923" s="15" t="s">
        <v>50</v>
      </c>
    </row>
    <row r="1924" customFormat="false" ht="15" hidden="false" customHeight="true" outlineLevel="0" collapsed="false">
      <c r="D1924" s="11" t="n">
        <v>45678</v>
      </c>
      <c r="E1924" s="15" t="s">
        <v>50</v>
      </c>
    </row>
    <row r="1925" customFormat="false" ht="15" hidden="false" customHeight="true" outlineLevel="0" collapsed="false">
      <c r="D1925" s="11" t="n">
        <v>45679</v>
      </c>
      <c r="E1925" s="15" t="s">
        <v>50</v>
      </c>
    </row>
    <row r="1926" customFormat="false" ht="15" hidden="false" customHeight="true" outlineLevel="0" collapsed="false">
      <c r="D1926" s="11" t="n">
        <v>45680</v>
      </c>
      <c r="E1926" s="15" t="s">
        <v>50</v>
      </c>
    </row>
    <row r="1927" customFormat="false" ht="15" hidden="false" customHeight="true" outlineLevel="0" collapsed="false">
      <c r="D1927" s="11" t="n">
        <v>45681</v>
      </c>
      <c r="E1927" s="15" t="s">
        <v>50</v>
      </c>
    </row>
    <row r="1928" customFormat="false" ht="15" hidden="false" customHeight="true" outlineLevel="0" collapsed="false">
      <c r="D1928" s="11" t="n">
        <v>45684</v>
      </c>
      <c r="E1928" s="15" t="s">
        <v>50</v>
      </c>
    </row>
    <row r="1929" customFormat="false" ht="15" hidden="false" customHeight="true" outlineLevel="0" collapsed="false">
      <c r="D1929" s="11" t="n">
        <v>45685</v>
      </c>
      <c r="H1929" s="1" t="s">
        <v>34</v>
      </c>
      <c r="I1929" s="1" t="s">
        <v>35</v>
      </c>
      <c r="J1929" s="1" t="n">
        <f aca="false">K1917</f>
        <v>23762</v>
      </c>
      <c r="K1929" s="1" t="n">
        <f aca="false">J1929+L1929</f>
        <v>23774</v>
      </c>
      <c r="L1929" s="1" t="n">
        <v>12</v>
      </c>
      <c r="M1929" s="1" t="n">
        <f aca="false">(E1929+M1917)-N1929</f>
        <v>2.19999999999983</v>
      </c>
      <c r="N1929" s="1" t="n">
        <v>1.25</v>
      </c>
    </row>
    <row r="1930" customFormat="false" ht="15" hidden="false" customHeight="true" outlineLevel="0" collapsed="false">
      <c r="D1930" s="11"/>
      <c r="H1930" s="1" t="s">
        <v>35</v>
      </c>
      <c r="I1930" s="1" t="s">
        <v>34</v>
      </c>
      <c r="J1930" s="1" t="n">
        <f aca="false">K1929</f>
        <v>23774</v>
      </c>
      <c r="K1930" s="1" t="n">
        <f aca="false">J1930+L1930</f>
        <v>23786</v>
      </c>
      <c r="L1930" s="1" t="n">
        <v>12</v>
      </c>
      <c r="M1930" s="1" t="n">
        <f aca="false">(E1930+M1929)-N1930</f>
        <v>0.949999999999831</v>
      </c>
      <c r="N1930" s="1" t="n">
        <v>1.25</v>
      </c>
    </row>
    <row r="1931" customFormat="false" ht="15" hidden="false" customHeight="true" outlineLevel="0" collapsed="false">
      <c r="D1931" s="11" t="n">
        <v>45686</v>
      </c>
      <c r="E1931" s="0" t="n">
        <v>41.29</v>
      </c>
      <c r="F1931" s="1" t="n">
        <v>61.44</v>
      </c>
      <c r="G1931" s="6" t="n">
        <f aca="false">E1931*F1931</f>
        <v>2536.8576</v>
      </c>
      <c r="H1931" s="1" t="s">
        <v>34</v>
      </c>
      <c r="I1931" s="1" t="s">
        <v>54</v>
      </c>
      <c r="J1931" s="1" t="n">
        <f aca="false">K1930</f>
        <v>23786</v>
      </c>
      <c r="K1931" s="1" t="n">
        <f aca="false">J1931+L1931</f>
        <v>23813</v>
      </c>
      <c r="L1931" s="1" t="n">
        <v>27</v>
      </c>
      <c r="M1931" s="1" t="n">
        <f aca="false">(E1931+M1930)-N1931</f>
        <v>39.0399999999998</v>
      </c>
      <c r="N1931" s="1" t="n">
        <v>3.2</v>
      </c>
    </row>
    <row r="1932" customFormat="false" ht="15" hidden="false" customHeight="true" outlineLevel="0" collapsed="false">
      <c r="D1932" s="11"/>
      <c r="H1932" s="1" t="s">
        <v>54</v>
      </c>
      <c r="I1932" s="1" t="s">
        <v>34</v>
      </c>
      <c r="J1932" s="1" t="n">
        <f aca="false">K1931</f>
        <v>23813</v>
      </c>
      <c r="K1932" s="1" t="n">
        <f aca="false">J1932+L1932</f>
        <v>23840</v>
      </c>
      <c r="L1932" s="1" t="n">
        <v>27</v>
      </c>
      <c r="M1932" s="1" t="n">
        <f aca="false">(E1932+M1931)-N1932</f>
        <v>35.8399999999998</v>
      </c>
      <c r="N1932" s="1" t="n">
        <v>3.2</v>
      </c>
    </row>
    <row r="1933" customFormat="false" ht="15" hidden="false" customHeight="true" outlineLevel="0" collapsed="false">
      <c r="D1933" s="11" t="n">
        <v>45687</v>
      </c>
      <c r="H1933" s="1" t="s">
        <v>34</v>
      </c>
      <c r="I1933" s="1" t="s">
        <v>85</v>
      </c>
      <c r="J1933" s="1" t="n">
        <f aca="false">K1932</f>
        <v>23840</v>
      </c>
      <c r="K1933" s="1" t="n">
        <f aca="false">J1933+L1933</f>
        <v>23884</v>
      </c>
      <c r="L1933" s="1" t="n">
        <v>44</v>
      </c>
      <c r="M1933" s="1" t="n">
        <f aca="false">(E1933+M1932)-N1933</f>
        <v>30.8399999999998</v>
      </c>
      <c r="N1933" s="1" t="n">
        <v>5</v>
      </c>
    </row>
    <row r="1934" customFormat="false" ht="15" hidden="false" customHeight="true" outlineLevel="0" collapsed="false">
      <c r="D1934" s="11"/>
      <c r="H1934" s="1" t="s">
        <v>85</v>
      </c>
      <c r="I1934" s="1" t="s">
        <v>34</v>
      </c>
      <c r="J1934" s="1" t="n">
        <f aca="false">K1933</f>
        <v>23884</v>
      </c>
      <c r="K1934" s="1" t="n">
        <f aca="false">J1934+L1934</f>
        <v>23928</v>
      </c>
      <c r="L1934" s="1" t="n">
        <v>44</v>
      </c>
      <c r="M1934" s="1" t="n">
        <f aca="false">(E1934+M1933)-N1934</f>
        <v>25.8399999999998</v>
      </c>
      <c r="N1934" s="1" t="n">
        <v>5</v>
      </c>
    </row>
    <row r="1935" customFormat="false" ht="15" hidden="false" customHeight="true" outlineLevel="0" collapsed="false">
      <c r="D1935" s="11" t="n">
        <v>45688</v>
      </c>
      <c r="H1935" s="1" t="s">
        <v>34</v>
      </c>
      <c r="I1935" s="1" t="s">
        <v>49</v>
      </c>
      <c r="J1935" s="1" t="n">
        <f aca="false">K1934</f>
        <v>23928</v>
      </c>
      <c r="K1935" s="1" t="n">
        <f aca="false">J1935+L1935</f>
        <v>23955</v>
      </c>
      <c r="L1935" s="1" t="n">
        <v>27</v>
      </c>
      <c r="M1935" s="1" t="n">
        <f aca="false">(E1935+M1934)-N1935</f>
        <v>22.6399999999998</v>
      </c>
      <c r="N1935" s="1" t="n">
        <v>3.2</v>
      </c>
    </row>
    <row r="1936" customFormat="false" ht="15" hidden="false" customHeight="true" outlineLevel="0" collapsed="false">
      <c r="H1936" s="1" t="s">
        <v>49</v>
      </c>
      <c r="I1936" s="1" t="s">
        <v>34</v>
      </c>
      <c r="J1936" s="1" t="n">
        <f aca="false">K1935</f>
        <v>23955</v>
      </c>
      <c r="K1936" s="1" t="n">
        <f aca="false">J1936+L1936</f>
        <v>23982</v>
      </c>
      <c r="L1936" s="1" t="n">
        <v>27</v>
      </c>
      <c r="M1936" s="1" t="n">
        <f aca="false">(E1936+M1935)-N1936</f>
        <v>19.4399999999998</v>
      </c>
      <c r="N1936" s="1" t="n">
        <v>3.2</v>
      </c>
    </row>
    <row r="1938" customFormat="false" ht="15" hidden="false" customHeight="true" outlineLevel="0" collapsed="false">
      <c r="D1938" s="4" t="s">
        <v>90</v>
      </c>
      <c r="E1938" s="4"/>
      <c r="F1938" s="4"/>
      <c r="G1938" s="4"/>
    </row>
    <row r="1940" customFormat="false" ht="15" hidden="false" customHeight="true" outlineLevel="0" collapsed="false">
      <c r="D1940" s="11" t="n">
        <v>45691</v>
      </c>
      <c r="H1940" s="1" t="s">
        <v>34</v>
      </c>
      <c r="I1940" s="1" t="s">
        <v>49</v>
      </c>
      <c r="J1940" s="1" t="n">
        <f aca="false">K1936</f>
        <v>23982</v>
      </c>
      <c r="K1940" s="1" t="n">
        <f aca="false">J1940+L1940</f>
        <v>24009</v>
      </c>
      <c r="L1940" s="1" t="n">
        <v>27</v>
      </c>
      <c r="M1940" s="1" t="n">
        <f aca="false">(E1940+M1936)-N1940</f>
        <v>16.2399999999998</v>
      </c>
      <c r="N1940" s="1" t="n">
        <v>3.2</v>
      </c>
    </row>
    <row r="1941" customFormat="false" ht="15" hidden="false" customHeight="true" outlineLevel="0" collapsed="false">
      <c r="D1941" s="11"/>
      <c r="H1941" s="1" t="s">
        <v>49</v>
      </c>
      <c r="I1941" s="1" t="s">
        <v>34</v>
      </c>
      <c r="J1941" s="1" t="n">
        <f aca="false">K1940</f>
        <v>24009</v>
      </c>
      <c r="K1941" s="1" t="n">
        <f aca="false">J1941+L1941</f>
        <v>24036</v>
      </c>
      <c r="L1941" s="1" t="n">
        <v>27</v>
      </c>
      <c r="M1941" s="1" t="n">
        <f aca="false">(E1941+M1940)-N1941</f>
        <v>13.0399999999998</v>
      </c>
      <c r="N1941" s="1" t="n">
        <v>3.2</v>
      </c>
    </row>
    <row r="1942" customFormat="false" ht="15" hidden="false" customHeight="true" outlineLevel="0" collapsed="false">
      <c r="D1942" s="11" t="n">
        <v>45692</v>
      </c>
      <c r="H1942" s="1" t="s">
        <v>34</v>
      </c>
      <c r="I1942" s="1" t="s">
        <v>35</v>
      </c>
      <c r="J1942" s="1" t="n">
        <f aca="false">K1941</f>
        <v>24036</v>
      </c>
      <c r="K1942" s="1" t="n">
        <f aca="false">J1942+L1942</f>
        <v>24048</v>
      </c>
      <c r="L1942" s="1" t="n">
        <v>12</v>
      </c>
      <c r="M1942" s="1" t="n">
        <f aca="false">(E1942+M1941)-N1942</f>
        <v>11.7899999999998</v>
      </c>
      <c r="N1942" s="1" t="n">
        <v>1.25</v>
      </c>
    </row>
    <row r="1943" customFormat="false" ht="15" hidden="false" customHeight="true" outlineLevel="0" collapsed="false">
      <c r="D1943" s="11"/>
      <c r="H1943" s="1" t="s">
        <v>35</v>
      </c>
      <c r="I1943" s="1" t="s">
        <v>34</v>
      </c>
      <c r="J1943" s="1" t="n">
        <f aca="false">K1942</f>
        <v>24048</v>
      </c>
      <c r="K1943" s="1" t="n">
        <f aca="false">J1943+L1943</f>
        <v>24060</v>
      </c>
      <c r="L1943" s="1" t="n">
        <v>12</v>
      </c>
      <c r="M1943" s="1" t="n">
        <f aca="false">(E1943+M1942)-N1943</f>
        <v>10.5399999999998</v>
      </c>
      <c r="N1943" s="1" t="n">
        <v>1.25</v>
      </c>
    </row>
    <row r="1944" customFormat="false" ht="15" hidden="false" customHeight="true" outlineLevel="0" collapsed="false">
      <c r="D1944" s="11" t="n">
        <v>45693</v>
      </c>
      <c r="H1944" s="1" t="s">
        <v>34</v>
      </c>
      <c r="I1944" s="1" t="s">
        <v>54</v>
      </c>
      <c r="J1944" s="1" t="n">
        <f aca="false">K1943</f>
        <v>24060</v>
      </c>
      <c r="K1944" s="1" t="n">
        <f aca="false">J1944+L1944</f>
        <v>24087</v>
      </c>
      <c r="L1944" s="1" t="n">
        <v>27</v>
      </c>
      <c r="M1944" s="1" t="n">
        <f aca="false">(E1944+M1943)-N1944</f>
        <v>7.33999999999983</v>
      </c>
      <c r="N1944" s="1" t="n">
        <v>3.2</v>
      </c>
    </row>
    <row r="1945" customFormat="false" ht="15" hidden="false" customHeight="true" outlineLevel="0" collapsed="false">
      <c r="D1945" s="11"/>
      <c r="H1945" s="1" t="s">
        <v>54</v>
      </c>
      <c r="I1945" s="1" t="s">
        <v>34</v>
      </c>
      <c r="J1945" s="1" t="n">
        <f aca="false">K1944</f>
        <v>24087</v>
      </c>
      <c r="K1945" s="1" t="n">
        <f aca="false">J1945+L1945</f>
        <v>24114</v>
      </c>
      <c r="L1945" s="1" t="n">
        <v>27</v>
      </c>
      <c r="M1945" s="1" t="n">
        <f aca="false">(E1945+M1944)-N1945</f>
        <v>4.13999999999983</v>
      </c>
      <c r="N1945" s="1" t="n">
        <v>3.2</v>
      </c>
    </row>
    <row r="1946" customFormat="false" ht="15" hidden="false" customHeight="true" outlineLevel="0" collapsed="false">
      <c r="D1946" s="11" t="n">
        <v>45694</v>
      </c>
      <c r="E1946" s="0" t="n">
        <v>42.24</v>
      </c>
      <c r="F1946" s="1" t="n">
        <v>61.44</v>
      </c>
      <c r="G1946" s="6" t="n">
        <f aca="false">E1946*F1946</f>
        <v>2595.2256</v>
      </c>
      <c r="H1946" s="1" t="s">
        <v>34</v>
      </c>
      <c r="I1946" s="1" t="s">
        <v>85</v>
      </c>
      <c r="J1946" s="1" t="n">
        <f aca="false">K1945</f>
        <v>24114</v>
      </c>
      <c r="K1946" s="1" t="n">
        <f aca="false">J1946+L1946</f>
        <v>24158</v>
      </c>
      <c r="L1946" s="1" t="n">
        <v>44</v>
      </c>
      <c r="M1946" s="1" t="n">
        <f aca="false">(E1946+M1945)-N1946</f>
        <v>41.3799999999998</v>
      </c>
      <c r="N1946" s="1" t="n">
        <v>5</v>
      </c>
    </row>
    <row r="1947" customFormat="false" ht="15" hidden="false" customHeight="true" outlineLevel="0" collapsed="false">
      <c r="D1947" s="11"/>
      <c r="H1947" s="1" t="s">
        <v>85</v>
      </c>
      <c r="I1947" s="1" t="s">
        <v>34</v>
      </c>
      <c r="J1947" s="1" t="n">
        <f aca="false">K1946</f>
        <v>24158</v>
      </c>
      <c r="K1947" s="1" t="n">
        <f aca="false">J1947+L1947</f>
        <v>24202</v>
      </c>
      <c r="L1947" s="1" t="n">
        <v>44</v>
      </c>
      <c r="M1947" s="1" t="n">
        <f aca="false">(E1947+M1946)-N1947</f>
        <v>36.3799999999998</v>
      </c>
      <c r="N1947" s="1" t="n">
        <v>5</v>
      </c>
    </row>
    <row r="1948" customFormat="false" ht="15" hidden="false" customHeight="true" outlineLevel="0" collapsed="false">
      <c r="D1948" s="11" t="n">
        <v>45695</v>
      </c>
      <c r="H1948" s="1" t="s">
        <v>34</v>
      </c>
      <c r="I1948" s="1" t="s">
        <v>54</v>
      </c>
      <c r="J1948" s="1" t="n">
        <f aca="false">K1947</f>
        <v>24202</v>
      </c>
      <c r="K1948" s="1" t="n">
        <f aca="false">J1948+L1948</f>
        <v>24229</v>
      </c>
      <c r="L1948" s="1" t="n">
        <v>27</v>
      </c>
      <c r="M1948" s="1" t="n">
        <f aca="false">(E1948+M1947)-N1948</f>
        <v>33.1799999999998</v>
      </c>
      <c r="N1948" s="1" t="n">
        <v>3.2</v>
      </c>
    </row>
    <row r="1949" customFormat="false" ht="15" hidden="false" customHeight="true" outlineLevel="0" collapsed="false">
      <c r="D1949" s="11"/>
      <c r="H1949" s="1" t="s">
        <v>54</v>
      </c>
      <c r="I1949" s="1" t="s">
        <v>34</v>
      </c>
      <c r="J1949" s="1" t="n">
        <f aca="false">K1948</f>
        <v>24229</v>
      </c>
      <c r="K1949" s="1" t="n">
        <f aca="false">J1949+L1949</f>
        <v>24256</v>
      </c>
      <c r="L1949" s="1" t="n">
        <v>27</v>
      </c>
      <c r="M1949" s="1" t="n">
        <f aca="false">(E1949+M1948)-N1949</f>
        <v>29.9799999999998</v>
      </c>
      <c r="N1949" s="1" t="n">
        <v>3.2</v>
      </c>
    </row>
    <row r="1950" customFormat="false" ht="15" hidden="false" customHeight="true" outlineLevel="0" collapsed="false">
      <c r="D1950" s="11" t="n">
        <v>45698</v>
      </c>
      <c r="H1950" s="1" t="s">
        <v>34</v>
      </c>
      <c r="I1950" s="1" t="s">
        <v>44</v>
      </c>
      <c r="J1950" s="1" t="n">
        <f aca="false">K1949</f>
        <v>24256</v>
      </c>
      <c r="K1950" s="1" t="n">
        <f aca="false">J1950+L1950</f>
        <v>24296</v>
      </c>
      <c r="L1950" s="1" t="n">
        <v>40</v>
      </c>
      <c r="M1950" s="1" t="n">
        <f aca="false">(E1950+M1949)-N1950</f>
        <v>25.1799999999998</v>
      </c>
      <c r="N1950" s="1" t="n">
        <v>4.8</v>
      </c>
    </row>
    <row r="1951" customFormat="false" ht="15" hidden="false" customHeight="true" outlineLevel="0" collapsed="false">
      <c r="D1951" s="11"/>
      <c r="H1951" s="1" t="s">
        <v>44</v>
      </c>
      <c r="I1951" s="1" t="s">
        <v>34</v>
      </c>
      <c r="J1951" s="1" t="n">
        <f aca="false">K1950</f>
        <v>24296</v>
      </c>
      <c r="K1951" s="1" t="n">
        <f aca="false">J1951+L1951</f>
        <v>24336</v>
      </c>
      <c r="L1951" s="1" t="n">
        <v>40</v>
      </c>
      <c r="M1951" s="1" t="n">
        <f aca="false">(E1951+M1950)-N1951</f>
        <v>20.3799999999998</v>
      </c>
      <c r="N1951" s="1" t="n">
        <v>4.8</v>
      </c>
    </row>
    <row r="1952" customFormat="false" ht="15" hidden="false" customHeight="true" outlineLevel="0" collapsed="false">
      <c r="D1952" s="11" t="n">
        <v>45699</v>
      </c>
      <c r="H1952" s="1" t="s">
        <v>34</v>
      </c>
      <c r="I1952" s="1" t="s">
        <v>49</v>
      </c>
      <c r="J1952" s="1" t="n">
        <f aca="false">K1951</f>
        <v>24336</v>
      </c>
      <c r="K1952" s="1" t="n">
        <f aca="false">J1952+L1952</f>
        <v>24363</v>
      </c>
      <c r="L1952" s="1" t="n">
        <v>27</v>
      </c>
      <c r="M1952" s="1" t="n">
        <f aca="false">(E1952+M1951)-N1952</f>
        <v>17.1799999999998</v>
      </c>
      <c r="N1952" s="1" t="n">
        <v>3.2</v>
      </c>
    </row>
    <row r="1953" customFormat="false" ht="15" hidden="false" customHeight="true" outlineLevel="0" collapsed="false">
      <c r="D1953" s="11"/>
      <c r="H1953" s="1" t="s">
        <v>49</v>
      </c>
      <c r="I1953" s="1" t="s">
        <v>34</v>
      </c>
      <c r="J1953" s="1" t="n">
        <f aca="false">K1952</f>
        <v>24363</v>
      </c>
      <c r="K1953" s="1" t="n">
        <f aca="false">J1953+L1953</f>
        <v>24390</v>
      </c>
      <c r="L1953" s="1" t="n">
        <v>27</v>
      </c>
      <c r="M1953" s="1" t="n">
        <f aca="false">(E1953+M1952)-N1953</f>
        <v>13.9799999999998</v>
      </c>
      <c r="N1953" s="1" t="n">
        <v>3.2</v>
      </c>
    </row>
    <row r="1954" customFormat="false" ht="15" hidden="false" customHeight="true" outlineLevel="0" collapsed="false">
      <c r="D1954" s="11" t="n">
        <v>45700</v>
      </c>
      <c r="E1954" s="0" t="n">
        <v>45.2</v>
      </c>
      <c r="F1954" s="1" t="n">
        <v>61.44</v>
      </c>
      <c r="G1954" s="6" t="n">
        <f aca="false">E1954*F1954</f>
        <v>2777.088</v>
      </c>
      <c r="H1954" s="1" t="s">
        <v>34</v>
      </c>
      <c r="I1954" s="1" t="s">
        <v>85</v>
      </c>
      <c r="J1954" s="1" t="n">
        <f aca="false">K1953</f>
        <v>24390</v>
      </c>
      <c r="K1954" s="1" t="n">
        <f aca="false">J1954+L1954</f>
        <v>24434</v>
      </c>
      <c r="L1954" s="1" t="n">
        <v>44</v>
      </c>
      <c r="M1954" s="1" t="n">
        <f aca="false">(E1954+M1953)-N1954</f>
        <v>54.1799999999998</v>
      </c>
      <c r="N1954" s="1" t="n">
        <v>5</v>
      </c>
    </row>
    <row r="1955" customFormat="false" ht="15" hidden="false" customHeight="true" outlineLevel="0" collapsed="false">
      <c r="D1955" s="11"/>
      <c r="H1955" s="1" t="s">
        <v>85</v>
      </c>
      <c r="I1955" s="1" t="s">
        <v>34</v>
      </c>
      <c r="J1955" s="1" t="n">
        <f aca="false">K1954</f>
        <v>24434</v>
      </c>
      <c r="K1955" s="1" t="n">
        <f aca="false">J1955+L1955</f>
        <v>24478</v>
      </c>
      <c r="L1955" s="1" t="n">
        <v>44</v>
      </c>
      <c r="M1955" s="1" t="n">
        <f aca="false">(E1955+M1954)-N1955</f>
        <v>49.1799999999998</v>
      </c>
      <c r="N1955" s="1" t="n">
        <v>5</v>
      </c>
    </row>
    <row r="1956" customFormat="false" ht="15" hidden="false" customHeight="true" outlineLevel="0" collapsed="false">
      <c r="D1956" s="11" t="n">
        <v>45701</v>
      </c>
      <c r="H1956" s="1" t="s">
        <v>34</v>
      </c>
      <c r="I1956" s="1" t="s">
        <v>35</v>
      </c>
      <c r="J1956" s="1" t="n">
        <f aca="false">K1955</f>
        <v>24478</v>
      </c>
      <c r="K1956" s="1" t="n">
        <f aca="false">J1956+L1956</f>
        <v>24490</v>
      </c>
      <c r="L1956" s="1" t="n">
        <v>12</v>
      </c>
      <c r="M1956" s="1" t="n">
        <f aca="false">(E1956+M1955)-N1956</f>
        <v>47.9299999999998</v>
      </c>
      <c r="N1956" s="1" t="n">
        <v>1.25</v>
      </c>
    </row>
    <row r="1957" customFormat="false" ht="15" hidden="false" customHeight="true" outlineLevel="0" collapsed="false">
      <c r="D1957" s="11"/>
      <c r="H1957" s="1" t="s">
        <v>35</v>
      </c>
      <c r="I1957" s="1" t="s">
        <v>34</v>
      </c>
      <c r="J1957" s="1" t="n">
        <f aca="false">K1956</f>
        <v>24490</v>
      </c>
      <c r="K1957" s="1" t="n">
        <f aca="false">J1957+L1957</f>
        <v>24502</v>
      </c>
      <c r="L1957" s="1" t="n">
        <v>12</v>
      </c>
      <c r="M1957" s="1" t="n">
        <f aca="false">(E1957+M1956)-N1957</f>
        <v>46.6799999999998</v>
      </c>
      <c r="N1957" s="1" t="n">
        <v>1.25</v>
      </c>
    </row>
    <row r="1958" customFormat="false" ht="15" hidden="false" customHeight="true" outlineLevel="0" collapsed="false">
      <c r="D1958" s="11" t="n">
        <v>45702</v>
      </c>
      <c r="H1958" s="1" t="s">
        <v>34</v>
      </c>
      <c r="I1958" s="1" t="s">
        <v>54</v>
      </c>
      <c r="J1958" s="1" t="n">
        <f aca="false">K1957</f>
        <v>24502</v>
      </c>
      <c r="K1958" s="1" t="n">
        <f aca="false">J1958+L1958</f>
        <v>24529</v>
      </c>
      <c r="L1958" s="1" t="n">
        <v>27</v>
      </c>
      <c r="M1958" s="1" t="n">
        <f aca="false">(E1958+M1957)-N1958</f>
        <v>43.4799999999998</v>
      </c>
      <c r="N1958" s="1" t="n">
        <v>3.2</v>
      </c>
    </row>
    <row r="1959" customFormat="false" ht="15" hidden="false" customHeight="true" outlineLevel="0" collapsed="false">
      <c r="D1959" s="11"/>
      <c r="H1959" s="1" t="s">
        <v>54</v>
      </c>
      <c r="I1959" s="1" t="s">
        <v>34</v>
      </c>
      <c r="J1959" s="1" t="n">
        <f aca="false">K1958</f>
        <v>24529</v>
      </c>
      <c r="K1959" s="1" t="n">
        <f aca="false">J1959+L1959</f>
        <v>24556</v>
      </c>
      <c r="L1959" s="1" t="n">
        <v>27</v>
      </c>
      <c r="M1959" s="1" t="n">
        <f aca="false">(E1959+M1958)-N1959</f>
        <v>40.2799999999998</v>
      </c>
      <c r="N1959" s="1" t="n">
        <v>3.2</v>
      </c>
    </row>
    <row r="1960" customFormat="false" ht="15" hidden="false" customHeight="true" outlineLevel="0" collapsed="false">
      <c r="D1960" s="11" t="n">
        <v>45705</v>
      </c>
      <c r="H1960" s="1" t="s">
        <v>34</v>
      </c>
      <c r="I1960" s="1" t="s">
        <v>54</v>
      </c>
      <c r="J1960" s="1" t="n">
        <f aca="false">K1959</f>
        <v>24556</v>
      </c>
      <c r="K1960" s="1" t="n">
        <f aca="false">J1960+L1960</f>
        <v>24583</v>
      </c>
      <c r="L1960" s="1" t="n">
        <v>27</v>
      </c>
      <c r="M1960" s="1" t="n">
        <f aca="false">(E1960+M1959)-N1960</f>
        <v>37.0799999999998</v>
      </c>
      <c r="N1960" s="1" t="n">
        <v>3.2</v>
      </c>
    </row>
    <row r="1961" customFormat="false" ht="15" hidden="false" customHeight="true" outlineLevel="0" collapsed="false">
      <c r="D1961" s="11"/>
      <c r="H1961" s="1" t="s">
        <v>54</v>
      </c>
      <c r="I1961" s="1" t="s">
        <v>34</v>
      </c>
      <c r="J1961" s="1" t="n">
        <f aca="false">K1960</f>
        <v>24583</v>
      </c>
      <c r="K1961" s="1" t="n">
        <f aca="false">J1961+L1961</f>
        <v>24610</v>
      </c>
      <c r="L1961" s="1" t="n">
        <v>27</v>
      </c>
      <c r="M1961" s="1" t="n">
        <f aca="false">(E1961+M1960)-N1961</f>
        <v>33.8799999999998</v>
      </c>
      <c r="N1961" s="1" t="n">
        <v>3.2</v>
      </c>
    </row>
    <row r="1962" customFormat="false" ht="15" hidden="false" customHeight="true" outlineLevel="0" collapsed="false">
      <c r="D1962" s="11" t="n">
        <v>45706</v>
      </c>
      <c r="H1962" s="1" t="s">
        <v>34</v>
      </c>
      <c r="I1962" s="1" t="s">
        <v>81</v>
      </c>
      <c r="J1962" s="1" t="n">
        <f aca="false">K1961</f>
        <v>24610</v>
      </c>
      <c r="K1962" s="1" t="n">
        <f aca="false">J1962+L1962</f>
        <v>24634</v>
      </c>
      <c r="L1962" s="1" t="n">
        <v>24</v>
      </c>
      <c r="M1962" s="1" t="n">
        <f aca="false">(E1962+M1961)-N1962</f>
        <v>31.3799999999998</v>
      </c>
      <c r="N1962" s="1" t="n">
        <v>2.5</v>
      </c>
    </row>
    <row r="1963" customFormat="false" ht="15" hidden="false" customHeight="true" outlineLevel="0" collapsed="false">
      <c r="D1963" s="11"/>
      <c r="H1963" s="1" t="s">
        <v>81</v>
      </c>
      <c r="I1963" s="1" t="s">
        <v>34</v>
      </c>
      <c r="J1963" s="1" t="n">
        <f aca="false">K1962</f>
        <v>24634</v>
      </c>
      <c r="K1963" s="1" t="n">
        <f aca="false">J1963+L1963</f>
        <v>24658</v>
      </c>
      <c r="L1963" s="1" t="n">
        <v>24</v>
      </c>
      <c r="M1963" s="1" t="n">
        <f aca="false">(E1963+M1962)-N1963</f>
        <v>28.8799999999998</v>
      </c>
      <c r="N1963" s="1" t="n">
        <v>2.5</v>
      </c>
    </row>
    <row r="1964" customFormat="false" ht="15" hidden="false" customHeight="true" outlineLevel="0" collapsed="false">
      <c r="D1964" s="11" t="n">
        <v>45707</v>
      </c>
      <c r="H1964" s="1" t="s">
        <v>34</v>
      </c>
      <c r="I1964" s="1" t="s">
        <v>85</v>
      </c>
      <c r="J1964" s="1" t="n">
        <f aca="false">K1963</f>
        <v>24658</v>
      </c>
      <c r="K1964" s="1" t="n">
        <f aca="false">J1964+L1964</f>
        <v>24702</v>
      </c>
      <c r="L1964" s="1" t="n">
        <v>44</v>
      </c>
      <c r="M1964" s="1" t="n">
        <f aca="false">(E1964+M1963)-N1964</f>
        <v>23.8799999999998</v>
      </c>
      <c r="N1964" s="1" t="n">
        <v>5</v>
      </c>
    </row>
    <row r="1965" customFormat="false" ht="15" hidden="false" customHeight="true" outlineLevel="0" collapsed="false">
      <c r="D1965" s="11"/>
      <c r="H1965" s="1" t="s">
        <v>85</v>
      </c>
      <c r="I1965" s="1" t="s">
        <v>34</v>
      </c>
      <c r="J1965" s="1" t="n">
        <f aca="false">K1964</f>
        <v>24702</v>
      </c>
      <c r="K1965" s="1" t="n">
        <f aca="false">J1965+L1965</f>
        <v>24746</v>
      </c>
      <c r="L1965" s="1" t="n">
        <v>44</v>
      </c>
      <c r="M1965" s="1" t="n">
        <f aca="false">(E1965+M1964)-N1965</f>
        <v>18.8799999999998</v>
      </c>
      <c r="N1965" s="1" t="n">
        <v>5</v>
      </c>
    </row>
    <row r="1966" customFormat="false" ht="15" hidden="false" customHeight="true" outlineLevel="0" collapsed="false">
      <c r="D1966" s="11" t="n">
        <v>45708</v>
      </c>
      <c r="E1966" s="0" t="n">
        <v>44.86</v>
      </c>
      <c r="F1966" s="1" t="n">
        <v>61.44</v>
      </c>
      <c r="G1966" s="6" t="n">
        <f aca="false">E1966*F1966</f>
        <v>2756.1984</v>
      </c>
      <c r="H1966" s="1" t="s">
        <v>34</v>
      </c>
      <c r="I1966" s="1" t="s">
        <v>54</v>
      </c>
      <c r="J1966" s="1" t="n">
        <f aca="false">K1965</f>
        <v>24746</v>
      </c>
      <c r="K1966" s="1" t="n">
        <f aca="false">J1966+L1966</f>
        <v>24773</v>
      </c>
      <c r="L1966" s="1" t="n">
        <v>27</v>
      </c>
      <c r="M1966" s="1" t="n">
        <f aca="false">(E1966+M1965)-N1966</f>
        <v>60.5399999999998</v>
      </c>
      <c r="N1966" s="1" t="n">
        <v>3.2</v>
      </c>
    </row>
    <row r="1967" customFormat="false" ht="15" hidden="false" customHeight="true" outlineLevel="0" collapsed="false">
      <c r="D1967" s="11"/>
      <c r="H1967" s="1" t="s">
        <v>54</v>
      </c>
      <c r="I1967" s="1" t="s">
        <v>34</v>
      </c>
      <c r="J1967" s="1" t="n">
        <f aca="false">K1966</f>
        <v>24773</v>
      </c>
      <c r="K1967" s="1" t="n">
        <f aca="false">J1967+L1967</f>
        <v>24800</v>
      </c>
      <c r="L1967" s="1" t="n">
        <v>27</v>
      </c>
      <c r="M1967" s="1" t="n">
        <f aca="false">(E1967+M1966)-N1967</f>
        <v>57.3399999999998</v>
      </c>
      <c r="N1967" s="1" t="n">
        <v>3.2</v>
      </c>
    </row>
    <row r="1968" customFormat="false" ht="15" hidden="false" customHeight="true" outlineLevel="0" collapsed="false">
      <c r="D1968" s="11" t="n">
        <v>45709</v>
      </c>
      <c r="H1968" s="1" t="s">
        <v>34</v>
      </c>
      <c r="I1968" s="1" t="s">
        <v>54</v>
      </c>
      <c r="J1968" s="1" t="n">
        <f aca="false">K1967</f>
        <v>24800</v>
      </c>
      <c r="K1968" s="1" t="n">
        <f aca="false">J1968+L1968</f>
        <v>24827</v>
      </c>
      <c r="L1968" s="1" t="n">
        <v>27</v>
      </c>
      <c r="M1968" s="1" t="n">
        <f aca="false">(E1968+M1967)-N1968</f>
        <v>54.1399999999998</v>
      </c>
      <c r="N1968" s="1" t="n">
        <v>3.2</v>
      </c>
    </row>
    <row r="1969" customFormat="false" ht="15" hidden="false" customHeight="true" outlineLevel="0" collapsed="false">
      <c r="D1969" s="11"/>
      <c r="H1969" s="1" t="s">
        <v>54</v>
      </c>
      <c r="I1969" s="1" t="s">
        <v>34</v>
      </c>
      <c r="J1969" s="1" t="n">
        <f aca="false">K1968</f>
        <v>24827</v>
      </c>
      <c r="K1969" s="1" t="n">
        <f aca="false">J1969+L1969</f>
        <v>24854</v>
      </c>
      <c r="L1969" s="1" t="n">
        <v>27</v>
      </c>
      <c r="M1969" s="1" t="n">
        <f aca="false">(E1969+M1968)-N1969</f>
        <v>50.9399999999998</v>
      </c>
      <c r="N1969" s="1" t="n">
        <v>3.2</v>
      </c>
    </row>
    <row r="1970" customFormat="false" ht="15" hidden="false" customHeight="true" outlineLevel="0" collapsed="false">
      <c r="D1970" s="11" t="n">
        <v>45712</v>
      </c>
      <c r="H1970" s="1" t="s">
        <v>34</v>
      </c>
      <c r="I1970" s="1" t="s">
        <v>54</v>
      </c>
      <c r="J1970" s="1" t="n">
        <f aca="false">K1969</f>
        <v>24854</v>
      </c>
      <c r="K1970" s="1" t="n">
        <f aca="false">J1970+L1970</f>
        <v>24881</v>
      </c>
      <c r="L1970" s="1" t="n">
        <v>27</v>
      </c>
      <c r="M1970" s="1" t="n">
        <f aca="false">(E1970+M1969)-N1970</f>
        <v>47.7399999999998</v>
      </c>
      <c r="N1970" s="1" t="n">
        <v>3.2</v>
      </c>
    </row>
    <row r="1971" customFormat="false" ht="15" hidden="false" customHeight="true" outlineLevel="0" collapsed="false">
      <c r="D1971" s="11"/>
      <c r="H1971" s="1" t="s">
        <v>54</v>
      </c>
      <c r="I1971" s="1" t="s">
        <v>34</v>
      </c>
      <c r="J1971" s="1" t="n">
        <f aca="false">K1970</f>
        <v>24881</v>
      </c>
      <c r="K1971" s="1" t="n">
        <f aca="false">J1971+L1971</f>
        <v>24908</v>
      </c>
      <c r="L1971" s="1" t="n">
        <v>27</v>
      </c>
      <c r="M1971" s="1" t="n">
        <f aca="false">(E1971+M1970)-N1971</f>
        <v>44.5399999999998</v>
      </c>
      <c r="N1971" s="1" t="n">
        <v>3.2</v>
      </c>
    </row>
    <row r="1972" customFormat="false" ht="15" hidden="false" customHeight="true" outlineLevel="0" collapsed="false">
      <c r="D1972" s="11" t="n">
        <v>45713</v>
      </c>
      <c r="H1972" s="1" t="s">
        <v>34</v>
      </c>
      <c r="I1972" s="1" t="s">
        <v>49</v>
      </c>
      <c r="J1972" s="1" t="n">
        <f aca="false">K1971</f>
        <v>24908</v>
      </c>
      <c r="K1972" s="1" t="n">
        <f aca="false">J1972+L1972</f>
        <v>24935</v>
      </c>
      <c r="L1972" s="1" t="n">
        <v>27</v>
      </c>
      <c r="M1972" s="1" t="n">
        <f aca="false">(E1972+M1971)-N1972</f>
        <v>41.3399999999998</v>
      </c>
      <c r="N1972" s="1" t="n">
        <v>3.2</v>
      </c>
    </row>
    <row r="1973" customFormat="false" ht="15" hidden="false" customHeight="true" outlineLevel="0" collapsed="false">
      <c r="D1973" s="11"/>
      <c r="H1973" s="1" t="s">
        <v>49</v>
      </c>
      <c r="I1973" s="1" t="s">
        <v>34</v>
      </c>
      <c r="J1973" s="1" t="n">
        <f aca="false">K1972</f>
        <v>24935</v>
      </c>
      <c r="K1973" s="1" t="n">
        <f aca="false">J1973+L1973</f>
        <v>24962</v>
      </c>
      <c r="L1973" s="1" t="n">
        <v>27</v>
      </c>
      <c r="M1973" s="1" t="n">
        <f aca="false">(E1973+M1972)-N1973</f>
        <v>38.1399999999998</v>
      </c>
      <c r="N1973" s="1" t="n">
        <v>3.2</v>
      </c>
    </row>
    <row r="1974" customFormat="false" ht="15" hidden="false" customHeight="true" outlineLevel="0" collapsed="false">
      <c r="D1974" s="11" t="n">
        <v>45714</v>
      </c>
      <c r="H1974" s="1" t="s">
        <v>34</v>
      </c>
      <c r="I1974" s="1" t="s">
        <v>44</v>
      </c>
      <c r="J1974" s="1" t="n">
        <f aca="false">K1973</f>
        <v>24962</v>
      </c>
      <c r="K1974" s="1" t="n">
        <f aca="false">J1974+L1974</f>
        <v>25002</v>
      </c>
      <c r="L1974" s="1" t="n">
        <v>40</v>
      </c>
      <c r="M1974" s="1" t="n">
        <f aca="false">(E1974+M1973)-N1974</f>
        <v>33.3399999999998</v>
      </c>
      <c r="N1974" s="1" t="n">
        <v>4.8</v>
      </c>
    </row>
    <row r="1975" customFormat="false" ht="15" hidden="false" customHeight="true" outlineLevel="0" collapsed="false">
      <c r="D1975" s="11"/>
      <c r="H1975" s="1" t="s">
        <v>44</v>
      </c>
      <c r="I1975" s="1" t="s">
        <v>34</v>
      </c>
      <c r="J1975" s="1" t="n">
        <f aca="false">K1974</f>
        <v>25002</v>
      </c>
      <c r="K1975" s="1" t="n">
        <f aca="false">J1975+L1975</f>
        <v>25042</v>
      </c>
      <c r="L1975" s="1" t="n">
        <v>40</v>
      </c>
      <c r="M1975" s="1" t="n">
        <f aca="false">(E1975+M1974)-N1975</f>
        <v>28.5399999999998</v>
      </c>
      <c r="N1975" s="1" t="n">
        <v>4.8</v>
      </c>
    </row>
    <row r="1976" customFormat="false" ht="15" hidden="false" customHeight="true" outlineLevel="0" collapsed="false">
      <c r="D1976" s="11" t="n">
        <v>45715</v>
      </c>
      <c r="H1976" s="1" t="s">
        <v>34</v>
      </c>
      <c r="I1976" s="1" t="s">
        <v>81</v>
      </c>
      <c r="J1976" s="1" t="n">
        <f aca="false">K1975</f>
        <v>25042</v>
      </c>
      <c r="K1976" s="1" t="n">
        <f aca="false">J1976+L1976</f>
        <v>25066</v>
      </c>
      <c r="L1976" s="1" t="n">
        <v>24</v>
      </c>
      <c r="M1976" s="1" t="n">
        <f aca="false">(E1976+M1975)-N1976</f>
        <v>26.0399999999998</v>
      </c>
      <c r="N1976" s="1" t="n">
        <v>2.5</v>
      </c>
    </row>
    <row r="1977" customFormat="false" ht="15" hidden="false" customHeight="true" outlineLevel="0" collapsed="false">
      <c r="D1977" s="11"/>
      <c r="H1977" s="1" t="s">
        <v>81</v>
      </c>
      <c r="I1977" s="1" t="s">
        <v>34</v>
      </c>
      <c r="J1977" s="1" t="n">
        <f aca="false">K1976</f>
        <v>25066</v>
      </c>
      <c r="K1977" s="1" t="n">
        <f aca="false">J1977+L1977</f>
        <v>25090</v>
      </c>
      <c r="L1977" s="1" t="n">
        <v>24</v>
      </c>
      <c r="M1977" s="1" t="n">
        <f aca="false">(E1977+M1976)-N1977</f>
        <v>23.5399999999998</v>
      </c>
      <c r="N1977" s="1" t="n">
        <v>2.5</v>
      </c>
    </row>
    <row r="1978" customFormat="false" ht="15" hidden="false" customHeight="true" outlineLevel="0" collapsed="false">
      <c r="D1978" s="11" t="n">
        <v>45716</v>
      </c>
      <c r="H1978" s="1" t="s">
        <v>34</v>
      </c>
      <c r="I1978" s="1" t="s">
        <v>54</v>
      </c>
      <c r="J1978" s="1" t="n">
        <f aca="false">K1977</f>
        <v>25090</v>
      </c>
      <c r="K1978" s="1" t="n">
        <f aca="false">J1978+L1978</f>
        <v>25117</v>
      </c>
      <c r="L1978" s="1" t="n">
        <v>27</v>
      </c>
      <c r="M1978" s="1" t="n">
        <f aca="false">(E1978+M1977)-N1978</f>
        <v>20.3399999999998</v>
      </c>
      <c r="N1978" s="1" t="n">
        <v>3.2</v>
      </c>
    </row>
    <row r="1979" customFormat="false" ht="15" hidden="false" customHeight="true" outlineLevel="0" collapsed="false">
      <c r="H1979" s="1" t="s">
        <v>54</v>
      </c>
      <c r="I1979" s="1" t="s">
        <v>34</v>
      </c>
      <c r="J1979" s="1" t="n">
        <f aca="false">K1978</f>
        <v>25117</v>
      </c>
      <c r="K1979" s="1" t="n">
        <f aca="false">J1979+L1979</f>
        <v>25144</v>
      </c>
      <c r="L1979" s="1" t="n">
        <v>27</v>
      </c>
      <c r="M1979" s="1" t="n">
        <f aca="false">(E1979+M1978)-N1979</f>
        <v>17.1399999999998</v>
      </c>
      <c r="N1979" s="1" t="n">
        <v>3.2</v>
      </c>
    </row>
    <row r="1981" customFormat="false" ht="15" hidden="false" customHeight="true" outlineLevel="0" collapsed="false">
      <c r="D1981" s="4" t="s">
        <v>91</v>
      </c>
      <c r="E1981" s="4"/>
      <c r="F1981" s="4"/>
      <c r="G1981" s="4"/>
    </row>
    <row r="1983" customFormat="false" ht="15" hidden="false" customHeight="true" outlineLevel="0" collapsed="false">
      <c r="D1983" s="11" t="n">
        <v>45719</v>
      </c>
      <c r="H1983" s="1" t="s">
        <v>34</v>
      </c>
      <c r="I1983" s="1" t="s">
        <v>49</v>
      </c>
      <c r="J1983" s="1" t="n">
        <f aca="false">K1979</f>
        <v>25144</v>
      </c>
      <c r="K1983" s="1" t="n">
        <f aca="false">J1983+L1983</f>
        <v>25171</v>
      </c>
      <c r="L1983" s="1" t="n">
        <v>27</v>
      </c>
      <c r="M1983" s="1" t="n">
        <f aca="false">(E1983+M1979)-N1983</f>
        <v>13.9399999999998</v>
      </c>
      <c r="N1983" s="1" t="n">
        <v>3.2</v>
      </c>
    </row>
    <row r="1984" customFormat="false" ht="15" hidden="false" customHeight="true" outlineLevel="0" collapsed="false">
      <c r="D1984" s="11"/>
      <c r="H1984" s="1" t="s">
        <v>49</v>
      </c>
      <c r="I1984" s="1" t="s">
        <v>34</v>
      </c>
      <c r="J1984" s="1" t="n">
        <f aca="false">K1983</f>
        <v>25171</v>
      </c>
      <c r="K1984" s="1" t="n">
        <f aca="false">J1984+L1984</f>
        <v>25198</v>
      </c>
      <c r="L1984" s="1" t="n">
        <v>27</v>
      </c>
      <c r="M1984" s="1" t="n">
        <f aca="false">(E1984+M1983)-N1984</f>
        <v>10.7399999999998</v>
      </c>
      <c r="N1984" s="1" t="n">
        <v>3.2</v>
      </c>
    </row>
    <row r="1985" customFormat="false" ht="15" hidden="false" customHeight="true" outlineLevel="0" collapsed="false">
      <c r="D1985" s="11" t="n">
        <v>45720</v>
      </c>
      <c r="H1985" s="1" t="s">
        <v>34</v>
      </c>
      <c r="I1985" s="1" t="s">
        <v>54</v>
      </c>
      <c r="J1985" s="1" t="n">
        <f aca="false">K1984</f>
        <v>25198</v>
      </c>
      <c r="K1985" s="1" t="n">
        <f aca="false">J1985+L1985</f>
        <v>25225</v>
      </c>
      <c r="L1985" s="1" t="n">
        <v>27</v>
      </c>
      <c r="M1985" s="1" t="n">
        <f aca="false">(E1985+M1984)-N1985</f>
        <v>7.53999999999981</v>
      </c>
      <c r="N1985" s="1" t="n">
        <v>3.2</v>
      </c>
    </row>
    <row r="1986" customFormat="false" ht="15" hidden="false" customHeight="true" outlineLevel="0" collapsed="false">
      <c r="D1986" s="11"/>
      <c r="H1986" s="1" t="s">
        <v>54</v>
      </c>
      <c r="I1986" s="1" t="s">
        <v>34</v>
      </c>
      <c r="J1986" s="1" t="n">
        <f aca="false">K1985</f>
        <v>25225</v>
      </c>
      <c r="K1986" s="1" t="n">
        <f aca="false">J1986+L1986</f>
        <v>25252</v>
      </c>
      <c r="L1986" s="1" t="n">
        <v>27</v>
      </c>
      <c r="M1986" s="1" t="n">
        <f aca="false">(E1986+M1985)-N1986</f>
        <v>4.33999999999981</v>
      </c>
      <c r="N1986" s="1" t="n">
        <v>3.2</v>
      </c>
    </row>
    <row r="1987" customFormat="false" ht="15" hidden="false" customHeight="true" outlineLevel="0" collapsed="false">
      <c r="D1987" s="11" t="n">
        <v>45721</v>
      </c>
      <c r="E1987" s="0" t="n">
        <v>43.34</v>
      </c>
      <c r="F1987" s="1" t="n">
        <v>62.04</v>
      </c>
      <c r="G1987" s="6" t="n">
        <f aca="false">E1987*F1987</f>
        <v>2688.8136</v>
      </c>
      <c r="H1987" s="1" t="s">
        <v>34</v>
      </c>
      <c r="I1987" s="1" t="s">
        <v>44</v>
      </c>
      <c r="J1987" s="1" t="n">
        <f aca="false">K1986</f>
        <v>25252</v>
      </c>
      <c r="K1987" s="1" t="n">
        <f aca="false">J1987+L1987</f>
        <v>25292</v>
      </c>
      <c r="L1987" s="1" t="n">
        <v>40</v>
      </c>
      <c r="M1987" s="1" t="n">
        <f aca="false">(E1987+M1986)-N1987</f>
        <v>42.8799999999998</v>
      </c>
      <c r="N1987" s="1" t="n">
        <v>4.8</v>
      </c>
    </row>
    <row r="1988" customFormat="false" ht="15" hidden="false" customHeight="true" outlineLevel="0" collapsed="false">
      <c r="D1988" s="11"/>
      <c r="H1988" s="1" t="s">
        <v>44</v>
      </c>
      <c r="I1988" s="1" t="s">
        <v>34</v>
      </c>
      <c r="J1988" s="1" t="n">
        <f aca="false">K1987</f>
        <v>25292</v>
      </c>
      <c r="K1988" s="1" t="n">
        <f aca="false">J1988+L1988</f>
        <v>25332</v>
      </c>
      <c r="L1988" s="1" t="n">
        <v>40</v>
      </c>
      <c r="M1988" s="1" t="n">
        <f aca="false">(E1988+M1987)-N1988</f>
        <v>38.0799999999998</v>
      </c>
      <c r="N1988" s="1" t="n">
        <v>4.8</v>
      </c>
    </row>
    <row r="1989" customFormat="false" ht="15" hidden="false" customHeight="true" outlineLevel="0" collapsed="false">
      <c r="D1989" s="11" t="n">
        <v>45722</v>
      </c>
      <c r="H1989" s="1" t="s">
        <v>34</v>
      </c>
      <c r="I1989" s="1" t="s">
        <v>35</v>
      </c>
      <c r="J1989" s="1" t="n">
        <f aca="false">K1988</f>
        <v>25332</v>
      </c>
      <c r="K1989" s="1" t="n">
        <f aca="false">J1989+L1989</f>
        <v>25344</v>
      </c>
      <c r="L1989" s="1" t="n">
        <v>12</v>
      </c>
      <c r="M1989" s="1" t="n">
        <f aca="false">(E1989+M1988)-N1989</f>
        <v>36.8299999999998</v>
      </c>
      <c r="N1989" s="1" t="n">
        <v>1.25</v>
      </c>
    </row>
    <row r="1990" customFormat="false" ht="15" hidden="false" customHeight="true" outlineLevel="0" collapsed="false">
      <c r="D1990" s="11"/>
      <c r="H1990" s="1" t="s">
        <v>35</v>
      </c>
      <c r="I1990" s="1" t="s">
        <v>34</v>
      </c>
      <c r="J1990" s="1" t="n">
        <f aca="false">K1989</f>
        <v>25344</v>
      </c>
      <c r="K1990" s="1" t="n">
        <f aca="false">J1990+L1990</f>
        <v>25356</v>
      </c>
      <c r="L1990" s="1" t="n">
        <v>12</v>
      </c>
      <c r="M1990" s="1" t="n">
        <f aca="false">(E1990+M1989)-N1990</f>
        <v>35.5799999999998</v>
      </c>
      <c r="N1990" s="1" t="n">
        <v>1.25</v>
      </c>
    </row>
    <row r="1991" customFormat="false" ht="15" hidden="false" customHeight="true" outlineLevel="0" collapsed="false">
      <c r="D1991" s="11" t="n">
        <v>45723</v>
      </c>
      <c r="H1991" s="1" t="s">
        <v>34</v>
      </c>
      <c r="I1991" s="1" t="s">
        <v>54</v>
      </c>
      <c r="J1991" s="1" t="n">
        <f aca="false">K1990</f>
        <v>25356</v>
      </c>
      <c r="K1991" s="1" t="n">
        <f aca="false">J1991+L1991</f>
        <v>25383</v>
      </c>
      <c r="L1991" s="1" t="n">
        <v>27</v>
      </c>
      <c r="M1991" s="1" t="n">
        <f aca="false">(E1991+M1990)-N1991</f>
        <v>32.3799999999998</v>
      </c>
      <c r="N1991" s="1" t="n">
        <v>3.2</v>
      </c>
    </row>
    <row r="1992" customFormat="false" ht="15" hidden="false" customHeight="true" outlineLevel="0" collapsed="false">
      <c r="D1992" s="11"/>
      <c r="H1992" s="1" t="s">
        <v>54</v>
      </c>
      <c r="I1992" s="1" t="s">
        <v>34</v>
      </c>
      <c r="J1992" s="1" t="n">
        <f aca="false">K1991</f>
        <v>25383</v>
      </c>
      <c r="K1992" s="1" t="n">
        <f aca="false">J1992+L1992</f>
        <v>25410</v>
      </c>
      <c r="L1992" s="1" t="n">
        <v>27</v>
      </c>
      <c r="M1992" s="1" t="n">
        <f aca="false">(E1992+M1991)-N1992</f>
        <v>29.1799999999998</v>
      </c>
      <c r="N1992" s="1" t="n">
        <v>3.2</v>
      </c>
    </row>
    <row r="1993" customFormat="false" ht="15" hidden="false" customHeight="true" outlineLevel="0" collapsed="false">
      <c r="D1993" s="11" t="n">
        <v>45726</v>
      </c>
      <c r="H1993" s="1" t="s">
        <v>34</v>
      </c>
      <c r="I1993" s="1" t="s">
        <v>43</v>
      </c>
      <c r="J1993" s="1" t="n">
        <f aca="false">K1992</f>
        <v>25410</v>
      </c>
      <c r="K1993" s="1" t="n">
        <f aca="false">J1993+L1993</f>
        <v>25422</v>
      </c>
      <c r="L1993" s="1" t="n">
        <v>12</v>
      </c>
      <c r="M1993" s="1" t="n">
        <f aca="false">(E1993+M1992)-N1993</f>
        <v>27.9299999999998</v>
      </c>
      <c r="N1993" s="1" t="n">
        <v>1.25</v>
      </c>
    </row>
    <row r="1994" customFormat="false" ht="15" hidden="false" customHeight="true" outlineLevel="0" collapsed="false">
      <c r="D1994" s="11"/>
      <c r="H1994" s="1" t="s">
        <v>43</v>
      </c>
      <c r="I1994" s="1" t="s">
        <v>34</v>
      </c>
      <c r="J1994" s="1" t="n">
        <f aca="false">K1993</f>
        <v>25422</v>
      </c>
      <c r="K1994" s="1" t="n">
        <f aca="false">J1994+L1994</f>
        <v>25434</v>
      </c>
      <c r="L1994" s="1" t="n">
        <v>12</v>
      </c>
      <c r="M1994" s="1" t="n">
        <f aca="false">(E1994+M1993)-N1994</f>
        <v>26.6799999999998</v>
      </c>
      <c r="N1994" s="1" t="n">
        <v>1.25</v>
      </c>
    </row>
    <row r="1995" customFormat="false" ht="15" hidden="false" customHeight="true" outlineLevel="0" collapsed="false">
      <c r="D1995" s="11" t="n">
        <v>45727</v>
      </c>
      <c r="H1995" s="1" t="s">
        <v>34</v>
      </c>
      <c r="I1995" s="1" t="s">
        <v>54</v>
      </c>
      <c r="J1995" s="1" t="n">
        <f aca="false">K1994</f>
        <v>25434</v>
      </c>
      <c r="K1995" s="1" t="n">
        <f aca="false">J1995+L1995</f>
        <v>25461</v>
      </c>
      <c r="L1995" s="1" t="n">
        <v>27</v>
      </c>
      <c r="M1995" s="1" t="n">
        <f aca="false">(E1995+M1994)-N1995</f>
        <v>23.4799999999998</v>
      </c>
      <c r="N1995" s="1" t="n">
        <v>3.2</v>
      </c>
    </row>
    <row r="1996" customFormat="false" ht="15" hidden="false" customHeight="true" outlineLevel="0" collapsed="false">
      <c r="D1996" s="11"/>
      <c r="H1996" s="1" t="s">
        <v>54</v>
      </c>
      <c r="I1996" s="1" t="s">
        <v>34</v>
      </c>
      <c r="J1996" s="1" t="n">
        <f aca="false">K1995</f>
        <v>25461</v>
      </c>
      <c r="K1996" s="1" t="n">
        <f aca="false">J1996+L1996</f>
        <v>25488</v>
      </c>
      <c r="L1996" s="1" t="n">
        <v>27</v>
      </c>
      <c r="M1996" s="1" t="n">
        <f aca="false">(E1996+M1995)-N1996</f>
        <v>20.2799999999998</v>
      </c>
      <c r="N1996" s="1" t="n">
        <v>3.2</v>
      </c>
    </row>
    <row r="1997" customFormat="false" ht="15" hidden="false" customHeight="true" outlineLevel="0" collapsed="false">
      <c r="D1997" s="11" t="n">
        <v>45728</v>
      </c>
      <c r="H1997" s="1" t="s">
        <v>34</v>
      </c>
      <c r="I1997" s="1" t="s">
        <v>85</v>
      </c>
      <c r="J1997" s="1" t="n">
        <f aca="false">K1996</f>
        <v>25488</v>
      </c>
      <c r="K1997" s="1" t="n">
        <f aca="false">J1997+L1997</f>
        <v>25532</v>
      </c>
      <c r="L1997" s="1" t="n">
        <v>44</v>
      </c>
      <c r="M1997" s="1" t="n">
        <f aca="false">(E1997+M1996)-N1997</f>
        <v>15.2799999999998</v>
      </c>
      <c r="N1997" s="1" t="n">
        <v>5</v>
      </c>
    </row>
    <row r="1998" customFormat="false" ht="15" hidden="false" customHeight="true" outlineLevel="0" collapsed="false">
      <c r="D1998" s="11"/>
      <c r="H1998" s="1" t="s">
        <v>85</v>
      </c>
      <c r="I1998" s="1" t="s">
        <v>34</v>
      </c>
      <c r="J1998" s="1" t="n">
        <f aca="false">K1997</f>
        <v>25532</v>
      </c>
      <c r="K1998" s="1" t="n">
        <f aca="false">J1998+L1998</f>
        <v>25576</v>
      </c>
      <c r="L1998" s="1" t="n">
        <v>44</v>
      </c>
      <c r="M1998" s="1" t="n">
        <f aca="false">(E1998+M1997)-N1998</f>
        <v>10.2799999999998</v>
      </c>
      <c r="N1998" s="1" t="n">
        <v>5</v>
      </c>
    </row>
    <row r="1999" customFormat="false" ht="15" hidden="false" customHeight="true" outlineLevel="0" collapsed="false">
      <c r="D1999" s="11" t="n">
        <v>45729</v>
      </c>
      <c r="E1999" s="0" t="n">
        <v>46.49</v>
      </c>
      <c r="F1999" s="1" t="n">
        <v>62.31</v>
      </c>
      <c r="G1999" s="6" t="n">
        <f aca="false">E1999*F1999</f>
        <v>2896.7919</v>
      </c>
      <c r="H1999" s="1" t="s">
        <v>34</v>
      </c>
      <c r="I1999" s="1" t="s">
        <v>49</v>
      </c>
      <c r="J1999" s="1" t="n">
        <f aca="false">K1998</f>
        <v>25576</v>
      </c>
      <c r="K1999" s="1" t="n">
        <f aca="false">J1999+L1999</f>
        <v>25603</v>
      </c>
      <c r="L1999" s="1" t="n">
        <v>27</v>
      </c>
      <c r="M1999" s="1" t="n">
        <f aca="false">(E1999+M1998)-N1999</f>
        <v>53.5699999999998</v>
      </c>
      <c r="N1999" s="1" t="n">
        <v>3.2</v>
      </c>
    </row>
    <row r="2000" customFormat="false" ht="15" hidden="false" customHeight="true" outlineLevel="0" collapsed="false">
      <c r="D2000" s="11"/>
      <c r="H2000" s="1" t="s">
        <v>49</v>
      </c>
      <c r="I2000" s="1" t="s">
        <v>34</v>
      </c>
      <c r="J2000" s="1" t="n">
        <f aca="false">K1999</f>
        <v>25603</v>
      </c>
      <c r="K2000" s="1" t="n">
        <f aca="false">J2000+L2000</f>
        <v>25630</v>
      </c>
      <c r="L2000" s="1" t="n">
        <v>27</v>
      </c>
      <c r="M2000" s="1" t="n">
        <f aca="false">(E2000+M1999)-N2000</f>
        <v>50.3699999999998</v>
      </c>
      <c r="N2000" s="1" t="n">
        <v>3.2</v>
      </c>
    </row>
    <row r="2001" customFormat="false" ht="15" hidden="false" customHeight="true" outlineLevel="0" collapsed="false">
      <c r="D2001" s="11" t="n">
        <v>45730</v>
      </c>
      <c r="H2001" s="1" t="s">
        <v>34</v>
      </c>
      <c r="I2001" s="1" t="s">
        <v>44</v>
      </c>
      <c r="J2001" s="1" t="n">
        <f aca="false">K2000</f>
        <v>25630</v>
      </c>
      <c r="K2001" s="1" t="n">
        <f aca="false">J2001+L2001</f>
        <v>25670</v>
      </c>
      <c r="L2001" s="1" t="n">
        <v>40</v>
      </c>
      <c r="M2001" s="1" t="n">
        <f aca="false">(E2001+M2000)-N2001</f>
        <v>45.5699999999998</v>
      </c>
      <c r="N2001" s="1" t="n">
        <v>4.8</v>
      </c>
    </row>
    <row r="2002" customFormat="false" ht="15" hidden="false" customHeight="true" outlineLevel="0" collapsed="false">
      <c r="D2002" s="11"/>
      <c r="H2002" s="1" t="s">
        <v>44</v>
      </c>
      <c r="I2002" s="1" t="s">
        <v>34</v>
      </c>
      <c r="J2002" s="1" t="n">
        <f aca="false">K2001</f>
        <v>25670</v>
      </c>
      <c r="K2002" s="1" t="n">
        <f aca="false">J2002+L2002</f>
        <v>25710</v>
      </c>
      <c r="L2002" s="1" t="n">
        <v>40</v>
      </c>
      <c r="M2002" s="1" t="n">
        <f aca="false">(E2002+M2001)-N2002</f>
        <v>40.7699999999998</v>
      </c>
      <c r="N2002" s="1" t="n">
        <v>4.8</v>
      </c>
    </row>
    <row r="2003" customFormat="false" ht="15" hidden="false" customHeight="true" outlineLevel="0" collapsed="false">
      <c r="D2003" s="11" t="n">
        <v>45733</v>
      </c>
      <c r="H2003" s="1" t="s">
        <v>34</v>
      </c>
      <c r="I2003" s="1" t="s">
        <v>35</v>
      </c>
      <c r="J2003" s="1" t="n">
        <f aca="false">K2002</f>
        <v>25710</v>
      </c>
      <c r="K2003" s="1" t="n">
        <f aca="false">J2003+L2003</f>
        <v>25722</v>
      </c>
      <c r="L2003" s="1" t="n">
        <v>12</v>
      </c>
      <c r="M2003" s="1" t="n">
        <f aca="false">(E2003+M2002)-N2003</f>
        <v>39.5199999999998</v>
      </c>
      <c r="N2003" s="1" t="n">
        <v>1.25</v>
      </c>
    </row>
    <row r="2004" customFormat="false" ht="15" hidden="false" customHeight="true" outlineLevel="0" collapsed="false">
      <c r="D2004" s="11"/>
      <c r="H2004" s="1" t="s">
        <v>35</v>
      </c>
      <c r="I2004" s="1" t="s">
        <v>34</v>
      </c>
      <c r="J2004" s="1" t="n">
        <f aca="false">K2003</f>
        <v>25722</v>
      </c>
      <c r="K2004" s="1" t="n">
        <f aca="false">J2004+L2004</f>
        <v>25734</v>
      </c>
      <c r="L2004" s="1" t="n">
        <v>12</v>
      </c>
      <c r="M2004" s="1" t="n">
        <f aca="false">(E2004+M2003)-N2004</f>
        <v>38.2699999999998</v>
      </c>
      <c r="N2004" s="1" t="n">
        <v>1.25</v>
      </c>
    </row>
    <row r="2005" customFormat="false" ht="15" hidden="false" customHeight="true" outlineLevel="0" collapsed="false">
      <c r="D2005" s="11" t="n">
        <v>45734</v>
      </c>
      <c r="H2005" s="1" t="s">
        <v>34</v>
      </c>
      <c r="I2005" s="1" t="s">
        <v>54</v>
      </c>
      <c r="J2005" s="1" t="n">
        <f aca="false">K2004</f>
        <v>25734</v>
      </c>
      <c r="K2005" s="1" t="n">
        <f aca="false">J2005+L2005</f>
        <v>25761</v>
      </c>
      <c r="L2005" s="1" t="n">
        <v>27</v>
      </c>
      <c r="M2005" s="1" t="n">
        <f aca="false">(E2005+M2004)-N2005</f>
        <v>35.0699999999998</v>
      </c>
      <c r="N2005" s="1" t="n">
        <v>3.2</v>
      </c>
    </row>
    <row r="2006" customFormat="false" ht="15" hidden="false" customHeight="true" outlineLevel="0" collapsed="false">
      <c r="D2006" s="11"/>
      <c r="H2006" s="1" t="s">
        <v>54</v>
      </c>
      <c r="I2006" s="1" t="s">
        <v>34</v>
      </c>
      <c r="J2006" s="1" t="n">
        <f aca="false">K2005</f>
        <v>25761</v>
      </c>
      <c r="K2006" s="1" t="n">
        <f aca="false">J2006+L2006</f>
        <v>25788</v>
      </c>
      <c r="L2006" s="1" t="n">
        <v>27</v>
      </c>
      <c r="M2006" s="1" t="n">
        <f aca="false">(E2006+M2005)-N2006</f>
        <v>31.8699999999998</v>
      </c>
      <c r="N2006" s="1" t="n">
        <v>3.2</v>
      </c>
    </row>
    <row r="2007" customFormat="false" ht="15" hidden="false" customHeight="true" outlineLevel="0" collapsed="false">
      <c r="D2007" s="11" t="n">
        <v>45735</v>
      </c>
      <c r="H2007" s="1" t="s">
        <v>34</v>
      </c>
      <c r="I2007" s="1" t="s">
        <v>85</v>
      </c>
      <c r="J2007" s="1" t="n">
        <f aca="false">K2006</f>
        <v>25788</v>
      </c>
      <c r="K2007" s="1" t="n">
        <f aca="false">J2007+L2007</f>
        <v>25832</v>
      </c>
      <c r="L2007" s="1" t="n">
        <v>44</v>
      </c>
      <c r="M2007" s="1" t="n">
        <f aca="false">(E2007+M2006)-N2007</f>
        <v>26.8699999999998</v>
      </c>
      <c r="N2007" s="1" t="n">
        <v>5</v>
      </c>
    </row>
    <row r="2008" customFormat="false" ht="15" hidden="false" customHeight="true" outlineLevel="0" collapsed="false">
      <c r="D2008" s="11"/>
      <c r="H2008" s="1" t="s">
        <v>85</v>
      </c>
      <c r="I2008" s="1" t="s">
        <v>34</v>
      </c>
      <c r="J2008" s="1" t="n">
        <f aca="false">K2007</f>
        <v>25832</v>
      </c>
      <c r="K2008" s="1" t="n">
        <f aca="false">J2008+L2008</f>
        <v>25876</v>
      </c>
      <c r="L2008" s="1" t="n">
        <v>44</v>
      </c>
      <c r="M2008" s="1" t="n">
        <f aca="false">(E2008+M2007)-N2008</f>
        <v>21.8699999999998</v>
      </c>
      <c r="N2008" s="1" t="n">
        <v>5</v>
      </c>
    </row>
    <row r="2009" customFormat="false" ht="15" hidden="false" customHeight="true" outlineLevel="0" collapsed="false">
      <c r="D2009" s="11" t="n">
        <v>45736</v>
      </c>
      <c r="E2009" s="0" t="n">
        <v>45.94</v>
      </c>
      <c r="F2009" s="1" t="n">
        <v>62</v>
      </c>
      <c r="G2009" s="6" t="n">
        <f aca="false">E2009*F2009</f>
        <v>2848.28</v>
      </c>
      <c r="H2009" s="1" t="s">
        <v>34</v>
      </c>
      <c r="I2009" s="1" t="s">
        <v>44</v>
      </c>
      <c r="J2009" s="1" t="n">
        <f aca="false">K2008</f>
        <v>25876</v>
      </c>
      <c r="K2009" s="1" t="n">
        <f aca="false">J2009+L2009</f>
        <v>25916</v>
      </c>
      <c r="L2009" s="1" t="n">
        <v>40</v>
      </c>
      <c r="M2009" s="1" t="n">
        <f aca="false">(E2009+M2008)-N2009</f>
        <v>63.0099999999998</v>
      </c>
      <c r="N2009" s="1" t="n">
        <v>4.8</v>
      </c>
    </row>
    <row r="2010" customFormat="false" ht="15" hidden="false" customHeight="true" outlineLevel="0" collapsed="false">
      <c r="D2010" s="11"/>
      <c r="H2010" s="1" t="s">
        <v>44</v>
      </c>
      <c r="I2010" s="1" t="s">
        <v>34</v>
      </c>
      <c r="J2010" s="1" t="n">
        <f aca="false">K2009</f>
        <v>25916</v>
      </c>
      <c r="K2010" s="1" t="n">
        <f aca="false">J2010+L2010</f>
        <v>25956</v>
      </c>
      <c r="L2010" s="1" t="n">
        <v>40</v>
      </c>
      <c r="M2010" s="1" t="n">
        <f aca="false">(E2010+M2009)-N2010</f>
        <v>58.2099999999998</v>
      </c>
      <c r="N2010" s="1" t="n">
        <v>4.8</v>
      </c>
    </row>
    <row r="2011" customFormat="false" ht="15" hidden="false" customHeight="true" outlineLevel="0" collapsed="false">
      <c r="D2011" s="11" t="n">
        <v>45737</v>
      </c>
      <c r="H2011" s="1" t="s">
        <v>34</v>
      </c>
      <c r="I2011" s="1" t="s">
        <v>49</v>
      </c>
      <c r="J2011" s="1" t="n">
        <f aca="false">K2010</f>
        <v>25956</v>
      </c>
      <c r="K2011" s="1" t="n">
        <f aca="false">J2011+L2011</f>
        <v>25983</v>
      </c>
      <c r="L2011" s="1" t="n">
        <v>27</v>
      </c>
      <c r="M2011" s="1" t="n">
        <f aca="false">(E2011+M2010)-N2011</f>
        <v>55.0099999999998</v>
      </c>
      <c r="N2011" s="1" t="n">
        <v>3.2</v>
      </c>
    </row>
    <row r="2012" customFormat="false" ht="15" hidden="false" customHeight="true" outlineLevel="0" collapsed="false">
      <c r="D2012" s="11"/>
      <c r="H2012" s="1" t="s">
        <v>49</v>
      </c>
      <c r="I2012" s="1" t="s">
        <v>34</v>
      </c>
      <c r="J2012" s="1" t="n">
        <f aca="false">K2011</f>
        <v>25983</v>
      </c>
      <c r="K2012" s="1" t="n">
        <f aca="false">J2012+L2012</f>
        <v>26010</v>
      </c>
      <c r="L2012" s="1" t="n">
        <v>27</v>
      </c>
      <c r="M2012" s="1" t="n">
        <f aca="false">(E2012+M2011)-N2012</f>
        <v>51.8099999999998</v>
      </c>
      <c r="N2012" s="1" t="n">
        <v>3.2</v>
      </c>
    </row>
    <row r="2013" customFormat="false" ht="15" hidden="false" customHeight="true" outlineLevel="0" collapsed="false">
      <c r="D2013" s="11" t="n">
        <v>45740</v>
      </c>
      <c r="H2013" s="1" t="s">
        <v>34</v>
      </c>
      <c r="I2013" s="1" t="s">
        <v>35</v>
      </c>
      <c r="J2013" s="1" t="n">
        <f aca="false">K2012</f>
        <v>26010</v>
      </c>
      <c r="K2013" s="1" t="n">
        <f aca="false">J2013+L2013</f>
        <v>26022</v>
      </c>
      <c r="L2013" s="1" t="n">
        <v>12</v>
      </c>
      <c r="M2013" s="1" t="n">
        <f aca="false">(E2013+M2012)-N2013</f>
        <v>50.5599999999998</v>
      </c>
      <c r="N2013" s="1" t="n">
        <v>1.25</v>
      </c>
    </row>
    <row r="2014" customFormat="false" ht="15" hidden="false" customHeight="true" outlineLevel="0" collapsed="false">
      <c r="D2014" s="11"/>
      <c r="H2014" s="1" t="s">
        <v>35</v>
      </c>
      <c r="I2014" s="1" t="s">
        <v>34</v>
      </c>
      <c r="J2014" s="1" t="n">
        <f aca="false">K2013</f>
        <v>26022</v>
      </c>
      <c r="K2014" s="1" t="n">
        <f aca="false">J2014+L2014</f>
        <v>26034</v>
      </c>
      <c r="L2014" s="1" t="n">
        <v>12</v>
      </c>
      <c r="M2014" s="1" t="n">
        <f aca="false">(E2014+M2013)-N2014</f>
        <v>49.3099999999998</v>
      </c>
      <c r="N2014" s="1" t="n">
        <v>1.25</v>
      </c>
    </row>
    <row r="2015" customFormat="false" ht="15" hidden="false" customHeight="true" outlineLevel="0" collapsed="false">
      <c r="D2015" s="11"/>
      <c r="H2015" s="1" t="s">
        <v>34</v>
      </c>
      <c r="I2015" s="1" t="s">
        <v>49</v>
      </c>
      <c r="J2015" s="1" t="n">
        <f aca="false">K2014</f>
        <v>26034</v>
      </c>
      <c r="K2015" s="1" t="n">
        <f aca="false">J2015+L2015</f>
        <v>26061</v>
      </c>
      <c r="L2015" s="1" t="n">
        <v>27</v>
      </c>
      <c r="M2015" s="1" t="n">
        <f aca="false">(E2015+M2014)-N2015</f>
        <v>46.1099999999998</v>
      </c>
      <c r="N2015" s="1" t="n">
        <v>3.2</v>
      </c>
    </row>
    <row r="2016" customFormat="false" ht="15" hidden="false" customHeight="true" outlineLevel="0" collapsed="false">
      <c r="D2016" s="11"/>
      <c r="H2016" s="1" t="s">
        <v>49</v>
      </c>
      <c r="I2016" s="1" t="s">
        <v>34</v>
      </c>
      <c r="J2016" s="1" t="n">
        <f aca="false">K2015</f>
        <v>26061</v>
      </c>
      <c r="K2016" s="1" t="n">
        <f aca="false">J2016+L2016</f>
        <v>26088</v>
      </c>
      <c r="L2016" s="1" t="n">
        <v>27</v>
      </c>
      <c r="M2016" s="1" t="n">
        <f aca="false">(E2016+M2015)-N2016</f>
        <v>42.9099999999998</v>
      </c>
      <c r="N2016" s="1" t="n">
        <v>3.2</v>
      </c>
    </row>
    <row r="2017" customFormat="false" ht="15" hidden="false" customHeight="true" outlineLevel="0" collapsed="false">
      <c r="D2017" s="11" t="n">
        <v>45741</v>
      </c>
      <c r="H2017" s="1" t="s">
        <v>34</v>
      </c>
      <c r="I2017" s="1" t="s">
        <v>85</v>
      </c>
      <c r="J2017" s="1" t="n">
        <f aca="false">K2016</f>
        <v>26088</v>
      </c>
      <c r="K2017" s="1" t="n">
        <f aca="false">J2017+L2017</f>
        <v>26132</v>
      </c>
      <c r="L2017" s="1" t="n">
        <v>44</v>
      </c>
      <c r="M2017" s="1" t="n">
        <f aca="false">(E2017+M2016)-N2017</f>
        <v>37.9099999999998</v>
      </c>
      <c r="N2017" s="1" t="n">
        <v>5</v>
      </c>
    </row>
    <row r="2018" customFormat="false" ht="15" hidden="false" customHeight="true" outlineLevel="0" collapsed="false">
      <c r="D2018" s="11"/>
      <c r="H2018" s="1" t="s">
        <v>85</v>
      </c>
      <c r="I2018" s="1" t="s">
        <v>34</v>
      </c>
      <c r="J2018" s="1" t="n">
        <f aca="false">K2017</f>
        <v>26132</v>
      </c>
      <c r="K2018" s="1" t="n">
        <f aca="false">J2018+L2018</f>
        <v>26176</v>
      </c>
      <c r="L2018" s="1" t="n">
        <v>44</v>
      </c>
      <c r="M2018" s="1" t="n">
        <f aca="false">(E2018+M2017)-N2018</f>
        <v>32.9099999999998</v>
      </c>
      <c r="N2018" s="1" t="n">
        <v>5</v>
      </c>
    </row>
    <row r="2019" customFormat="false" ht="15" hidden="false" customHeight="true" outlineLevel="0" collapsed="false">
      <c r="D2019" s="11" t="n">
        <v>45742</v>
      </c>
      <c r="H2019" s="1" t="s">
        <v>34</v>
      </c>
      <c r="I2019" s="1" t="s">
        <v>85</v>
      </c>
      <c r="J2019" s="1" t="n">
        <f aca="false">K2018</f>
        <v>26176</v>
      </c>
      <c r="K2019" s="1" t="n">
        <f aca="false">J2019+L2019</f>
        <v>26220</v>
      </c>
      <c r="L2019" s="1" t="n">
        <v>44</v>
      </c>
      <c r="M2019" s="1" t="n">
        <f aca="false">(E2019+M2018)-N2019</f>
        <v>27.9099999999998</v>
      </c>
      <c r="N2019" s="1" t="n">
        <v>5</v>
      </c>
    </row>
    <row r="2020" customFormat="false" ht="15" hidden="false" customHeight="true" outlineLevel="0" collapsed="false">
      <c r="D2020" s="11"/>
      <c r="H2020" s="1" t="s">
        <v>85</v>
      </c>
      <c r="I2020" s="1" t="s">
        <v>34</v>
      </c>
      <c r="J2020" s="1" t="n">
        <f aca="false">K2019</f>
        <v>26220</v>
      </c>
      <c r="K2020" s="1" t="n">
        <f aca="false">J2020+L2020</f>
        <v>26264</v>
      </c>
      <c r="L2020" s="1" t="n">
        <v>44</v>
      </c>
      <c r="M2020" s="1" t="n">
        <f aca="false">(E2020+M2019)-N2020</f>
        <v>22.9099999999998</v>
      </c>
      <c r="N2020" s="1" t="n">
        <v>5</v>
      </c>
    </row>
    <row r="2021" customFormat="false" ht="15" hidden="false" customHeight="true" outlineLevel="0" collapsed="false">
      <c r="D2021" s="11" t="n">
        <v>45743</v>
      </c>
      <c r="E2021" s="0" t="n">
        <v>51.19</v>
      </c>
      <c r="F2021" s="1" t="n">
        <v>62.43</v>
      </c>
      <c r="G2021" s="6" t="n">
        <f aca="false">E2021*F2021</f>
        <v>3195.7917</v>
      </c>
      <c r="H2021" s="1" t="s">
        <v>34</v>
      </c>
      <c r="I2021" s="1" t="s">
        <v>44</v>
      </c>
      <c r="J2021" s="1" t="n">
        <f aca="false">K2020</f>
        <v>26264</v>
      </c>
      <c r="K2021" s="1" t="n">
        <f aca="false">J2021+L2021</f>
        <v>26304</v>
      </c>
      <c r="L2021" s="1" t="n">
        <v>40</v>
      </c>
      <c r="M2021" s="1" t="n">
        <f aca="false">(E2021+M2020)-N2021</f>
        <v>69.2999999999998</v>
      </c>
      <c r="N2021" s="1" t="n">
        <v>4.8</v>
      </c>
    </row>
    <row r="2022" customFormat="false" ht="15" hidden="false" customHeight="true" outlineLevel="0" collapsed="false">
      <c r="D2022" s="11"/>
      <c r="H2022" s="1" t="s">
        <v>44</v>
      </c>
      <c r="I2022" s="1" t="s">
        <v>34</v>
      </c>
      <c r="J2022" s="1" t="n">
        <f aca="false">K2021</f>
        <v>26304</v>
      </c>
      <c r="K2022" s="1" t="n">
        <f aca="false">J2022+L2022</f>
        <v>26344</v>
      </c>
      <c r="L2022" s="1" t="n">
        <v>40</v>
      </c>
      <c r="M2022" s="1" t="n">
        <f aca="false">(E2022+M2021)-N2022</f>
        <v>64.4999999999998</v>
      </c>
      <c r="N2022" s="1" t="n">
        <v>4.8</v>
      </c>
    </row>
    <row r="2023" customFormat="false" ht="15" hidden="false" customHeight="true" outlineLevel="0" collapsed="false">
      <c r="D2023" s="11"/>
      <c r="H2023" s="1" t="s">
        <v>34</v>
      </c>
      <c r="I2023" s="1" t="s">
        <v>54</v>
      </c>
      <c r="J2023" s="1" t="n">
        <f aca="false">K2022</f>
        <v>26344</v>
      </c>
      <c r="K2023" s="1" t="n">
        <f aca="false">J2023+L2023</f>
        <v>26371</v>
      </c>
      <c r="L2023" s="1" t="n">
        <v>27</v>
      </c>
      <c r="M2023" s="1" t="n">
        <f aca="false">(E2023+M2022)-N2023</f>
        <v>61.2999999999998</v>
      </c>
      <c r="N2023" s="1" t="n">
        <v>3.2</v>
      </c>
    </row>
    <row r="2024" customFormat="false" ht="15" hidden="false" customHeight="true" outlineLevel="0" collapsed="false">
      <c r="D2024" s="11"/>
      <c r="H2024" s="1" t="s">
        <v>54</v>
      </c>
      <c r="I2024" s="1" t="s">
        <v>34</v>
      </c>
      <c r="J2024" s="1" t="n">
        <f aca="false">K2023</f>
        <v>26371</v>
      </c>
      <c r="K2024" s="1" t="n">
        <f aca="false">J2024+L2024</f>
        <v>26398</v>
      </c>
      <c r="L2024" s="1" t="n">
        <v>27</v>
      </c>
      <c r="M2024" s="1" t="n">
        <f aca="false">(E2024+M2023)-N2024</f>
        <v>58.0999999999998</v>
      </c>
      <c r="N2024" s="1" t="n">
        <v>3.2</v>
      </c>
    </row>
    <row r="2025" customFormat="false" ht="15" hidden="false" customHeight="true" outlineLevel="0" collapsed="false">
      <c r="D2025" s="11" t="n">
        <v>45744</v>
      </c>
      <c r="H2025" s="1" t="s">
        <v>34</v>
      </c>
      <c r="I2025" s="1" t="s">
        <v>85</v>
      </c>
      <c r="J2025" s="1" t="n">
        <f aca="false">K2024</f>
        <v>26398</v>
      </c>
      <c r="K2025" s="1" t="n">
        <f aca="false">J2025+L2025</f>
        <v>26442</v>
      </c>
      <c r="L2025" s="1" t="n">
        <v>44</v>
      </c>
      <c r="M2025" s="1" t="n">
        <f aca="false">(E2025+M2024)-N2025</f>
        <v>53.0999999999998</v>
      </c>
      <c r="N2025" s="1" t="n">
        <v>5</v>
      </c>
    </row>
    <row r="2026" customFormat="false" ht="15" hidden="false" customHeight="true" outlineLevel="0" collapsed="false">
      <c r="D2026" s="11"/>
      <c r="H2026" s="1" t="s">
        <v>85</v>
      </c>
      <c r="I2026" s="1" t="s">
        <v>34</v>
      </c>
      <c r="J2026" s="1" t="n">
        <f aca="false">K2025</f>
        <v>26442</v>
      </c>
      <c r="K2026" s="1" t="n">
        <f aca="false">J2026+L2026</f>
        <v>26486</v>
      </c>
      <c r="L2026" s="1" t="n">
        <v>44</v>
      </c>
      <c r="M2026" s="1" t="n">
        <f aca="false">(E2026+M2025)-N2026</f>
        <v>48.0999999999998</v>
      </c>
      <c r="N2026" s="1" t="n">
        <v>5</v>
      </c>
    </row>
    <row r="2027" customFormat="false" ht="15" hidden="false" customHeight="true" outlineLevel="0" collapsed="false">
      <c r="D2027" s="11"/>
      <c r="H2027" s="1" t="s">
        <v>34</v>
      </c>
      <c r="I2027" s="1" t="s">
        <v>49</v>
      </c>
      <c r="J2027" s="1" t="n">
        <f aca="false">K2026</f>
        <v>26486</v>
      </c>
      <c r="K2027" s="1" t="n">
        <f aca="false">J2027+L2027</f>
        <v>26513</v>
      </c>
      <c r="L2027" s="1" t="n">
        <v>27</v>
      </c>
      <c r="M2027" s="1" t="n">
        <f aca="false">(E2027+M2026)-N2027</f>
        <v>44.8999999999998</v>
      </c>
      <c r="N2027" s="1" t="n">
        <v>3.2</v>
      </c>
    </row>
    <row r="2028" customFormat="false" ht="15" hidden="false" customHeight="true" outlineLevel="0" collapsed="false">
      <c r="D2028" s="11"/>
      <c r="H2028" s="1" t="s">
        <v>49</v>
      </c>
      <c r="I2028" s="1" t="s">
        <v>34</v>
      </c>
      <c r="J2028" s="1" t="n">
        <f aca="false">K2027</f>
        <v>26513</v>
      </c>
      <c r="K2028" s="1" t="n">
        <f aca="false">J2028+L2028</f>
        <v>26540</v>
      </c>
      <c r="L2028" s="1" t="n">
        <v>27</v>
      </c>
      <c r="M2028" s="1" t="n">
        <f aca="false">(E2028+M2027)-N2028</f>
        <v>41.6999999999998</v>
      </c>
      <c r="N2028" s="1" t="n">
        <v>3.2</v>
      </c>
    </row>
    <row r="2029" customFormat="false" ht="15" hidden="false" customHeight="true" outlineLevel="0" collapsed="false">
      <c r="D2029" s="11" t="n">
        <v>45747</v>
      </c>
      <c r="H2029" s="1" t="s">
        <v>34</v>
      </c>
      <c r="I2029" s="1" t="s">
        <v>54</v>
      </c>
      <c r="J2029" s="1" t="n">
        <f aca="false">K2028</f>
        <v>26540</v>
      </c>
      <c r="K2029" s="1" t="n">
        <f aca="false">J2029+L2029</f>
        <v>26567</v>
      </c>
      <c r="L2029" s="1" t="n">
        <v>27</v>
      </c>
      <c r="M2029" s="1" t="n">
        <f aca="false">(E2029+M2028)-N2029</f>
        <v>38.4999999999998</v>
      </c>
      <c r="N2029" s="1" t="n">
        <v>3.2</v>
      </c>
    </row>
    <row r="2030" customFormat="false" ht="15" hidden="false" customHeight="true" outlineLevel="0" collapsed="false">
      <c r="D2030" s="11"/>
      <c r="H2030" s="1" t="s">
        <v>54</v>
      </c>
      <c r="I2030" s="1" t="s">
        <v>34</v>
      </c>
      <c r="J2030" s="1" t="n">
        <f aca="false">K2029</f>
        <v>26567</v>
      </c>
      <c r="K2030" s="1" t="n">
        <f aca="false">J2030+L2030</f>
        <v>26594</v>
      </c>
      <c r="L2030" s="1" t="n">
        <v>27</v>
      </c>
      <c r="M2030" s="1" t="n">
        <f aca="false">(E2030+M2029)-N2030</f>
        <v>35.2999999999998</v>
      </c>
      <c r="N2030" s="1" t="n">
        <v>3.2</v>
      </c>
    </row>
    <row r="2031" customFormat="false" ht="15" hidden="false" customHeight="true" outlineLevel="0" collapsed="false">
      <c r="H2031" s="1" t="s">
        <v>34</v>
      </c>
      <c r="I2031" s="1" t="s">
        <v>35</v>
      </c>
      <c r="J2031" s="1" t="n">
        <f aca="false">K2030</f>
        <v>26594</v>
      </c>
      <c r="K2031" s="1" t="n">
        <f aca="false">J2031+L2031</f>
        <v>26606</v>
      </c>
      <c r="L2031" s="1" t="n">
        <v>12</v>
      </c>
      <c r="M2031" s="1" t="n">
        <f aca="false">(E2031+M2030)-N2031</f>
        <v>34.0499999999998</v>
      </c>
      <c r="N2031" s="1" t="n">
        <v>1.25</v>
      </c>
    </row>
    <row r="2032" customFormat="false" ht="15" hidden="false" customHeight="true" outlineLevel="0" collapsed="false">
      <c r="H2032" s="1" t="s">
        <v>35</v>
      </c>
      <c r="I2032" s="1" t="s">
        <v>34</v>
      </c>
      <c r="J2032" s="1" t="n">
        <f aca="false">K2031</f>
        <v>26606</v>
      </c>
      <c r="K2032" s="1" t="n">
        <f aca="false">J2032+L2032</f>
        <v>26618</v>
      </c>
      <c r="L2032" s="1" t="n">
        <v>12</v>
      </c>
      <c r="M2032" s="1" t="n">
        <f aca="false">(E2032+M2031)-N2032</f>
        <v>32.7999999999998</v>
      </c>
      <c r="N2032" s="1" t="n">
        <v>1.25</v>
      </c>
    </row>
    <row r="2034" customFormat="false" ht="15" hidden="false" customHeight="true" outlineLevel="0" collapsed="false">
      <c r="D2034" s="4" t="s">
        <v>92</v>
      </c>
      <c r="E2034" s="4"/>
      <c r="F2034" s="4"/>
      <c r="G2034" s="4"/>
    </row>
    <row r="2036" customFormat="false" ht="15" hidden="false" customHeight="true" outlineLevel="0" collapsed="false">
      <c r="D2036" s="11" t="n">
        <v>45748</v>
      </c>
      <c r="H2036" s="1" t="s">
        <v>34</v>
      </c>
      <c r="I2036" s="1" t="s">
        <v>85</v>
      </c>
      <c r="J2036" s="1" t="n">
        <f aca="false">K2032</f>
        <v>26618</v>
      </c>
      <c r="K2036" s="1" t="n">
        <f aca="false">J2036+L2036</f>
        <v>26662</v>
      </c>
      <c r="L2036" s="1" t="n">
        <v>44</v>
      </c>
      <c r="M2036" s="1" t="n">
        <f aca="false">(E2036+M2032)-N2036</f>
        <v>27.7999999999998</v>
      </c>
      <c r="N2036" s="1" t="n">
        <v>5</v>
      </c>
    </row>
    <row r="2037" customFormat="false" ht="15" hidden="false" customHeight="true" outlineLevel="0" collapsed="false">
      <c r="H2037" s="1" t="s">
        <v>85</v>
      </c>
      <c r="I2037" s="1" t="s">
        <v>34</v>
      </c>
      <c r="J2037" s="1" t="n">
        <f aca="false">K2036</f>
        <v>26662</v>
      </c>
      <c r="K2037" s="1" t="n">
        <f aca="false">J2037+L2037</f>
        <v>26706</v>
      </c>
      <c r="L2037" s="1" t="n">
        <v>44</v>
      </c>
      <c r="M2037" s="1" t="n">
        <f aca="false">(E2037+M2036)-N2037</f>
        <v>22.7999999999998</v>
      </c>
      <c r="N2037" s="1" t="n">
        <v>5</v>
      </c>
    </row>
    <row r="2038" customFormat="false" ht="15" hidden="false" customHeight="true" outlineLevel="0" collapsed="false">
      <c r="D2038" s="11" t="n">
        <v>45749</v>
      </c>
      <c r="H2038" s="1" t="s">
        <v>34</v>
      </c>
      <c r="I2038" s="1" t="s">
        <v>54</v>
      </c>
      <c r="J2038" s="1" t="n">
        <f aca="false">K2037</f>
        <v>26706</v>
      </c>
      <c r="K2038" s="1" t="n">
        <f aca="false">J2038+L2038</f>
        <v>26733</v>
      </c>
      <c r="L2038" s="1" t="n">
        <v>27</v>
      </c>
      <c r="M2038" s="1" t="n">
        <f aca="false">(E2038+M2037)-N2038</f>
        <v>19.5999999999998</v>
      </c>
      <c r="N2038" s="1" t="n">
        <v>3.2</v>
      </c>
    </row>
    <row r="2039" customFormat="false" ht="15" hidden="false" customHeight="true" outlineLevel="0" collapsed="false">
      <c r="D2039" s="11"/>
      <c r="H2039" s="1" t="s">
        <v>54</v>
      </c>
      <c r="I2039" s="1" t="s">
        <v>34</v>
      </c>
      <c r="J2039" s="1" t="n">
        <f aca="false">K2038</f>
        <v>26733</v>
      </c>
      <c r="K2039" s="1" t="n">
        <f aca="false">J2039+L2039</f>
        <v>26760</v>
      </c>
      <c r="L2039" s="1" t="n">
        <v>27</v>
      </c>
      <c r="M2039" s="1" t="n">
        <f aca="false">(E2039+M2038)-N2039</f>
        <v>16.3999999999998</v>
      </c>
      <c r="N2039" s="1" t="n">
        <v>3.2</v>
      </c>
    </row>
    <row r="2040" customFormat="false" ht="15" hidden="false" customHeight="true" outlineLevel="0" collapsed="false">
      <c r="D2040" s="11" t="n">
        <v>45750</v>
      </c>
      <c r="E2040" s="0" t="n">
        <v>39.75</v>
      </c>
      <c r="F2040" s="1" t="n">
        <v>62.51</v>
      </c>
      <c r="G2040" s="6" t="n">
        <f aca="false">E2040*F2040</f>
        <v>2484.7725</v>
      </c>
      <c r="H2040" s="1" t="s">
        <v>34</v>
      </c>
      <c r="I2040" s="1" t="s">
        <v>44</v>
      </c>
      <c r="J2040" s="1" t="n">
        <f aca="false">K2039</f>
        <v>26760</v>
      </c>
      <c r="K2040" s="1" t="n">
        <f aca="false">J2040+L2040</f>
        <v>26800</v>
      </c>
      <c r="L2040" s="1" t="n">
        <v>40</v>
      </c>
      <c r="M2040" s="1" t="n">
        <f aca="false">(E2040+M2039)-N2040</f>
        <v>51.3499999999998</v>
      </c>
      <c r="N2040" s="1" t="n">
        <v>4.8</v>
      </c>
    </row>
    <row r="2041" customFormat="false" ht="15" hidden="false" customHeight="true" outlineLevel="0" collapsed="false">
      <c r="D2041" s="11"/>
      <c r="H2041" s="1" t="s">
        <v>44</v>
      </c>
      <c r="I2041" s="1" t="s">
        <v>34</v>
      </c>
      <c r="J2041" s="1" t="n">
        <f aca="false">K2040</f>
        <v>26800</v>
      </c>
      <c r="K2041" s="1" t="n">
        <f aca="false">J2041+L2041</f>
        <v>26840</v>
      </c>
      <c r="L2041" s="1" t="n">
        <v>40</v>
      </c>
      <c r="M2041" s="1" t="n">
        <f aca="false">(E2041+M2040)-N2041</f>
        <v>46.5499999999998</v>
      </c>
      <c r="N2041" s="1" t="n">
        <v>4.8</v>
      </c>
    </row>
    <row r="2042" customFormat="false" ht="15" hidden="false" customHeight="true" outlineLevel="0" collapsed="false">
      <c r="D2042" s="11" t="n">
        <v>45751</v>
      </c>
      <c r="H2042" s="1" t="s">
        <v>34</v>
      </c>
      <c r="I2042" s="1" t="s">
        <v>35</v>
      </c>
      <c r="J2042" s="1" t="n">
        <f aca="false">K2041</f>
        <v>26840</v>
      </c>
      <c r="K2042" s="1" t="n">
        <f aca="false">J2042+L2042</f>
        <v>26852</v>
      </c>
      <c r="L2042" s="1" t="n">
        <v>12</v>
      </c>
      <c r="M2042" s="1" t="n">
        <f aca="false">(E2042+M2041)-N2042</f>
        <v>45.2999999999998</v>
      </c>
      <c r="N2042" s="1" t="n">
        <v>1.25</v>
      </c>
    </row>
    <row r="2043" customFormat="false" ht="15" hidden="false" customHeight="true" outlineLevel="0" collapsed="false">
      <c r="H2043" s="1" t="s">
        <v>35</v>
      </c>
      <c r="I2043" s="1" t="s">
        <v>34</v>
      </c>
      <c r="J2043" s="1" t="n">
        <f aca="false">K2042</f>
        <v>26852</v>
      </c>
      <c r="K2043" s="1" t="n">
        <f aca="false">J2043+L2043</f>
        <v>26864</v>
      </c>
      <c r="L2043" s="1" t="n">
        <v>12</v>
      </c>
      <c r="M2043" s="1" t="n">
        <f aca="false">(E2043+M2042)-N2043</f>
        <v>44.0499999999998</v>
      </c>
      <c r="N2043" s="1" t="n">
        <v>1.25</v>
      </c>
    </row>
    <row r="2044" customFormat="false" ht="15" hidden="false" customHeight="true" outlineLevel="0" collapsed="false">
      <c r="D2044" s="11" t="n">
        <v>45754</v>
      </c>
      <c r="H2044" s="1" t="s">
        <v>34</v>
      </c>
      <c r="I2044" s="1" t="s">
        <v>54</v>
      </c>
      <c r="J2044" s="1" t="n">
        <f aca="false">K2043</f>
        <v>26864</v>
      </c>
      <c r="K2044" s="1" t="n">
        <f aca="false">J2044+L2044</f>
        <v>26891</v>
      </c>
      <c r="L2044" s="1" t="n">
        <v>27</v>
      </c>
      <c r="M2044" s="1" t="n">
        <f aca="false">(E2044+M2043)-N2044</f>
        <v>40.8499999999998</v>
      </c>
      <c r="N2044" s="1" t="n">
        <v>3.2</v>
      </c>
    </row>
    <row r="2045" customFormat="false" ht="15" hidden="false" customHeight="true" outlineLevel="0" collapsed="false">
      <c r="D2045" s="11"/>
      <c r="H2045" s="1" t="s">
        <v>54</v>
      </c>
      <c r="I2045" s="1" t="s">
        <v>34</v>
      </c>
      <c r="J2045" s="1" t="n">
        <f aca="false">K2044</f>
        <v>26891</v>
      </c>
      <c r="K2045" s="1" t="n">
        <f aca="false">J2045+L2045</f>
        <v>26918</v>
      </c>
      <c r="L2045" s="1" t="n">
        <v>27</v>
      </c>
      <c r="M2045" s="1" t="n">
        <f aca="false">(E2045+M2044)-N2045</f>
        <v>37.6499999999998</v>
      </c>
      <c r="N2045" s="1" t="n">
        <v>3.2</v>
      </c>
    </row>
    <row r="2046" customFormat="false" ht="15" hidden="false" customHeight="true" outlineLevel="0" collapsed="false">
      <c r="D2046" s="11" t="n">
        <v>45755</v>
      </c>
      <c r="H2046" s="1" t="s">
        <v>34</v>
      </c>
      <c r="I2046" s="1" t="s">
        <v>54</v>
      </c>
      <c r="J2046" s="1" t="n">
        <f aca="false">K2045</f>
        <v>26918</v>
      </c>
      <c r="K2046" s="1" t="n">
        <f aca="false">J2046+L2046</f>
        <v>26945</v>
      </c>
      <c r="L2046" s="1" t="n">
        <v>27</v>
      </c>
      <c r="M2046" s="1" t="n">
        <f aca="false">(E2046+M2045)-N2046</f>
        <v>34.4499999999998</v>
      </c>
      <c r="N2046" s="1" t="n">
        <v>3.2</v>
      </c>
    </row>
    <row r="2047" customFormat="false" ht="15" hidden="false" customHeight="true" outlineLevel="0" collapsed="false">
      <c r="D2047" s="11"/>
      <c r="H2047" s="1" t="s">
        <v>54</v>
      </c>
      <c r="I2047" s="1" t="s">
        <v>34</v>
      </c>
      <c r="J2047" s="1" t="n">
        <f aca="false">K2046</f>
        <v>26945</v>
      </c>
      <c r="K2047" s="1" t="n">
        <f aca="false">J2047+L2047</f>
        <v>26972</v>
      </c>
      <c r="L2047" s="1" t="n">
        <v>27</v>
      </c>
      <c r="M2047" s="1" t="n">
        <f aca="false">(E2047+M2046)-N2047</f>
        <v>31.2499999999998</v>
      </c>
      <c r="N2047" s="1" t="n">
        <v>3.2</v>
      </c>
    </row>
    <row r="2048" customFormat="false" ht="15" hidden="false" customHeight="true" outlineLevel="0" collapsed="false">
      <c r="D2048" s="11" t="n">
        <v>45756</v>
      </c>
      <c r="H2048" s="1" t="s">
        <v>34</v>
      </c>
      <c r="I2048" s="1" t="s">
        <v>54</v>
      </c>
      <c r="J2048" s="1" t="n">
        <f aca="false">K2047</f>
        <v>26972</v>
      </c>
      <c r="K2048" s="1" t="n">
        <f aca="false">J2048+L2048</f>
        <v>26999</v>
      </c>
      <c r="L2048" s="1" t="n">
        <v>27</v>
      </c>
      <c r="M2048" s="1" t="n">
        <f aca="false">(E2048+M2047)-N2048</f>
        <v>28.0499999999998</v>
      </c>
      <c r="N2048" s="1" t="n">
        <v>3.2</v>
      </c>
    </row>
    <row r="2049" customFormat="false" ht="15" hidden="false" customHeight="true" outlineLevel="0" collapsed="false">
      <c r="D2049" s="11"/>
      <c r="H2049" s="1" t="s">
        <v>54</v>
      </c>
      <c r="I2049" s="1" t="s">
        <v>34</v>
      </c>
      <c r="J2049" s="1" t="n">
        <f aca="false">K2048</f>
        <v>26999</v>
      </c>
      <c r="K2049" s="1" t="n">
        <f aca="false">J2049+L2049</f>
        <v>27026</v>
      </c>
      <c r="L2049" s="1" t="n">
        <v>27</v>
      </c>
      <c r="M2049" s="1" t="n">
        <f aca="false">(E2049+M2048)-N2049</f>
        <v>24.8499999999998</v>
      </c>
      <c r="N2049" s="1" t="n">
        <v>3.2</v>
      </c>
    </row>
    <row r="2050" customFormat="false" ht="15" hidden="false" customHeight="true" outlineLevel="0" collapsed="false">
      <c r="D2050" s="11" t="n">
        <v>45757</v>
      </c>
      <c r="H2050" s="1" t="s">
        <v>34</v>
      </c>
      <c r="I2050" s="1" t="s">
        <v>49</v>
      </c>
      <c r="J2050" s="1" t="n">
        <f aca="false">K2049</f>
        <v>27026</v>
      </c>
      <c r="K2050" s="1" t="n">
        <f aca="false">J2050+L2050</f>
        <v>27053</v>
      </c>
      <c r="L2050" s="1" t="n">
        <v>27</v>
      </c>
      <c r="M2050" s="1" t="n">
        <f aca="false">(E2050+M2049)-N2050</f>
        <v>21.6499999999998</v>
      </c>
      <c r="N2050" s="1" t="n">
        <v>3.2</v>
      </c>
    </row>
    <row r="2051" customFormat="false" ht="15" hidden="false" customHeight="true" outlineLevel="0" collapsed="false">
      <c r="D2051" s="11"/>
      <c r="H2051" s="1" t="s">
        <v>49</v>
      </c>
      <c r="I2051" s="1" t="s">
        <v>34</v>
      </c>
      <c r="J2051" s="1" t="n">
        <f aca="false">K2050</f>
        <v>27053</v>
      </c>
      <c r="K2051" s="1" t="n">
        <f aca="false">J2051+L2051</f>
        <v>27080</v>
      </c>
      <c r="L2051" s="1" t="n">
        <v>27</v>
      </c>
      <c r="M2051" s="1" t="n">
        <f aca="false">(E2051+M2050)-N2051</f>
        <v>18.4499999999998</v>
      </c>
      <c r="N2051" s="1" t="n">
        <v>3.2</v>
      </c>
    </row>
    <row r="2052" customFormat="false" ht="15" hidden="false" customHeight="true" outlineLevel="0" collapsed="false">
      <c r="D2052" s="11" t="n">
        <v>45758</v>
      </c>
      <c r="H2052" s="1" t="s">
        <v>34</v>
      </c>
      <c r="I2052" s="1" t="s">
        <v>43</v>
      </c>
      <c r="J2052" s="1" t="n">
        <f aca="false">K2051</f>
        <v>27080</v>
      </c>
      <c r="K2052" s="1" t="n">
        <f aca="false">J2052+L2052</f>
        <v>27092</v>
      </c>
      <c r="L2052" s="1" t="n">
        <v>12</v>
      </c>
      <c r="M2052" s="1" t="n">
        <f aca="false">(E2052+M2051)-N2052</f>
        <v>17.1999999999998</v>
      </c>
      <c r="N2052" s="1" t="n">
        <v>1.25</v>
      </c>
    </row>
    <row r="2053" customFormat="false" ht="15" hidden="false" customHeight="true" outlineLevel="0" collapsed="false">
      <c r="H2053" s="1" t="s">
        <v>43</v>
      </c>
      <c r="I2053" s="1" t="s">
        <v>34</v>
      </c>
      <c r="J2053" s="1" t="n">
        <f aca="false">K2052</f>
        <v>27092</v>
      </c>
      <c r="K2053" s="1" t="n">
        <f aca="false">J2053+L2053</f>
        <v>27104</v>
      </c>
      <c r="L2053" s="1" t="n">
        <v>12</v>
      </c>
      <c r="M2053" s="1" t="n">
        <f aca="false">(E2053+M2052)-N2053</f>
        <v>15.9499999999998</v>
      </c>
      <c r="N2053" s="1" t="n">
        <v>1.25</v>
      </c>
    </row>
    <row r="2054" customFormat="false" ht="15" hidden="false" customHeight="true" outlineLevel="0" collapsed="false">
      <c r="D2054" s="11" t="n">
        <v>45761</v>
      </c>
      <c r="H2054" s="1" t="s">
        <v>34</v>
      </c>
      <c r="I2054" s="1" t="s">
        <v>85</v>
      </c>
      <c r="J2054" s="1" t="n">
        <f aca="false">K2053</f>
        <v>27104</v>
      </c>
      <c r="K2054" s="1" t="n">
        <f aca="false">J2054+L2054</f>
        <v>27148</v>
      </c>
      <c r="L2054" s="1" t="n">
        <v>44</v>
      </c>
      <c r="M2054" s="1" t="n">
        <f aca="false">(E2054+M2053)-N2054</f>
        <v>10.9499999999998</v>
      </c>
      <c r="N2054" s="1" t="n">
        <v>5</v>
      </c>
    </row>
    <row r="2055" customFormat="false" ht="15" hidden="false" customHeight="true" outlineLevel="0" collapsed="false">
      <c r="D2055" s="11"/>
      <c r="H2055" s="1" t="s">
        <v>85</v>
      </c>
      <c r="I2055" s="1" t="s">
        <v>34</v>
      </c>
      <c r="J2055" s="1" t="n">
        <f aca="false">K2054</f>
        <v>27148</v>
      </c>
      <c r="K2055" s="1" t="n">
        <f aca="false">J2055+L2055</f>
        <v>27192</v>
      </c>
      <c r="L2055" s="1" t="n">
        <v>44</v>
      </c>
      <c r="M2055" s="1" t="n">
        <f aca="false">(E2055+M2054)-N2055</f>
        <v>5.94999999999979</v>
      </c>
      <c r="N2055" s="1" t="n">
        <v>5</v>
      </c>
    </row>
    <row r="2056" customFormat="false" ht="15" hidden="false" customHeight="true" outlineLevel="0" collapsed="false">
      <c r="D2056" s="11" t="n">
        <v>45762</v>
      </c>
      <c r="E2056" s="0" t="n">
        <v>49.06</v>
      </c>
      <c r="F2056" s="1" t="n">
        <v>62.63</v>
      </c>
      <c r="G2056" s="6" t="n">
        <f aca="false">E2056*F2056</f>
        <v>3072.6278</v>
      </c>
      <c r="H2056" s="1" t="s">
        <v>34</v>
      </c>
      <c r="I2056" s="1" t="s">
        <v>44</v>
      </c>
      <c r="J2056" s="1" t="n">
        <f aca="false">K2055</f>
        <v>27192</v>
      </c>
      <c r="K2056" s="1" t="n">
        <f aca="false">J2056+L2056</f>
        <v>27232</v>
      </c>
      <c r="L2056" s="1" t="n">
        <v>40</v>
      </c>
      <c r="M2056" s="1" t="n">
        <f aca="false">(E2056+M2055)-N2056</f>
        <v>50.2099999999998</v>
      </c>
      <c r="N2056" s="1" t="n">
        <v>4.8</v>
      </c>
    </row>
    <row r="2057" customFormat="false" ht="15" hidden="false" customHeight="true" outlineLevel="0" collapsed="false">
      <c r="D2057" s="11"/>
      <c r="H2057" s="1" t="s">
        <v>44</v>
      </c>
      <c r="I2057" s="1" t="s">
        <v>34</v>
      </c>
      <c r="J2057" s="1" t="n">
        <f aca="false">K2056</f>
        <v>27232</v>
      </c>
      <c r="K2057" s="1" t="n">
        <f aca="false">J2057+L2057</f>
        <v>27272</v>
      </c>
      <c r="L2057" s="1" t="n">
        <v>40</v>
      </c>
      <c r="M2057" s="1" t="n">
        <f aca="false">(E2057+M2056)-N2057</f>
        <v>45.4099999999998</v>
      </c>
      <c r="N2057" s="1" t="n">
        <v>4.8</v>
      </c>
    </row>
    <row r="2058" customFormat="false" ht="15" hidden="false" customHeight="true" outlineLevel="0" collapsed="false">
      <c r="D2058" s="11" t="n">
        <v>45763</v>
      </c>
      <c r="H2058" s="1" t="s">
        <v>34</v>
      </c>
      <c r="I2058" s="1" t="s">
        <v>44</v>
      </c>
      <c r="J2058" s="1" t="n">
        <f aca="false">K2057</f>
        <v>27272</v>
      </c>
      <c r="K2058" s="1" t="n">
        <f aca="false">J2058+L2058</f>
        <v>27312</v>
      </c>
      <c r="L2058" s="1" t="n">
        <v>40</v>
      </c>
      <c r="M2058" s="1" t="n">
        <f aca="false">(E2058+M2057)-N2058</f>
        <v>40.6099999999998</v>
      </c>
      <c r="N2058" s="1" t="n">
        <v>4.8</v>
      </c>
    </row>
    <row r="2059" customFormat="false" ht="15" hidden="false" customHeight="true" outlineLevel="0" collapsed="false">
      <c r="D2059" s="11"/>
      <c r="H2059" s="1" t="s">
        <v>44</v>
      </c>
      <c r="I2059" s="1" t="s">
        <v>34</v>
      </c>
      <c r="J2059" s="1" t="n">
        <f aca="false">K2058</f>
        <v>27312</v>
      </c>
      <c r="K2059" s="1" t="n">
        <f aca="false">J2059+L2059</f>
        <v>27352</v>
      </c>
      <c r="L2059" s="1" t="n">
        <v>40</v>
      </c>
      <c r="M2059" s="1" t="n">
        <f aca="false">(E2059+M2058)-N2059</f>
        <v>35.8099999999998</v>
      </c>
      <c r="N2059" s="1" t="n">
        <v>4.8</v>
      </c>
    </row>
    <row r="2060" customFormat="false" ht="15" hidden="false" customHeight="true" outlineLevel="0" collapsed="false">
      <c r="D2060" s="11" t="n">
        <v>45764</v>
      </c>
      <c r="H2060" s="1" t="s">
        <v>34</v>
      </c>
      <c r="I2060" s="1" t="s">
        <v>54</v>
      </c>
      <c r="J2060" s="1" t="n">
        <f aca="false">K2059</f>
        <v>27352</v>
      </c>
      <c r="K2060" s="1" t="n">
        <f aca="false">J2060+L2060</f>
        <v>27379</v>
      </c>
      <c r="L2060" s="1" t="n">
        <v>27</v>
      </c>
      <c r="M2060" s="1" t="n">
        <f aca="false">(E2060+M2059)-N2060</f>
        <v>32.6099999999998</v>
      </c>
      <c r="N2060" s="1" t="n">
        <v>3.2</v>
      </c>
    </row>
    <row r="2061" customFormat="false" ht="15" hidden="false" customHeight="true" outlineLevel="0" collapsed="false">
      <c r="D2061" s="11"/>
      <c r="H2061" s="1" t="s">
        <v>54</v>
      </c>
      <c r="I2061" s="1" t="s">
        <v>34</v>
      </c>
      <c r="J2061" s="1" t="n">
        <f aca="false">K2060</f>
        <v>27379</v>
      </c>
      <c r="K2061" s="1" t="n">
        <f aca="false">J2061+L2061</f>
        <v>27406</v>
      </c>
      <c r="L2061" s="1" t="n">
        <v>27</v>
      </c>
      <c r="M2061" s="1" t="n">
        <f aca="false">(E2061+M2060)-N2061</f>
        <v>29.4099999999998</v>
      </c>
      <c r="N2061" s="1" t="n">
        <v>3.2</v>
      </c>
    </row>
    <row r="2062" customFormat="false" ht="15" hidden="false" customHeight="true" outlineLevel="0" collapsed="false">
      <c r="D2062" s="11" t="n">
        <v>45765</v>
      </c>
      <c r="H2062" s="1" t="s">
        <v>34</v>
      </c>
      <c r="I2062" s="1" t="s">
        <v>81</v>
      </c>
      <c r="J2062" s="1" t="n">
        <f aca="false">K2061</f>
        <v>27406</v>
      </c>
      <c r="K2062" s="1" t="n">
        <f aca="false">J2062+L2062</f>
        <v>27430</v>
      </c>
      <c r="L2062" s="1" t="n">
        <v>24</v>
      </c>
      <c r="M2062" s="1" t="n">
        <f aca="false">(E2062+M2061)-N2062</f>
        <v>26.9099999999998</v>
      </c>
      <c r="N2062" s="1" t="n">
        <v>2.5</v>
      </c>
    </row>
    <row r="2063" customFormat="false" ht="15" hidden="false" customHeight="true" outlineLevel="0" collapsed="false">
      <c r="H2063" s="1" t="s">
        <v>81</v>
      </c>
      <c r="I2063" s="1" t="s">
        <v>34</v>
      </c>
      <c r="J2063" s="1" t="n">
        <f aca="false">K2062</f>
        <v>27430</v>
      </c>
      <c r="K2063" s="1" t="n">
        <f aca="false">J2063+L2063</f>
        <v>27454</v>
      </c>
      <c r="L2063" s="1" t="n">
        <v>24</v>
      </c>
      <c r="M2063" s="1" t="n">
        <f aca="false">(E2063+M2062)-N2063</f>
        <v>24.4099999999998</v>
      </c>
      <c r="N2063" s="1" t="n">
        <v>2.5</v>
      </c>
    </row>
    <row r="2064" customFormat="false" ht="15" hidden="false" customHeight="true" outlineLevel="0" collapsed="false">
      <c r="D2064" s="11" t="n">
        <v>45768</v>
      </c>
      <c r="H2064" s="1" t="s">
        <v>34</v>
      </c>
      <c r="I2064" s="1" t="s">
        <v>81</v>
      </c>
      <c r="J2064" s="1" t="n">
        <f aca="false">K2063</f>
        <v>27454</v>
      </c>
      <c r="K2064" s="1" t="n">
        <f aca="false">J2064+L2064</f>
        <v>27478</v>
      </c>
      <c r="L2064" s="1" t="n">
        <v>24</v>
      </c>
      <c r="M2064" s="1" t="n">
        <f aca="false">(E2064+M2063)-N2064</f>
        <v>21.9099999999998</v>
      </c>
      <c r="N2064" s="1" t="n">
        <v>2.5</v>
      </c>
    </row>
    <row r="2065" customFormat="false" ht="15" hidden="false" customHeight="true" outlineLevel="0" collapsed="false">
      <c r="D2065" s="11"/>
      <c r="H2065" s="1" t="s">
        <v>81</v>
      </c>
      <c r="I2065" s="1" t="s">
        <v>34</v>
      </c>
      <c r="J2065" s="1" t="n">
        <f aca="false">K2064</f>
        <v>27478</v>
      </c>
      <c r="K2065" s="1" t="n">
        <f aca="false">J2065+L2065</f>
        <v>27502</v>
      </c>
      <c r="L2065" s="1" t="n">
        <v>24</v>
      </c>
      <c r="M2065" s="1" t="n">
        <f aca="false">(E2065+M2064)-N2065</f>
        <v>19.4099999999998</v>
      </c>
      <c r="N2065" s="1" t="n">
        <v>2.5</v>
      </c>
    </row>
    <row r="2066" customFormat="false" ht="15" hidden="false" customHeight="true" outlineLevel="0" collapsed="false">
      <c r="D2066" s="11" t="n">
        <v>45769</v>
      </c>
      <c r="H2066" s="1" t="s">
        <v>34</v>
      </c>
      <c r="I2066" s="1" t="s">
        <v>44</v>
      </c>
      <c r="J2066" s="1" t="n">
        <f aca="false">K2065</f>
        <v>27502</v>
      </c>
      <c r="K2066" s="1" t="n">
        <f aca="false">J2066+L2066</f>
        <v>27542</v>
      </c>
      <c r="L2066" s="1" t="n">
        <v>40</v>
      </c>
      <c r="M2066" s="1" t="n">
        <f aca="false">(E2066+M2065)-N2066</f>
        <v>14.6099999999998</v>
      </c>
      <c r="N2066" s="1" t="n">
        <v>4.8</v>
      </c>
    </row>
    <row r="2067" customFormat="false" ht="15" hidden="false" customHeight="true" outlineLevel="0" collapsed="false">
      <c r="D2067" s="11"/>
      <c r="H2067" s="1" t="s">
        <v>44</v>
      </c>
      <c r="I2067" s="1" t="s">
        <v>34</v>
      </c>
      <c r="J2067" s="1" t="n">
        <f aca="false">K2066</f>
        <v>27542</v>
      </c>
      <c r="K2067" s="1" t="n">
        <f aca="false">J2067+L2067</f>
        <v>27582</v>
      </c>
      <c r="L2067" s="1" t="n">
        <v>40</v>
      </c>
      <c r="M2067" s="1" t="n">
        <f aca="false">(E2067+M2066)-N2067</f>
        <v>9.8099999999998</v>
      </c>
      <c r="N2067" s="1" t="n">
        <v>4.8</v>
      </c>
    </row>
    <row r="2068" customFormat="false" ht="15" hidden="false" customHeight="true" outlineLevel="0" collapsed="false">
      <c r="D2068" s="11" t="n">
        <v>45770</v>
      </c>
      <c r="E2068" s="0" t="n">
        <v>49.54</v>
      </c>
      <c r="F2068" s="1" t="n">
        <v>62.47</v>
      </c>
      <c r="G2068" s="6" t="n">
        <f aca="false">E2068*F2068</f>
        <v>3094.7638</v>
      </c>
      <c r="H2068" s="1" t="s">
        <v>34</v>
      </c>
      <c r="I2068" s="1" t="s">
        <v>85</v>
      </c>
      <c r="J2068" s="1" t="n">
        <f aca="false">K2067</f>
        <v>27582</v>
      </c>
      <c r="K2068" s="1" t="n">
        <f aca="false">J2068+L2068</f>
        <v>27626</v>
      </c>
      <c r="L2068" s="1" t="n">
        <v>44</v>
      </c>
      <c r="M2068" s="1" t="n">
        <f aca="false">(E2068+M2067)-N2068</f>
        <v>54.3499999999998</v>
      </c>
      <c r="N2068" s="1" t="n">
        <v>5</v>
      </c>
    </row>
    <row r="2069" customFormat="false" ht="15" hidden="false" customHeight="true" outlineLevel="0" collapsed="false">
      <c r="D2069" s="11"/>
      <c r="H2069" s="1" t="s">
        <v>85</v>
      </c>
      <c r="I2069" s="1" t="s">
        <v>34</v>
      </c>
      <c r="J2069" s="1" t="n">
        <f aca="false">K2068</f>
        <v>27626</v>
      </c>
      <c r="K2069" s="1" t="n">
        <f aca="false">J2069+L2069</f>
        <v>27670</v>
      </c>
      <c r="L2069" s="1" t="n">
        <v>44</v>
      </c>
      <c r="M2069" s="1" t="n">
        <f aca="false">(E2069+M2068)-N2069</f>
        <v>49.3499999999998</v>
      </c>
      <c r="N2069" s="1" t="n">
        <v>5</v>
      </c>
    </row>
    <row r="2070" customFormat="false" ht="15" hidden="false" customHeight="true" outlineLevel="0" collapsed="false">
      <c r="D2070" s="11" t="n">
        <v>45771</v>
      </c>
      <c r="H2070" s="1" t="s">
        <v>34</v>
      </c>
      <c r="I2070" s="1" t="s">
        <v>44</v>
      </c>
      <c r="J2070" s="1" t="n">
        <f aca="false">K2069</f>
        <v>27670</v>
      </c>
      <c r="K2070" s="1" t="n">
        <f aca="false">J2070+L2070</f>
        <v>27710</v>
      </c>
      <c r="L2070" s="1" t="n">
        <v>40</v>
      </c>
      <c r="M2070" s="1" t="n">
        <f aca="false">(E2070+M2069)-N2070</f>
        <v>44.5499999999998</v>
      </c>
      <c r="N2070" s="1" t="n">
        <v>4.8</v>
      </c>
    </row>
    <row r="2071" customFormat="false" ht="15" hidden="false" customHeight="true" outlineLevel="0" collapsed="false">
      <c r="D2071" s="11"/>
      <c r="H2071" s="1" t="s">
        <v>44</v>
      </c>
      <c r="I2071" s="1" t="s">
        <v>34</v>
      </c>
      <c r="J2071" s="1" t="n">
        <f aca="false">K2070</f>
        <v>27710</v>
      </c>
      <c r="K2071" s="1" t="n">
        <f aca="false">J2071+L2071</f>
        <v>27750</v>
      </c>
      <c r="L2071" s="1" t="n">
        <v>40</v>
      </c>
      <c r="M2071" s="1" t="n">
        <f aca="false">(E2071+M2070)-N2071</f>
        <v>39.7499999999998</v>
      </c>
      <c r="N2071" s="1" t="n">
        <v>4.8</v>
      </c>
    </row>
    <row r="2072" customFormat="false" ht="15" hidden="false" customHeight="true" outlineLevel="0" collapsed="false">
      <c r="D2072" s="11" t="n">
        <v>45772</v>
      </c>
      <c r="H2072" s="1" t="s">
        <v>34</v>
      </c>
      <c r="I2072" s="1" t="s">
        <v>54</v>
      </c>
      <c r="J2072" s="1" t="n">
        <f aca="false">K2071</f>
        <v>27750</v>
      </c>
      <c r="K2072" s="1" t="n">
        <f aca="false">J2072+L2072</f>
        <v>27777</v>
      </c>
      <c r="L2072" s="1" t="n">
        <v>27</v>
      </c>
      <c r="M2072" s="1" t="n">
        <f aca="false">(E2072+M2071)-N2072</f>
        <v>36.5499999999998</v>
      </c>
      <c r="N2072" s="1" t="n">
        <v>3.2</v>
      </c>
    </row>
    <row r="2073" customFormat="false" ht="15" hidden="false" customHeight="true" outlineLevel="0" collapsed="false">
      <c r="H2073" s="1" t="s">
        <v>54</v>
      </c>
      <c r="I2073" s="1" t="s">
        <v>34</v>
      </c>
      <c r="J2073" s="1" t="n">
        <f aca="false">K2072</f>
        <v>27777</v>
      </c>
      <c r="K2073" s="1" t="n">
        <f aca="false">J2073+L2073</f>
        <v>27804</v>
      </c>
      <c r="L2073" s="1" t="n">
        <v>27</v>
      </c>
      <c r="M2073" s="1" t="n">
        <f aca="false">(E2073+M2072)-N2073</f>
        <v>33.3499999999998</v>
      </c>
      <c r="N2073" s="1" t="n">
        <v>3.2</v>
      </c>
    </row>
    <row r="2074" customFormat="false" ht="15" hidden="false" customHeight="true" outlineLevel="0" collapsed="false">
      <c r="D2074" s="11" t="n">
        <v>45775</v>
      </c>
      <c r="H2074" s="1" t="s">
        <v>34</v>
      </c>
      <c r="I2074" s="1" t="s">
        <v>81</v>
      </c>
      <c r="J2074" s="1" t="n">
        <f aca="false">K2073</f>
        <v>27804</v>
      </c>
      <c r="K2074" s="1" t="n">
        <f aca="false">J2074+L2074</f>
        <v>27828</v>
      </c>
      <c r="L2074" s="1" t="n">
        <v>24</v>
      </c>
      <c r="M2074" s="1" t="n">
        <f aca="false">(E2074+M2073)-N2074</f>
        <v>30.8499999999998</v>
      </c>
      <c r="N2074" s="1" t="n">
        <v>2.5</v>
      </c>
    </row>
    <row r="2075" customFormat="false" ht="15" hidden="false" customHeight="true" outlineLevel="0" collapsed="false">
      <c r="D2075" s="11"/>
      <c r="H2075" s="1" t="s">
        <v>81</v>
      </c>
      <c r="I2075" s="1" t="s">
        <v>34</v>
      </c>
      <c r="J2075" s="1" t="n">
        <f aca="false">K2074</f>
        <v>27828</v>
      </c>
      <c r="K2075" s="1" t="n">
        <f aca="false">J2075+L2075</f>
        <v>27852</v>
      </c>
      <c r="L2075" s="1" t="n">
        <v>24</v>
      </c>
      <c r="M2075" s="1" t="n">
        <f aca="false">(E2075+M2074)-N2075</f>
        <v>28.3499999999998</v>
      </c>
      <c r="N2075" s="1" t="n">
        <v>2.5</v>
      </c>
    </row>
    <row r="2076" customFormat="false" ht="15" hidden="false" customHeight="true" outlineLevel="0" collapsed="false">
      <c r="D2076" s="11" t="n">
        <v>45776</v>
      </c>
      <c r="H2076" s="1" t="s">
        <v>34</v>
      </c>
      <c r="I2076" s="1" t="s">
        <v>85</v>
      </c>
      <c r="J2076" s="1" t="n">
        <f aca="false">K2075</f>
        <v>27852</v>
      </c>
      <c r="K2076" s="1" t="n">
        <f aca="false">J2076+L2076</f>
        <v>27896</v>
      </c>
      <c r="L2076" s="1" t="n">
        <v>44</v>
      </c>
      <c r="M2076" s="1" t="n">
        <f aca="false">(E2076+M2075)-N2076</f>
        <v>23.3499999999998</v>
      </c>
      <c r="N2076" s="1" t="n">
        <v>5</v>
      </c>
    </row>
    <row r="2077" customFormat="false" ht="15" hidden="false" customHeight="true" outlineLevel="0" collapsed="false">
      <c r="D2077" s="11"/>
      <c r="H2077" s="1" t="s">
        <v>85</v>
      </c>
      <c r="I2077" s="1" t="s">
        <v>34</v>
      </c>
      <c r="J2077" s="1" t="n">
        <f aca="false">K2076</f>
        <v>27896</v>
      </c>
      <c r="K2077" s="1" t="n">
        <f aca="false">J2077+L2077</f>
        <v>27940</v>
      </c>
      <c r="L2077" s="1" t="n">
        <v>44</v>
      </c>
      <c r="M2077" s="1" t="n">
        <f aca="false">(E2077+M2076)-N2077</f>
        <v>18.3499999999998</v>
      </c>
      <c r="N2077" s="1" t="n">
        <v>5</v>
      </c>
    </row>
    <row r="2078" customFormat="false" ht="15" hidden="false" customHeight="true" outlineLevel="0" collapsed="false">
      <c r="D2078" s="11" t="n">
        <v>45777</v>
      </c>
      <c r="E2078" s="0" t="n">
        <v>28.02</v>
      </c>
      <c r="F2078" s="1" t="n">
        <v>62.86</v>
      </c>
      <c r="G2078" s="6" t="n">
        <f aca="false">E2078*F2078</f>
        <v>1761.3372</v>
      </c>
      <c r="H2078" s="1" t="s">
        <v>34</v>
      </c>
      <c r="I2078" s="1" t="s">
        <v>44</v>
      </c>
      <c r="J2078" s="1" t="n">
        <f aca="false">K2077</f>
        <v>27940</v>
      </c>
      <c r="K2078" s="1" t="n">
        <f aca="false">J2078+L2078</f>
        <v>27980</v>
      </c>
      <c r="L2078" s="1" t="n">
        <v>40</v>
      </c>
      <c r="M2078" s="1" t="n">
        <f aca="false">(E2078+M2077)-N2078</f>
        <v>41.5699999999998</v>
      </c>
      <c r="N2078" s="1" t="n">
        <v>4.8</v>
      </c>
    </row>
    <row r="2079" customFormat="false" ht="15" hidden="false" customHeight="true" outlineLevel="0" collapsed="false">
      <c r="H2079" s="1" t="s">
        <v>44</v>
      </c>
      <c r="I2079" s="1" t="s">
        <v>34</v>
      </c>
      <c r="J2079" s="1" t="n">
        <f aca="false">K2078</f>
        <v>27980</v>
      </c>
      <c r="K2079" s="1" t="n">
        <f aca="false">J2079+L2079</f>
        <v>28020</v>
      </c>
      <c r="L2079" s="1" t="n">
        <v>40</v>
      </c>
      <c r="M2079" s="1" t="n">
        <f aca="false">(E2079+M2078)-N2079</f>
        <v>36.7699999999998</v>
      </c>
      <c r="N2079" s="1" t="n">
        <v>4.8</v>
      </c>
    </row>
    <row r="2081" customFormat="false" ht="15" hidden="false" customHeight="true" outlineLevel="0" collapsed="false">
      <c r="D2081" s="4" t="s">
        <v>93</v>
      </c>
      <c r="E2081" s="4"/>
      <c r="F2081" s="4"/>
      <c r="G2081" s="4"/>
    </row>
    <row r="2083" customFormat="false" ht="15" hidden="false" customHeight="true" outlineLevel="0" collapsed="false">
      <c r="D2083" s="11" t="n">
        <v>45789</v>
      </c>
      <c r="H2083" s="1" t="s">
        <v>34</v>
      </c>
      <c r="I2083" s="1" t="s">
        <v>85</v>
      </c>
      <c r="J2083" s="1" t="n">
        <v>38020</v>
      </c>
      <c r="K2083" s="1" t="n">
        <f aca="false">J2083+L2083</f>
        <v>38064</v>
      </c>
      <c r="L2083" s="1" t="n">
        <v>44</v>
      </c>
      <c r="M2083" s="1" t="n">
        <f aca="false">(E2083+M2079)-N2083</f>
        <v>31.7699999999998</v>
      </c>
      <c r="N2083" s="1" t="n">
        <v>5</v>
      </c>
    </row>
    <row r="2084" customFormat="false" ht="15" hidden="false" customHeight="true" outlineLevel="0" collapsed="false">
      <c r="D2084" s="11"/>
      <c r="H2084" s="1" t="s">
        <v>85</v>
      </c>
      <c r="I2084" s="1" t="s">
        <v>34</v>
      </c>
      <c r="J2084" s="1" t="n">
        <f aca="false">K2083</f>
        <v>38064</v>
      </c>
      <c r="K2084" s="1" t="n">
        <f aca="false">J2084+L2084</f>
        <v>38108</v>
      </c>
      <c r="L2084" s="1" t="n">
        <v>44</v>
      </c>
      <c r="M2084" s="1" t="n">
        <f aca="false">(E2084+M2083)-N2084</f>
        <v>26.7699999999998</v>
      </c>
      <c r="N2084" s="1" t="n">
        <v>5</v>
      </c>
    </row>
    <row r="2085" customFormat="false" ht="15" hidden="false" customHeight="true" outlineLevel="0" collapsed="false">
      <c r="D2085" s="11" t="n">
        <v>45790</v>
      </c>
      <c r="H2085" s="1" t="s">
        <v>34</v>
      </c>
      <c r="I2085" s="1" t="s">
        <v>44</v>
      </c>
      <c r="J2085" s="1" t="n">
        <f aca="false">K2084</f>
        <v>38108</v>
      </c>
      <c r="K2085" s="1" t="n">
        <f aca="false">J2085+L2085</f>
        <v>38148</v>
      </c>
      <c r="L2085" s="1" t="n">
        <v>40</v>
      </c>
      <c r="M2085" s="1" t="n">
        <f aca="false">(E2085+M2084)-N2085</f>
        <v>21.9699999999998</v>
      </c>
      <c r="N2085" s="1" t="n">
        <v>4.8</v>
      </c>
    </row>
    <row r="2086" customFormat="false" ht="15" hidden="false" customHeight="true" outlineLevel="0" collapsed="false">
      <c r="D2086" s="11"/>
      <c r="H2086" s="1" t="s">
        <v>44</v>
      </c>
      <c r="I2086" s="1" t="s">
        <v>34</v>
      </c>
      <c r="J2086" s="1" t="n">
        <f aca="false">K2085</f>
        <v>38148</v>
      </c>
      <c r="K2086" s="1" t="n">
        <f aca="false">J2086+L2086</f>
        <v>38188</v>
      </c>
      <c r="L2086" s="1" t="n">
        <v>40</v>
      </c>
      <c r="M2086" s="1" t="n">
        <f aca="false">(E2086+M2085)-N2086</f>
        <v>17.1699999999998</v>
      </c>
      <c r="N2086" s="1" t="n">
        <v>4.8</v>
      </c>
    </row>
    <row r="2087" customFormat="false" ht="15" hidden="false" customHeight="true" outlineLevel="0" collapsed="false">
      <c r="D2087" s="11" t="n">
        <v>45791</v>
      </c>
      <c r="E2087" s="0" t="n">
        <v>44.69</v>
      </c>
      <c r="F2087" s="1" t="n">
        <v>62.86</v>
      </c>
      <c r="G2087" s="6" t="n">
        <f aca="false">E2087*F2087</f>
        <v>2809.2134</v>
      </c>
      <c r="H2087" s="1" t="s">
        <v>34</v>
      </c>
      <c r="I2087" s="1" t="s">
        <v>85</v>
      </c>
      <c r="J2087" s="1" t="n">
        <f aca="false">K2086</f>
        <v>38188</v>
      </c>
      <c r="K2087" s="1" t="n">
        <f aca="false">J2087+L2087</f>
        <v>38232</v>
      </c>
      <c r="L2087" s="1" t="n">
        <v>44</v>
      </c>
      <c r="M2087" s="1" t="n">
        <f aca="false">(E2087+M2086)-N2087</f>
        <v>56.8599999999998</v>
      </c>
      <c r="N2087" s="1" t="n">
        <v>5</v>
      </c>
    </row>
    <row r="2088" customFormat="false" ht="15" hidden="false" customHeight="true" outlineLevel="0" collapsed="false">
      <c r="D2088" s="11"/>
      <c r="H2088" s="1" t="s">
        <v>85</v>
      </c>
      <c r="I2088" s="1" t="s">
        <v>34</v>
      </c>
      <c r="J2088" s="1" t="n">
        <f aca="false">K2087</f>
        <v>38232</v>
      </c>
      <c r="K2088" s="1" t="n">
        <f aca="false">J2088+L2088</f>
        <v>38276</v>
      </c>
      <c r="L2088" s="1" t="n">
        <v>44</v>
      </c>
      <c r="M2088" s="1" t="n">
        <f aca="false">(E2088+M2087)-N2088</f>
        <v>51.8599999999998</v>
      </c>
      <c r="N2088" s="1" t="n">
        <v>5</v>
      </c>
    </row>
    <row r="2089" customFormat="false" ht="15" hidden="false" customHeight="true" outlineLevel="0" collapsed="false">
      <c r="D2089" s="11" t="n">
        <v>45792</v>
      </c>
      <c r="H2089" s="1" t="s">
        <v>34</v>
      </c>
      <c r="I2089" s="1" t="s">
        <v>54</v>
      </c>
      <c r="J2089" s="1" t="n">
        <f aca="false">K2088</f>
        <v>38276</v>
      </c>
      <c r="K2089" s="1" t="n">
        <f aca="false">J2089+L2089</f>
        <v>38303</v>
      </c>
      <c r="L2089" s="1" t="n">
        <v>27</v>
      </c>
      <c r="M2089" s="1" t="n">
        <f aca="false">(E2089+M2088)-N2089</f>
        <v>48.6599999999998</v>
      </c>
      <c r="N2089" s="1" t="n">
        <v>3.2</v>
      </c>
    </row>
    <row r="2090" customFormat="false" ht="15" hidden="false" customHeight="true" outlineLevel="0" collapsed="false">
      <c r="D2090" s="11"/>
      <c r="H2090" s="1" t="s">
        <v>54</v>
      </c>
      <c r="I2090" s="1" t="s">
        <v>34</v>
      </c>
      <c r="J2090" s="1" t="n">
        <f aca="false">K2089</f>
        <v>38303</v>
      </c>
      <c r="K2090" s="1" t="n">
        <f aca="false">J2090+L2090</f>
        <v>38330</v>
      </c>
      <c r="L2090" s="1" t="n">
        <v>27</v>
      </c>
      <c r="M2090" s="1" t="n">
        <f aca="false">(E2090+M2089)-N2090</f>
        <v>45.4599999999998</v>
      </c>
      <c r="N2090" s="1" t="n">
        <v>3.2</v>
      </c>
    </row>
    <row r="2091" customFormat="false" ht="15" hidden="false" customHeight="true" outlineLevel="0" collapsed="false">
      <c r="D2091" s="11" t="n">
        <v>45793</v>
      </c>
      <c r="H2091" s="1" t="s">
        <v>34</v>
      </c>
      <c r="I2091" s="1" t="s">
        <v>54</v>
      </c>
      <c r="J2091" s="1" t="n">
        <f aca="false">K2090</f>
        <v>38330</v>
      </c>
      <c r="K2091" s="1" t="n">
        <f aca="false">J2091+L2091</f>
        <v>38357</v>
      </c>
      <c r="L2091" s="1" t="n">
        <v>27</v>
      </c>
      <c r="M2091" s="1" t="n">
        <f aca="false">(E2091+M2090)-N2091</f>
        <v>42.2599999999998</v>
      </c>
      <c r="N2091" s="1" t="n">
        <v>3.2</v>
      </c>
    </row>
    <row r="2092" customFormat="false" ht="15" hidden="false" customHeight="true" outlineLevel="0" collapsed="false">
      <c r="D2092" s="11"/>
      <c r="H2092" s="1" t="s">
        <v>54</v>
      </c>
      <c r="I2092" s="1" t="s">
        <v>34</v>
      </c>
      <c r="J2092" s="1" t="n">
        <f aca="false">K2091</f>
        <v>38357</v>
      </c>
      <c r="K2092" s="1" t="n">
        <f aca="false">J2092+L2092</f>
        <v>38384</v>
      </c>
      <c r="L2092" s="1" t="n">
        <v>27</v>
      </c>
      <c r="M2092" s="1" t="n">
        <f aca="false">(E2092+M2091)-N2092</f>
        <v>39.0599999999998</v>
      </c>
      <c r="N2092" s="1" t="n">
        <v>3.2</v>
      </c>
    </row>
    <row r="2093" customFormat="false" ht="15" hidden="false" customHeight="true" outlineLevel="0" collapsed="false">
      <c r="D2093" s="11" t="n">
        <v>45796</v>
      </c>
      <c r="H2093" s="1" t="s">
        <v>34</v>
      </c>
      <c r="I2093" s="1" t="s">
        <v>44</v>
      </c>
      <c r="J2093" s="1" t="n">
        <f aca="false">K2092</f>
        <v>38384</v>
      </c>
      <c r="K2093" s="1" t="n">
        <f aca="false">J2093+L2093</f>
        <v>38424</v>
      </c>
      <c r="L2093" s="1" t="n">
        <v>40</v>
      </c>
      <c r="M2093" s="1" t="n">
        <f aca="false">(E2093+M2092)-N2093</f>
        <v>34.2599999999998</v>
      </c>
      <c r="N2093" s="1" t="n">
        <v>4.8</v>
      </c>
    </row>
    <row r="2094" customFormat="false" ht="15" hidden="false" customHeight="true" outlineLevel="0" collapsed="false">
      <c r="D2094" s="11"/>
      <c r="H2094" s="1" t="s">
        <v>44</v>
      </c>
      <c r="I2094" s="1" t="s">
        <v>34</v>
      </c>
      <c r="J2094" s="1" t="n">
        <f aca="false">K2093</f>
        <v>38424</v>
      </c>
      <c r="K2094" s="1" t="n">
        <f aca="false">J2094+L2094</f>
        <v>38464</v>
      </c>
      <c r="L2094" s="1" t="n">
        <v>40</v>
      </c>
      <c r="M2094" s="1" t="n">
        <f aca="false">(E2094+M2093)-N2094</f>
        <v>29.4599999999998</v>
      </c>
      <c r="N2094" s="1" t="n">
        <v>4.8</v>
      </c>
    </row>
    <row r="2095" customFormat="false" ht="15" hidden="false" customHeight="true" outlineLevel="0" collapsed="false">
      <c r="D2095" s="11" t="n">
        <v>45797</v>
      </c>
      <c r="E2095" s="0" t="n">
        <v>44.54</v>
      </c>
      <c r="F2095" s="1" t="n">
        <v>62.64</v>
      </c>
      <c r="G2095" s="6" t="n">
        <f aca="false">E2095*F2095</f>
        <v>2789.9856</v>
      </c>
      <c r="H2095" s="1" t="s">
        <v>34</v>
      </c>
      <c r="I2095" s="1" t="s">
        <v>85</v>
      </c>
      <c r="J2095" s="1" t="n">
        <f aca="false">K2094</f>
        <v>38464</v>
      </c>
      <c r="K2095" s="1" t="n">
        <f aca="false">J2095+L2095</f>
        <v>38508</v>
      </c>
      <c r="L2095" s="1" t="n">
        <v>44</v>
      </c>
      <c r="M2095" s="1" t="n">
        <f aca="false">(E2095+M2094)-N2095</f>
        <v>68.9999999999998</v>
      </c>
      <c r="N2095" s="1" t="n">
        <v>5</v>
      </c>
    </row>
    <row r="2096" customFormat="false" ht="15" hidden="false" customHeight="true" outlineLevel="0" collapsed="false">
      <c r="D2096" s="11"/>
      <c r="H2096" s="1" t="s">
        <v>85</v>
      </c>
      <c r="I2096" s="1" t="s">
        <v>34</v>
      </c>
      <c r="J2096" s="1" t="n">
        <f aca="false">K2095</f>
        <v>38508</v>
      </c>
      <c r="K2096" s="1" t="n">
        <f aca="false">J2096+L2096</f>
        <v>38552</v>
      </c>
      <c r="L2096" s="1" t="n">
        <v>44</v>
      </c>
      <c r="M2096" s="1" t="n">
        <f aca="false">(E2096+M2095)-N2096</f>
        <v>63.9999999999998</v>
      </c>
      <c r="N2096" s="1" t="n">
        <v>5</v>
      </c>
    </row>
    <row r="2097" customFormat="false" ht="15" hidden="false" customHeight="true" outlineLevel="0" collapsed="false">
      <c r="D2097" s="11" t="n">
        <v>45798</v>
      </c>
      <c r="H2097" s="1" t="s">
        <v>34</v>
      </c>
      <c r="I2097" s="1" t="s">
        <v>81</v>
      </c>
      <c r="J2097" s="1" t="n">
        <f aca="false">K2096</f>
        <v>38552</v>
      </c>
      <c r="K2097" s="1" t="n">
        <f aca="false">J2097+L2097</f>
        <v>38576</v>
      </c>
      <c r="L2097" s="1" t="n">
        <v>24</v>
      </c>
      <c r="M2097" s="1" t="n">
        <f aca="false">(E2097+M2096)-N2097</f>
        <v>61.4999999999998</v>
      </c>
      <c r="N2097" s="1" t="n">
        <v>2.5</v>
      </c>
    </row>
    <row r="2098" customFormat="false" ht="15" hidden="false" customHeight="true" outlineLevel="0" collapsed="false">
      <c r="D2098" s="11"/>
      <c r="H2098" s="1" t="s">
        <v>81</v>
      </c>
      <c r="I2098" s="1" t="s">
        <v>34</v>
      </c>
      <c r="J2098" s="1" t="n">
        <f aca="false">K2097</f>
        <v>38576</v>
      </c>
      <c r="K2098" s="1" t="n">
        <f aca="false">J2098+L2098</f>
        <v>38600</v>
      </c>
      <c r="L2098" s="1" t="n">
        <v>24</v>
      </c>
      <c r="M2098" s="1" t="n">
        <f aca="false">(E2098+M2097)-N2098</f>
        <v>58.9999999999998</v>
      </c>
      <c r="N2098" s="1" t="n">
        <v>2.5</v>
      </c>
    </row>
    <row r="2099" customFormat="false" ht="15" hidden="false" customHeight="true" outlineLevel="0" collapsed="false">
      <c r="D2099" s="11" t="n">
        <v>45799</v>
      </c>
      <c r="H2099" s="1" t="s">
        <v>34</v>
      </c>
      <c r="I2099" s="1" t="s">
        <v>54</v>
      </c>
      <c r="J2099" s="1" t="n">
        <f aca="false">K2098</f>
        <v>38600</v>
      </c>
      <c r="K2099" s="1" t="n">
        <f aca="false">J2099+L2099</f>
        <v>38627</v>
      </c>
      <c r="L2099" s="1" t="n">
        <v>27</v>
      </c>
      <c r="M2099" s="1" t="n">
        <f aca="false">(E2099+M2098)-N2099</f>
        <v>55.7999999999998</v>
      </c>
      <c r="N2099" s="1" t="n">
        <v>3.2</v>
      </c>
    </row>
    <row r="2100" customFormat="false" ht="15" hidden="false" customHeight="true" outlineLevel="0" collapsed="false">
      <c r="D2100" s="11"/>
      <c r="H2100" s="1" t="s">
        <v>54</v>
      </c>
      <c r="I2100" s="1" t="s">
        <v>34</v>
      </c>
      <c r="J2100" s="1" t="n">
        <f aca="false">K2099</f>
        <v>38627</v>
      </c>
      <c r="K2100" s="1" t="n">
        <f aca="false">J2100+L2100</f>
        <v>38654</v>
      </c>
      <c r="L2100" s="1" t="n">
        <v>27</v>
      </c>
      <c r="M2100" s="1" t="n">
        <f aca="false">(E2100+M2099)-N2100</f>
        <v>52.5999999999998</v>
      </c>
      <c r="N2100" s="1" t="n">
        <v>3.2</v>
      </c>
    </row>
    <row r="2101" customFormat="false" ht="15" hidden="false" customHeight="true" outlineLevel="0" collapsed="false">
      <c r="D2101" s="11" t="n">
        <v>45800</v>
      </c>
      <c r="H2101" s="1" t="s">
        <v>34</v>
      </c>
      <c r="I2101" s="1" t="s">
        <v>54</v>
      </c>
      <c r="J2101" s="1" t="n">
        <f aca="false">K2100</f>
        <v>38654</v>
      </c>
      <c r="K2101" s="1" t="n">
        <f aca="false">J2101+L2101</f>
        <v>38681</v>
      </c>
      <c r="L2101" s="1" t="n">
        <v>27</v>
      </c>
      <c r="M2101" s="1" t="n">
        <f aca="false">(E2101+M2100)-N2101</f>
        <v>49.3999999999998</v>
      </c>
      <c r="N2101" s="1" t="n">
        <v>3.2</v>
      </c>
    </row>
    <row r="2102" customFormat="false" ht="15" hidden="false" customHeight="true" outlineLevel="0" collapsed="false">
      <c r="H2102" s="1" t="s">
        <v>54</v>
      </c>
      <c r="I2102" s="1" t="s">
        <v>34</v>
      </c>
      <c r="J2102" s="1" t="n">
        <f aca="false">K2101</f>
        <v>38681</v>
      </c>
      <c r="K2102" s="1" t="n">
        <f aca="false">J2102+L2102</f>
        <v>38708</v>
      </c>
      <c r="L2102" s="1" t="n">
        <v>27</v>
      </c>
      <c r="M2102" s="1" t="n">
        <f aca="false">(E2102+M2101)-N2102</f>
        <v>46.1999999999998</v>
      </c>
      <c r="N2102" s="1" t="n">
        <v>3.2</v>
      </c>
    </row>
    <row r="2103" customFormat="false" ht="15" hidden="false" customHeight="true" outlineLevel="0" collapsed="false">
      <c r="D2103" s="11" t="n">
        <v>45803</v>
      </c>
      <c r="H2103" s="1" t="s">
        <v>34</v>
      </c>
      <c r="I2103" s="1" t="s">
        <v>44</v>
      </c>
      <c r="J2103" s="1" t="n">
        <f aca="false">K2102</f>
        <v>38708</v>
      </c>
      <c r="K2103" s="1" t="n">
        <f aca="false">J2103+L2103</f>
        <v>38748</v>
      </c>
      <c r="L2103" s="1" t="n">
        <v>40</v>
      </c>
      <c r="M2103" s="1" t="n">
        <f aca="false">(E2103+M2102)-N2103</f>
        <v>41.3999999999998</v>
      </c>
      <c r="N2103" s="1" t="n">
        <v>4.8</v>
      </c>
    </row>
    <row r="2104" customFormat="false" ht="15" hidden="false" customHeight="true" outlineLevel="0" collapsed="false">
      <c r="D2104" s="11"/>
      <c r="H2104" s="1" t="s">
        <v>44</v>
      </c>
      <c r="I2104" s="1" t="s">
        <v>34</v>
      </c>
      <c r="J2104" s="1" t="n">
        <f aca="false">K2103</f>
        <v>38748</v>
      </c>
      <c r="K2104" s="1" t="n">
        <f aca="false">J2104+L2104</f>
        <v>38788</v>
      </c>
      <c r="L2104" s="1" t="n">
        <v>40</v>
      </c>
      <c r="M2104" s="1" t="n">
        <f aca="false">(E2104+M2103)-N2104</f>
        <v>36.5999999999998</v>
      </c>
      <c r="N2104" s="1" t="n">
        <v>4.8</v>
      </c>
    </row>
    <row r="2105" customFormat="false" ht="15" hidden="false" customHeight="true" outlineLevel="0" collapsed="false">
      <c r="D2105" s="11" t="n">
        <v>45804</v>
      </c>
      <c r="H2105" s="1" t="s">
        <v>34</v>
      </c>
      <c r="I2105" s="1" t="s">
        <v>54</v>
      </c>
      <c r="J2105" s="1" t="n">
        <f aca="false">K2104</f>
        <v>38788</v>
      </c>
      <c r="K2105" s="1" t="n">
        <f aca="false">J2105+L2105</f>
        <v>38815</v>
      </c>
      <c r="L2105" s="1" t="n">
        <v>27</v>
      </c>
      <c r="M2105" s="1" t="n">
        <f aca="false">(E2105+M2104)-N2105</f>
        <v>33.3999999999998</v>
      </c>
      <c r="N2105" s="1" t="n">
        <v>3.2</v>
      </c>
    </row>
    <row r="2106" customFormat="false" ht="15" hidden="false" customHeight="true" outlineLevel="0" collapsed="false">
      <c r="D2106" s="11"/>
      <c r="H2106" s="1" t="s">
        <v>54</v>
      </c>
      <c r="I2106" s="1" t="s">
        <v>34</v>
      </c>
      <c r="J2106" s="1" t="n">
        <f aca="false">K2105</f>
        <v>38815</v>
      </c>
      <c r="K2106" s="1" t="n">
        <f aca="false">J2106+L2106</f>
        <v>38842</v>
      </c>
      <c r="L2106" s="1" t="n">
        <v>27</v>
      </c>
      <c r="M2106" s="1" t="n">
        <f aca="false">(E2106+M2105)-N2106</f>
        <v>30.1999999999998</v>
      </c>
      <c r="N2106" s="1" t="n">
        <v>3.2</v>
      </c>
    </row>
    <row r="2107" customFormat="false" ht="15" hidden="false" customHeight="true" outlineLevel="0" collapsed="false">
      <c r="D2107" s="11" t="n">
        <v>45805</v>
      </c>
      <c r="E2107" s="0" t="n">
        <v>44.94</v>
      </c>
      <c r="F2107" s="1" t="n">
        <v>62.64</v>
      </c>
      <c r="G2107" s="6" t="n">
        <f aca="false">E2107*F2107</f>
        <v>2815.0416</v>
      </c>
      <c r="H2107" s="1" t="s">
        <v>34</v>
      </c>
      <c r="I2107" s="1" t="s">
        <v>85</v>
      </c>
      <c r="J2107" s="1" t="n">
        <f aca="false">K2106</f>
        <v>38842</v>
      </c>
      <c r="K2107" s="1" t="n">
        <f aca="false">J2107+L2107</f>
        <v>38886</v>
      </c>
      <c r="L2107" s="1" t="n">
        <v>44</v>
      </c>
      <c r="M2107" s="1" t="n">
        <f aca="false">(E2107+M2106)-N2107</f>
        <v>70.1399999999998</v>
      </c>
      <c r="N2107" s="1" t="n">
        <v>5</v>
      </c>
    </row>
    <row r="2108" customFormat="false" ht="15" hidden="false" customHeight="true" outlineLevel="0" collapsed="false">
      <c r="D2108" s="11"/>
      <c r="H2108" s="1" t="s">
        <v>85</v>
      </c>
      <c r="I2108" s="1" t="s">
        <v>34</v>
      </c>
      <c r="J2108" s="1" t="n">
        <f aca="false">K2107</f>
        <v>38886</v>
      </c>
      <c r="K2108" s="1" t="n">
        <f aca="false">J2108+L2108</f>
        <v>38930</v>
      </c>
      <c r="L2108" s="1" t="n">
        <v>44</v>
      </c>
      <c r="M2108" s="1" t="n">
        <f aca="false">(E2108+M2107)-N2108</f>
        <v>65.1399999999998</v>
      </c>
      <c r="N2108" s="1" t="n">
        <v>5</v>
      </c>
    </row>
    <row r="2109" customFormat="false" ht="15" hidden="false" customHeight="true" outlineLevel="0" collapsed="false">
      <c r="D2109" s="11" t="n">
        <v>45806</v>
      </c>
      <c r="H2109" s="1" t="s">
        <v>34</v>
      </c>
      <c r="I2109" s="1" t="s">
        <v>44</v>
      </c>
      <c r="J2109" s="1" t="n">
        <f aca="false">K2108</f>
        <v>38930</v>
      </c>
      <c r="K2109" s="1" t="n">
        <f aca="false">J2109+L2109</f>
        <v>38970</v>
      </c>
      <c r="L2109" s="1" t="n">
        <v>40</v>
      </c>
      <c r="M2109" s="1" t="n">
        <f aca="false">(E2109+M2108)-N2109</f>
        <v>60.3399999999998</v>
      </c>
      <c r="N2109" s="1" t="n">
        <v>4.8</v>
      </c>
    </row>
    <row r="2110" customFormat="false" ht="15" hidden="false" customHeight="true" outlineLevel="0" collapsed="false">
      <c r="D2110" s="11"/>
      <c r="H2110" s="1" t="s">
        <v>44</v>
      </c>
      <c r="I2110" s="1" t="s">
        <v>34</v>
      </c>
      <c r="J2110" s="1" t="n">
        <f aca="false">K2109</f>
        <v>38970</v>
      </c>
      <c r="K2110" s="1" t="n">
        <f aca="false">J2110+L2110</f>
        <v>39010</v>
      </c>
      <c r="L2110" s="1" t="n">
        <v>40</v>
      </c>
      <c r="M2110" s="1" t="n">
        <f aca="false">(E2110+M2109)-N2110</f>
        <v>55.5399999999998</v>
      </c>
      <c r="N2110" s="1" t="n">
        <v>4.8</v>
      </c>
    </row>
    <row r="2111" customFormat="false" ht="15" hidden="false" customHeight="true" outlineLevel="0" collapsed="false">
      <c r="D2111" s="11" t="n">
        <v>45807</v>
      </c>
      <c r="H2111" s="1" t="s">
        <v>34</v>
      </c>
      <c r="I2111" s="1" t="s">
        <v>44</v>
      </c>
      <c r="J2111" s="1" t="n">
        <f aca="false">K2110</f>
        <v>39010</v>
      </c>
      <c r="K2111" s="1" t="n">
        <f aca="false">J2111+L2111</f>
        <v>39050</v>
      </c>
      <c r="L2111" s="1" t="n">
        <v>40</v>
      </c>
      <c r="M2111" s="1" t="n">
        <f aca="false">(E2111+M2110)-N2111</f>
        <v>50.7399999999998</v>
      </c>
      <c r="N2111" s="1" t="n">
        <v>4.8</v>
      </c>
    </row>
    <row r="2112" customFormat="false" ht="15" hidden="false" customHeight="true" outlineLevel="0" collapsed="false">
      <c r="H2112" s="1" t="s">
        <v>44</v>
      </c>
      <c r="I2112" s="1" t="s">
        <v>34</v>
      </c>
      <c r="J2112" s="1" t="n">
        <f aca="false">K2111</f>
        <v>39050</v>
      </c>
      <c r="K2112" s="1" t="n">
        <f aca="false">J2112+L2112</f>
        <v>39090</v>
      </c>
      <c r="L2112" s="1" t="n">
        <v>40</v>
      </c>
      <c r="M2112" s="1" t="n">
        <f aca="false">(E2112+M2111)-N2112</f>
        <v>45.9399999999998</v>
      </c>
      <c r="N2112" s="1" t="n">
        <v>4.8</v>
      </c>
    </row>
    <row r="2114" customFormat="false" ht="15" hidden="false" customHeight="true" outlineLevel="0" collapsed="false">
      <c r="D2114" s="11"/>
    </row>
    <row r="2115" customFormat="false" ht="15" hidden="false" customHeight="true" outlineLevel="0" collapsed="false">
      <c r="D2115" s="4" t="s">
        <v>94</v>
      </c>
      <c r="E2115" s="4"/>
      <c r="F2115" s="4"/>
      <c r="G2115" s="4"/>
    </row>
    <row r="2117" customFormat="false" ht="15" hidden="false" customHeight="true" outlineLevel="0" collapsed="false">
      <c r="D2117" s="11" t="n">
        <v>45810</v>
      </c>
      <c r="H2117" s="1" t="s">
        <v>34</v>
      </c>
      <c r="I2117" s="1" t="s">
        <v>54</v>
      </c>
      <c r="J2117" s="1" t="n">
        <f aca="false">K2112</f>
        <v>39090</v>
      </c>
      <c r="K2117" s="1" t="n">
        <f aca="false">J2117+L2117</f>
        <v>39117</v>
      </c>
      <c r="L2117" s="1" t="n">
        <v>27</v>
      </c>
      <c r="M2117" s="1" t="n">
        <f aca="false">(E2117+M2112)-N2117</f>
        <v>42.7399999999998</v>
      </c>
      <c r="N2117" s="1" t="n">
        <v>3.2</v>
      </c>
    </row>
    <row r="2118" customFormat="false" ht="15" hidden="false" customHeight="true" outlineLevel="0" collapsed="false">
      <c r="H2118" s="1" t="s">
        <v>54</v>
      </c>
      <c r="I2118" s="1" t="s">
        <v>34</v>
      </c>
      <c r="J2118" s="1" t="n">
        <f aca="false">K2117</f>
        <v>39117</v>
      </c>
      <c r="K2118" s="1" t="n">
        <f aca="false">J2118+L2118</f>
        <v>39144</v>
      </c>
      <c r="L2118" s="1" t="n">
        <v>27</v>
      </c>
      <c r="M2118" s="1" t="n">
        <f aca="false">(E2118+M2117)-N2118</f>
        <v>39.5399999999998</v>
      </c>
      <c r="N2118" s="1" t="n">
        <v>3.2</v>
      </c>
    </row>
    <row r="2119" customFormat="false" ht="15" hidden="false" customHeight="true" outlineLevel="0" collapsed="false">
      <c r="D2119" s="11" t="n">
        <v>45811</v>
      </c>
      <c r="H2119" s="1" t="s">
        <v>34</v>
      </c>
      <c r="I2119" s="1" t="s">
        <v>85</v>
      </c>
      <c r="J2119" s="1" t="n">
        <f aca="false">K2118</f>
        <v>39144</v>
      </c>
      <c r="K2119" s="1" t="n">
        <f aca="false">J2119+L2119</f>
        <v>39188</v>
      </c>
      <c r="L2119" s="1" t="n">
        <v>44</v>
      </c>
      <c r="M2119" s="1" t="n">
        <f aca="false">(E2119+M2118)-N2119</f>
        <v>34.5399999999998</v>
      </c>
      <c r="N2119" s="1" t="n">
        <v>5</v>
      </c>
    </row>
    <row r="2120" customFormat="false" ht="15" hidden="false" customHeight="true" outlineLevel="0" collapsed="false">
      <c r="D2120" s="11"/>
      <c r="H2120" s="1" t="s">
        <v>85</v>
      </c>
      <c r="I2120" s="1" t="s">
        <v>34</v>
      </c>
      <c r="J2120" s="1" t="n">
        <f aca="false">K2119</f>
        <v>39188</v>
      </c>
      <c r="K2120" s="1" t="n">
        <f aca="false">J2120+L2120</f>
        <v>39232</v>
      </c>
      <c r="L2120" s="1" t="n">
        <v>44</v>
      </c>
      <c r="M2120" s="1" t="n">
        <f aca="false">(E2120+M2119)-N2120</f>
        <v>29.5399999999998</v>
      </c>
      <c r="N2120" s="1" t="n">
        <v>5</v>
      </c>
    </row>
    <row r="2121" customFormat="false" ht="15" hidden="false" customHeight="true" outlineLevel="0" collapsed="false">
      <c r="D2121" s="11" t="n">
        <v>45812</v>
      </c>
      <c r="H2121" s="1" t="s">
        <v>34</v>
      </c>
      <c r="I2121" s="1" t="s">
        <v>44</v>
      </c>
      <c r="J2121" s="1" t="n">
        <f aca="false">K2120</f>
        <v>39232</v>
      </c>
      <c r="K2121" s="1" t="n">
        <f aca="false">J2121+L2121</f>
        <v>39272</v>
      </c>
      <c r="L2121" s="1" t="n">
        <v>40</v>
      </c>
      <c r="M2121" s="1" t="n">
        <f aca="false">(E2121+M2120)-N2121</f>
        <v>24.7399999999998</v>
      </c>
      <c r="N2121" s="1" t="n">
        <v>4.8</v>
      </c>
    </row>
    <row r="2122" customFormat="false" ht="15" hidden="false" customHeight="true" outlineLevel="0" collapsed="false">
      <c r="D2122" s="11"/>
      <c r="H2122" s="1" t="s">
        <v>44</v>
      </c>
      <c r="I2122" s="1" t="s">
        <v>34</v>
      </c>
      <c r="J2122" s="1" t="n">
        <f aca="false">K2121</f>
        <v>39272</v>
      </c>
      <c r="K2122" s="1" t="n">
        <f aca="false">J2122+L2122</f>
        <v>39312</v>
      </c>
      <c r="L2122" s="1" t="n">
        <v>40</v>
      </c>
      <c r="M2122" s="1" t="n">
        <f aca="false">(E2122+M2121)-N2122</f>
        <v>19.9399999999998</v>
      </c>
      <c r="N2122" s="1" t="n">
        <v>4.8</v>
      </c>
    </row>
    <row r="2123" customFormat="false" ht="15" hidden="false" customHeight="true" outlineLevel="0" collapsed="false">
      <c r="D2123" s="11" t="n">
        <v>45813</v>
      </c>
      <c r="E2123" s="0" t="n">
        <v>47.14</v>
      </c>
      <c r="F2123" s="1" t="n">
        <v>62.64</v>
      </c>
      <c r="G2123" s="6" t="n">
        <f aca="false">E2123*F2123</f>
        <v>2952.8496</v>
      </c>
      <c r="H2123" s="1" t="s">
        <v>34</v>
      </c>
      <c r="I2123" s="1" t="s">
        <v>54</v>
      </c>
      <c r="J2123" s="1" t="n">
        <f aca="false">K2122</f>
        <v>39312</v>
      </c>
      <c r="K2123" s="1" t="n">
        <f aca="false">J2123+L2123</f>
        <v>39339</v>
      </c>
      <c r="L2123" s="1" t="n">
        <v>27</v>
      </c>
      <c r="M2123" s="1" t="n">
        <f aca="false">(E2123+M2122)-N2123</f>
        <v>63.8799999999998</v>
      </c>
      <c r="N2123" s="1" t="n">
        <v>3.2</v>
      </c>
    </row>
    <row r="2124" customFormat="false" ht="15" hidden="false" customHeight="true" outlineLevel="0" collapsed="false">
      <c r="D2124" s="11"/>
      <c r="H2124" s="1" t="s">
        <v>54</v>
      </c>
      <c r="I2124" s="1" t="s">
        <v>34</v>
      </c>
      <c r="J2124" s="1" t="n">
        <f aca="false">K2123</f>
        <v>39339</v>
      </c>
      <c r="K2124" s="1" t="n">
        <f aca="false">J2124+L2124</f>
        <v>39366</v>
      </c>
      <c r="L2124" s="1" t="n">
        <v>27</v>
      </c>
      <c r="M2124" s="1" t="n">
        <f aca="false">(E2124+M2123)-N2124</f>
        <v>60.6799999999998</v>
      </c>
      <c r="N2124" s="1" t="n">
        <v>3.2</v>
      </c>
    </row>
    <row r="2125" customFormat="false" ht="15" hidden="false" customHeight="true" outlineLevel="0" collapsed="false">
      <c r="D2125" s="11" t="n">
        <v>45814</v>
      </c>
      <c r="H2125" s="1" t="s">
        <v>34</v>
      </c>
      <c r="I2125" s="1" t="s">
        <v>49</v>
      </c>
      <c r="J2125" s="1" t="n">
        <f aca="false">K2124</f>
        <v>39366</v>
      </c>
      <c r="K2125" s="1" t="n">
        <f aca="false">J2125+L2125</f>
        <v>39393</v>
      </c>
      <c r="L2125" s="1" t="n">
        <v>27</v>
      </c>
      <c r="M2125" s="1" t="n">
        <f aca="false">(E2125+M2124)-N2125</f>
        <v>57.4799999999998</v>
      </c>
      <c r="N2125" s="1" t="n">
        <v>3.2</v>
      </c>
    </row>
    <row r="2126" customFormat="false" ht="15" hidden="false" customHeight="true" outlineLevel="0" collapsed="false">
      <c r="D2126" s="11"/>
      <c r="H2126" s="1" t="s">
        <v>49</v>
      </c>
      <c r="I2126" s="1" t="s">
        <v>34</v>
      </c>
      <c r="J2126" s="1" t="n">
        <f aca="false">K2125</f>
        <v>39393</v>
      </c>
      <c r="K2126" s="1" t="n">
        <f aca="false">J2126+L2126</f>
        <v>39420</v>
      </c>
      <c r="L2126" s="1" t="n">
        <v>27</v>
      </c>
      <c r="M2126" s="1" t="n">
        <f aca="false">(E2126+M2125)-N2126</f>
        <v>54.2799999999998</v>
      </c>
      <c r="N2126" s="1" t="n">
        <v>3.2</v>
      </c>
    </row>
    <row r="2127" customFormat="false" ht="15" hidden="false" customHeight="true" outlineLevel="0" collapsed="false">
      <c r="D2127" s="11" t="n">
        <v>45817</v>
      </c>
      <c r="H2127" s="1" t="s">
        <v>34</v>
      </c>
      <c r="I2127" s="1" t="s">
        <v>85</v>
      </c>
      <c r="J2127" s="1" t="n">
        <f aca="false">K2126</f>
        <v>39420</v>
      </c>
      <c r="K2127" s="1" t="n">
        <f aca="false">J2127+L2127</f>
        <v>39464</v>
      </c>
      <c r="L2127" s="1" t="n">
        <v>44</v>
      </c>
      <c r="M2127" s="1" t="n">
        <f aca="false">(E2127+M2126)-N2127</f>
        <v>49.2799999999998</v>
      </c>
      <c r="N2127" s="1" t="n">
        <v>5</v>
      </c>
    </row>
    <row r="2128" customFormat="false" ht="15" hidden="false" customHeight="true" outlineLevel="0" collapsed="false">
      <c r="D2128" s="11"/>
      <c r="H2128" s="1" t="s">
        <v>85</v>
      </c>
      <c r="I2128" s="1" t="s">
        <v>34</v>
      </c>
      <c r="J2128" s="1" t="n">
        <f aca="false">K2127</f>
        <v>39464</v>
      </c>
      <c r="K2128" s="1" t="n">
        <f aca="false">J2128+L2128</f>
        <v>39508</v>
      </c>
      <c r="L2128" s="1" t="n">
        <v>44</v>
      </c>
      <c r="M2128" s="1" t="n">
        <f aca="false">(E2128+M2127)-N2128</f>
        <v>44.2799999999998</v>
      </c>
      <c r="N2128" s="1" t="n">
        <v>5</v>
      </c>
    </row>
    <row r="2129" customFormat="false" ht="15" hidden="false" customHeight="true" outlineLevel="0" collapsed="false">
      <c r="D2129" s="11" t="n">
        <v>45818</v>
      </c>
      <c r="H2129" s="1" t="s">
        <v>34</v>
      </c>
      <c r="I2129" s="1" t="s">
        <v>44</v>
      </c>
      <c r="J2129" s="1" t="n">
        <f aca="false">K2128</f>
        <v>39508</v>
      </c>
      <c r="K2129" s="1" t="n">
        <f aca="false">J2129+L2129</f>
        <v>39548</v>
      </c>
      <c r="L2129" s="1" t="n">
        <v>40</v>
      </c>
      <c r="M2129" s="1" t="n">
        <f aca="false">(E2129+M2128)-N2129</f>
        <v>39.4799999999998</v>
      </c>
      <c r="N2129" s="1" t="n">
        <v>4.8</v>
      </c>
    </row>
    <row r="2130" customFormat="false" ht="15" hidden="false" customHeight="true" outlineLevel="0" collapsed="false">
      <c r="D2130" s="11"/>
      <c r="H2130" s="1" t="s">
        <v>44</v>
      </c>
      <c r="I2130" s="1" t="s">
        <v>34</v>
      </c>
      <c r="J2130" s="1" t="n">
        <f aca="false">K2129</f>
        <v>39548</v>
      </c>
      <c r="K2130" s="1" t="n">
        <f aca="false">J2130+L2130</f>
        <v>39588</v>
      </c>
      <c r="L2130" s="1" t="n">
        <v>40</v>
      </c>
      <c r="M2130" s="1" t="n">
        <f aca="false">(E2130+M2129)-N2130</f>
        <v>34.6799999999998</v>
      </c>
      <c r="N2130" s="1" t="n">
        <v>4.8</v>
      </c>
    </row>
    <row r="2131" customFormat="false" ht="15" hidden="false" customHeight="true" outlineLevel="0" collapsed="false">
      <c r="D2131" s="11" t="n">
        <v>45819</v>
      </c>
      <c r="H2131" s="1" t="s">
        <v>34</v>
      </c>
      <c r="I2131" s="1" t="s">
        <v>85</v>
      </c>
      <c r="J2131" s="1" t="n">
        <f aca="false">K2130</f>
        <v>39588</v>
      </c>
      <c r="K2131" s="1" t="n">
        <f aca="false">J2131+L2131</f>
        <v>39632</v>
      </c>
      <c r="L2131" s="1" t="n">
        <v>44</v>
      </c>
      <c r="M2131" s="1" t="n">
        <f aca="false">(E2131+M2130)-N2131</f>
        <v>29.6799999999998</v>
      </c>
      <c r="N2131" s="1" t="n">
        <v>5</v>
      </c>
    </row>
    <row r="2132" customFormat="false" ht="15" hidden="false" customHeight="true" outlineLevel="0" collapsed="false">
      <c r="H2132" s="1" t="s">
        <v>85</v>
      </c>
      <c r="I2132" s="1" t="s">
        <v>34</v>
      </c>
      <c r="J2132" s="1" t="n">
        <f aca="false">K2131</f>
        <v>39632</v>
      </c>
      <c r="K2132" s="1" t="n">
        <f aca="false">J2132+L2132</f>
        <v>39676</v>
      </c>
      <c r="L2132" s="1" t="n">
        <v>44</v>
      </c>
      <c r="M2132" s="1" t="n">
        <f aca="false">(E2132+M2131)-N2132</f>
        <v>24.6799999999998</v>
      </c>
      <c r="N2132" s="1" t="n">
        <v>5</v>
      </c>
    </row>
    <row r="2133" customFormat="false" ht="15" hidden="false" customHeight="true" outlineLevel="0" collapsed="false">
      <c r="D2133" s="11" t="n">
        <v>45824</v>
      </c>
      <c r="E2133" s="0" t="n">
        <v>51.13</v>
      </c>
      <c r="F2133" s="1" t="n">
        <v>62.64</v>
      </c>
      <c r="G2133" s="6" t="n">
        <f aca="false">E2133*F2133</f>
        <v>3202.7832</v>
      </c>
      <c r="H2133" s="1" t="s">
        <v>34</v>
      </c>
      <c r="I2133" s="1" t="s">
        <v>54</v>
      </c>
      <c r="J2133" s="1" t="n">
        <f aca="false">K2132</f>
        <v>39676</v>
      </c>
      <c r="K2133" s="1" t="n">
        <f aca="false">J2133+L2133</f>
        <v>39703</v>
      </c>
      <c r="L2133" s="1" t="n">
        <v>27</v>
      </c>
      <c r="M2133" s="1" t="n">
        <f aca="false">(E2133+M2132)-N2133</f>
        <v>72.6099999999998</v>
      </c>
      <c r="N2133" s="1" t="n">
        <v>3.2</v>
      </c>
    </row>
    <row r="2134" customFormat="false" ht="15" hidden="false" customHeight="true" outlineLevel="0" collapsed="false">
      <c r="H2134" s="1" t="s">
        <v>54</v>
      </c>
      <c r="I2134" s="1" t="s">
        <v>34</v>
      </c>
      <c r="J2134" s="1" t="n">
        <f aca="false">K2133</f>
        <v>39703</v>
      </c>
      <c r="K2134" s="1" t="n">
        <f aca="false">J2134+L2134</f>
        <v>39730</v>
      </c>
      <c r="L2134" s="1" t="n">
        <v>27</v>
      </c>
      <c r="M2134" s="1" t="n">
        <f aca="false">(E2134+M2133)-N2134</f>
        <v>69.4099999999998</v>
      </c>
      <c r="N2134" s="1" t="n">
        <v>3.2</v>
      </c>
    </row>
    <row r="2135" customFormat="false" ht="15" hidden="false" customHeight="true" outlineLevel="0" collapsed="false">
      <c r="D2135" s="11" t="n">
        <v>45825</v>
      </c>
      <c r="H2135" s="1" t="s">
        <v>34</v>
      </c>
      <c r="I2135" s="1" t="s">
        <v>43</v>
      </c>
      <c r="J2135" s="1" t="n">
        <f aca="false">K2134</f>
        <v>39730</v>
      </c>
      <c r="K2135" s="1" t="n">
        <f aca="false">J2135+L2135</f>
        <v>39742</v>
      </c>
      <c r="L2135" s="1" t="n">
        <v>12</v>
      </c>
      <c r="M2135" s="1" t="n">
        <f aca="false">(E2135+M2134)-N2135</f>
        <v>68.1599999999998</v>
      </c>
      <c r="N2135" s="1" t="n">
        <v>1.25</v>
      </c>
    </row>
    <row r="2136" customFormat="false" ht="15" hidden="false" customHeight="true" outlineLevel="0" collapsed="false">
      <c r="H2136" s="1" t="s">
        <v>43</v>
      </c>
      <c r="I2136" s="1" t="s">
        <v>34</v>
      </c>
      <c r="J2136" s="1" t="n">
        <f aca="false">K2135</f>
        <v>39742</v>
      </c>
      <c r="K2136" s="1" t="n">
        <f aca="false">J2136+L2136</f>
        <v>39754</v>
      </c>
      <c r="L2136" s="1" t="n">
        <v>12</v>
      </c>
      <c r="M2136" s="1" t="n">
        <f aca="false">(E2136+M2135)-N2136</f>
        <v>66.9099999999998</v>
      </c>
      <c r="N2136" s="1" t="n">
        <v>1.25</v>
      </c>
    </row>
    <row r="2137" customFormat="false" ht="15" hidden="false" customHeight="true" outlineLevel="0" collapsed="false">
      <c r="D2137" s="11" t="n">
        <v>45826</v>
      </c>
      <c r="H2137" s="1" t="s">
        <v>34</v>
      </c>
      <c r="I2137" s="1" t="s">
        <v>35</v>
      </c>
      <c r="J2137" s="1" t="n">
        <f aca="false">K2136</f>
        <v>39754</v>
      </c>
      <c r="K2137" s="1" t="n">
        <f aca="false">J2137+L2137</f>
        <v>39766</v>
      </c>
      <c r="L2137" s="1" t="n">
        <v>12</v>
      </c>
      <c r="M2137" s="1" t="n">
        <f aca="false">(E2137+M2136)-N2137</f>
        <v>65.6599999999998</v>
      </c>
      <c r="N2137" s="1" t="n">
        <v>1.25</v>
      </c>
    </row>
    <row r="2138" customFormat="false" ht="15" hidden="false" customHeight="true" outlineLevel="0" collapsed="false">
      <c r="H2138" s="1" t="s">
        <v>35</v>
      </c>
      <c r="I2138" s="1" t="s">
        <v>34</v>
      </c>
      <c r="J2138" s="1" t="n">
        <f aca="false">K2137</f>
        <v>39766</v>
      </c>
      <c r="K2138" s="1" t="n">
        <f aca="false">J2138+L2138</f>
        <v>39778</v>
      </c>
      <c r="L2138" s="1" t="n">
        <v>12</v>
      </c>
      <c r="M2138" s="1" t="n">
        <f aca="false">(E2138+M2137)-N2138</f>
        <v>64.4099999999998</v>
      </c>
      <c r="N2138" s="1" t="n">
        <v>1.25</v>
      </c>
    </row>
    <row r="2139" customFormat="false" ht="15" hidden="false" customHeight="true" outlineLevel="0" collapsed="false">
      <c r="D2139" s="11" t="n">
        <v>45827</v>
      </c>
      <c r="H2139" s="1" t="s">
        <v>34</v>
      </c>
      <c r="I2139" s="1" t="s">
        <v>49</v>
      </c>
      <c r="J2139" s="1" t="n">
        <f aca="false">K2138</f>
        <v>39778</v>
      </c>
      <c r="K2139" s="1" t="n">
        <f aca="false">J2139+L2139</f>
        <v>39805</v>
      </c>
      <c r="L2139" s="1" t="n">
        <v>27</v>
      </c>
      <c r="M2139" s="1" t="n">
        <f aca="false">(E2139+M2138)-N2139</f>
        <v>61.2099999999998</v>
      </c>
      <c r="N2139" s="1" t="n">
        <v>3.2</v>
      </c>
    </row>
    <row r="2140" customFormat="false" ht="15" hidden="false" customHeight="true" outlineLevel="0" collapsed="false">
      <c r="H2140" s="1" t="s">
        <v>49</v>
      </c>
      <c r="I2140" s="1" t="s">
        <v>34</v>
      </c>
      <c r="J2140" s="1" t="n">
        <f aca="false">K2139</f>
        <v>39805</v>
      </c>
      <c r="K2140" s="1" t="n">
        <f aca="false">J2140+L2140</f>
        <v>39832</v>
      </c>
      <c r="L2140" s="1" t="n">
        <v>27</v>
      </c>
      <c r="M2140" s="1" t="n">
        <f aca="false">(E2140+M2139)-N2140</f>
        <v>58.0099999999998</v>
      </c>
      <c r="N2140" s="1" t="n">
        <v>3.2</v>
      </c>
    </row>
    <row r="2141" customFormat="false" ht="15" hidden="false" customHeight="true" outlineLevel="0" collapsed="false">
      <c r="D2141" s="11" t="n">
        <v>45828</v>
      </c>
      <c r="H2141" s="1" t="s">
        <v>34</v>
      </c>
      <c r="I2141" s="1" t="s">
        <v>44</v>
      </c>
      <c r="J2141" s="1" t="n">
        <f aca="false">K2140</f>
        <v>39832</v>
      </c>
      <c r="K2141" s="1" t="n">
        <f aca="false">J2141+L2141</f>
        <v>39872</v>
      </c>
      <c r="L2141" s="1" t="n">
        <v>40</v>
      </c>
      <c r="M2141" s="1" t="n">
        <f aca="false">(E2141+M2140)-N2141</f>
        <v>53.2099999999998</v>
      </c>
      <c r="N2141" s="1" t="n">
        <v>4.8</v>
      </c>
    </row>
    <row r="2142" customFormat="false" ht="15" hidden="false" customHeight="true" outlineLevel="0" collapsed="false">
      <c r="D2142" s="11"/>
      <c r="H2142" s="1" t="s">
        <v>44</v>
      </c>
      <c r="I2142" s="1" t="s">
        <v>34</v>
      </c>
      <c r="J2142" s="1" t="n">
        <f aca="false">K2141</f>
        <v>39872</v>
      </c>
      <c r="K2142" s="1" t="n">
        <f aca="false">J2142+L2142</f>
        <v>39912</v>
      </c>
      <c r="L2142" s="1" t="n">
        <v>40</v>
      </c>
      <c r="M2142" s="1" t="n">
        <f aca="false">(E2142+M2141)-N2142</f>
        <v>48.4099999999998</v>
      </c>
      <c r="N2142" s="1" t="n">
        <v>4.8</v>
      </c>
    </row>
    <row r="2143" customFormat="false" ht="15" hidden="false" customHeight="true" outlineLevel="0" collapsed="false">
      <c r="D2143" s="11" t="n">
        <v>45831</v>
      </c>
      <c r="H2143" s="1" t="s">
        <v>34</v>
      </c>
      <c r="I2143" s="1" t="s">
        <v>85</v>
      </c>
      <c r="J2143" s="1" t="n">
        <f aca="false">K2142</f>
        <v>39912</v>
      </c>
      <c r="K2143" s="1" t="n">
        <f aca="false">J2143+L2143</f>
        <v>39956</v>
      </c>
      <c r="L2143" s="1" t="n">
        <v>44</v>
      </c>
      <c r="M2143" s="1" t="n">
        <f aca="false">(E2143+M2142)-N2143</f>
        <v>43.4099999999998</v>
      </c>
      <c r="N2143" s="1" t="n">
        <v>5</v>
      </c>
    </row>
    <row r="2144" customFormat="false" ht="15" hidden="false" customHeight="true" outlineLevel="0" collapsed="false">
      <c r="D2144" s="11"/>
      <c r="H2144" s="1" t="s">
        <v>85</v>
      </c>
      <c r="I2144" s="1" t="s">
        <v>34</v>
      </c>
      <c r="J2144" s="1" t="n">
        <f aca="false">K2143</f>
        <v>39956</v>
      </c>
      <c r="K2144" s="1" t="n">
        <f aca="false">J2144+L2144</f>
        <v>40000</v>
      </c>
      <c r="L2144" s="1" t="n">
        <v>44</v>
      </c>
      <c r="M2144" s="1" t="n">
        <f aca="false">(E2144+M2143)-N2144</f>
        <v>38.4099999999998</v>
      </c>
      <c r="N2144" s="1" t="n">
        <v>5</v>
      </c>
    </row>
    <row r="2145" customFormat="false" ht="15" hidden="false" customHeight="true" outlineLevel="0" collapsed="false">
      <c r="D2145" s="11" t="n">
        <v>45832</v>
      </c>
      <c r="H2145" s="1" t="s">
        <v>34</v>
      </c>
      <c r="I2145" s="1" t="s">
        <v>44</v>
      </c>
      <c r="J2145" s="1" t="n">
        <f aca="false">K2144</f>
        <v>40000</v>
      </c>
      <c r="K2145" s="1" t="n">
        <f aca="false">J2145+L2145</f>
        <v>40040</v>
      </c>
      <c r="L2145" s="1" t="n">
        <v>40</v>
      </c>
      <c r="M2145" s="1" t="n">
        <f aca="false">(E2145+M2144)-N2145</f>
        <v>33.6099999999998</v>
      </c>
      <c r="N2145" s="1" t="n">
        <v>4.8</v>
      </c>
    </row>
    <row r="2146" customFormat="false" ht="15" hidden="false" customHeight="true" outlineLevel="0" collapsed="false">
      <c r="D2146" s="11"/>
      <c r="H2146" s="1" t="s">
        <v>44</v>
      </c>
      <c r="I2146" s="1" t="s">
        <v>34</v>
      </c>
      <c r="J2146" s="1" t="n">
        <f aca="false">K2145</f>
        <v>40040</v>
      </c>
      <c r="K2146" s="1" t="n">
        <f aca="false">J2146+L2146</f>
        <v>40080</v>
      </c>
      <c r="L2146" s="1" t="n">
        <v>40</v>
      </c>
      <c r="M2146" s="1" t="n">
        <f aca="false">(E2146+M2145)-N2146</f>
        <v>28.8099999999998</v>
      </c>
      <c r="N2146" s="1" t="n">
        <v>4.8</v>
      </c>
    </row>
    <row r="2147" customFormat="false" ht="15" hidden="false" customHeight="true" outlineLevel="0" collapsed="false">
      <c r="D2147" s="11" t="n">
        <v>45833</v>
      </c>
      <c r="E2147" s="0" t="n">
        <v>51.5</v>
      </c>
      <c r="F2147" s="1" t="n">
        <v>62.86</v>
      </c>
      <c r="G2147" s="6" t="n">
        <f aca="false">E2147*F2147</f>
        <v>3237.29</v>
      </c>
      <c r="H2147" s="1" t="s">
        <v>34</v>
      </c>
      <c r="I2147" s="1" t="s">
        <v>54</v>
      </c>
      <c r="J2147" s="1" t="n">
        <f aca="false">K2146</f>
        <v>40080</v>
      </c>
      <c r="K2147" s="1" t="n">
        <f aca="false">J2147+L2147</f>
        <v>40107</v>
      </c>
      <c r="L2147" s="1" t="n">
        <v>27</v>
      </c>
      <c r="M2147" s="1" t="n">
        <f aca="false">(E2147+M2146)-N2147</f>
        <v>77.1099999999998</v>
      </c>
      <c r="N2147" s="1" t="n">
        <v>3.2</v>
      </c>
    </row>
    <row r="2148" customFormat="false" ht="15" hidden="false" customHeight="true" outlineLevel="0" collapsed="false">
      <c r="D2148" s="11"/>
      <c r="H2148" s="1" t="s">
        <v>54</v>
      </c>
      <c r="I2148" s="1" t="s">
        <v>34</v>
      </c>
      <c r="J2148" s="1" t="n">
        <f aca="false">K2147</f>
        <v>40107</v>
      </c>
      <c r="K2148" s="1" t="n">
        <f aca="false">J2148+L2148</f>
        <v>40134</v>
      </c>
      <c r="L2148" s="1" t="n">
        <v>27</v>
      </c>
      <c r="M2148" s="1" t="n">
        <f aca="false">(E2148+M2147)-N2148</f>
        <v>73.9099999999998</v>
      </c>
      <c r="N2148" s="1" t="n">
        <v>3.2</v>
      </c>
    </row>
    <row r="2149" customFormat="false" ht="15" hidden="false" customHeight="true" outlineLevel="0" collapsed="false">
      <c r="D2149" s="11"/>
      <c r="H2149" s="1" t="s">
        <v>34</v>
      </c>
      <c r="I2149" s="1" t="s">
        <v>49</v>
      </c>
      <c r="J2149" s="1" t="n">
        <f aca="false">K2148</f>
        <v>40134</v>
      </c>
      <c r="K2149" s="1" t="n">
        <f aca="false">J2149+L2149</f>
        <v>40161</v>
      </c>
      <c r="L2149" s="1" t="n">
        <v>27</v>
      </c>
      <c r="M2149" s="1" t="n">
        <f aca="false">(E2149+M2148)-N2149</f>
        <v>70.7099999999998</v>
      </c>
      <c r="N2149" s="1" t="n">
        <v>3.2</v>
      </c>
    </row>
    <row r="2150" customFormat="false" ht="15" hidden="false" customHeight="true" outlineLevel="0" collapsed="false">
      <c r="D2150" s="11"/>
      <c r="H2150" s="1" t="s">
        <v>49</v>
      </c>
      <c r="I2150" s="1" t="s">
        <v>34</v>
      </c>
      <c r="J2150" s="1" t="n">
        <f aca="false">K2149</f>
        <v>40161</v>
      </c>
      <c r="K2150" s="1" t="n">
        <f aca="false">J2150+L2150</f>
        <v>40188</v>
      </c>
      <c r="L2150" s="1" t="n">
        <v>27</v>
      </c>
      <c r="M2150" s="1" t="n">
        <f aca="false">(E2150+M2149)-N2150</f>
        <v>67.5099999999998</v>
      </c>
      <c r="N2150" s="1" t="n">
        <v>3.2</v>
      </c>
    </row>
    <row r="2151" customFormat="false" ht="15" hidden="false" customHeight="true" outlineLevel="0" collapsed="false">
      <c r="D2151" s="11" t="n">
        <v>45834</v>
      </c>
      <c r="H2151" s="1" t="s">
        <v>34</v>
      </c>
      <c r="I2151" s="1" t="s">
        <v>35</v>
      </c>
      <c r="J2151" s="1" t="n">
        <f aca="false">K2150</f>
        <v>40188</v>
      </c>
      <c r="K2151" s="1" t="n">
        <f aca="false">J2151+L2151</f>
        <v>40200</v>
      </c>
      <c r="L2151" s="1" t="n">
        <v>12</v>
      </c>
      <c r="M2151" s="1" t="n">
        <f aca="false">(E2151+M2150)-N2151</f>
        <v>66.2599999999998</v>
      </c>
      <c r="N2151" s="1" t="n">
        <v>1.25</v>
      </c>
    </row>
    <row r="2152" customFormat="false" ht="15" hidden="false" customHeight="true" outlineLevel="0" collapsed="false">
      <c r="D2152" s="11"/>
      <c r="H2152" s="1" t="s">
        <v>35</v>
      </c>
      <c r="I2152" s="1" t="s">
        <v>34</v>
      </c>
      <c r="J2152" s="1" t="n">
        <f aca="false">K2151</f>
        <v>40200</v>
      </c>
      <c r="K2152" s="1" t="n">
        <f aca="false">J2152+L2152</f>
        <v>40212</v>
      </c>
      <c r="L2152" s="1" t="n">
        <v>12</v>
      </c>
      <c r="M2152" s="1" t="n">
        <f aca="false">(E2152+M2151)-N2152</f>
        <v>65.0099999999998</v>
      </c>
      <c r="N2152" s="1" t="n">
        <v>1.25</v>
      </c>
    </row>
    <row r="2153" customFormat="false" ht="15" hidden="false" customHeight="true" outlineLevel="0" collapsed="false">
      <c r="D2153" s="11" t="n">
        <v>45835</v>
      </c>
      <c r="H2153" s="1" t="s">
        <v>34</v>
      </c>
      <c r="I2153" s="1" t="s">
        <v>85</v>
      </c>
      <c r="J2153" s="1" t="n">
        <f aca="false">K2152</f>
        <v>40212</v>
      </c>
      <c r="K2153" s="1" t="n">
        <f aca="false">J2153+L2153</f>
        <v>40256</v>
      </c>
      <c r="L2153" s="1" t="n">
        <v>44</v>
      </c>
      <c r="M2153" s="1" t="n">
        <f aca="false">(E2153+M2152)-N2153</f>
        <v>60.0099999999998</v>
      </c>
      <c r="N2153" s="1" t="n">
        <v>5</v>
      </c>
    </row>
    <row r="2154" customFormat="false" ht="15" hidden="false" customHeight="true" outlineLevel="0" collapsed="false">
      <c r="H2154" s="1" t="s">
        <v>85</v>
      </c>
      <c r="I2154" s="1" t="s">
        <v>34</v>
      </c>
      <c r="J2154" s="1" t="n">
        <f aca="false">K2153</f>
        <v>40256</v>
      </c>
      <c r="K2154" s="1" t="n">
        <f aca="false">J2154+L2154</f>
        <v>40300</v>
      </c>
      <c r="L2154" s="1" t="n">
        <v>44</v>
      </c>
      <c r="M2154" s="1" t="n">
        <f aca="false">(E2154+M2153)-N2154</f>
        <v>55.0099999999998</v>
      </c>
      <c r="N2154" s="1" t="n">
        <v>5</v>
      </c>
    </row>
    <row r="2155" customFormat="false" ht="15" hidden="false" customHeight="true" outlineLevel="0" collapsed="false">
      <c r="D2155" s="11" t="n">
        <v>45838</v>
      </c>
      <c r="H2155" s="1" t="s">
        <v>34</v>
      </c>
      <c r="I2155" s="1" t="s">
        <v>44</v>
      </c>
      <c r="J2155" s="1" t="n">
        <f aca="false">K2154</f>
        <v>40300</v>
      </c>
      <c r="K2155" s="1" t="n">
        <f aca="false">J2155+L2155</f>
        <v>40340</v>
      </c>
      <c r="L2155" s="1" t="n">
        <v>40</v>
      </c>
      <c r="M2155" s="1" t="n">
        <f aca="false">(E2155+M2154)-N2155</f>
        <v>50.2099999999998</v>
      </c>
      <c r="N2155" s="1" t="n">
        <v>4.8</v>
      </c>
    </row>
    <row r="2156" customFormat="false" ht="15" hidden="false" customHeight="true" outlineLevel="0" collapsed="false">
      <c r="D2156" s="11"/>
      <c r="H2156" s="1" t="s">
        <v>44</v>
      </c>
      <c r="I2156" s="1" t="s">
        <v>34</v>
      </c>
      <c r="J2156" s="1" t="n">
        <f aca="false">K2155</f>
        <v>40340</v>
      </c>
      <c r="K2156" s="1" t="n">
        <f aca="false">J2156+L2156</f>
        <v>40380</v>
      </c>
      <c r="L2156" s="1" t="n">
        <v>40</v>
      </c>
      <c r="M2156" s="1" t="n">
        <f aca="false">(E2156+M2155)-N2156</f>
        <v>45.4099999999998</v>
      </c>
      <c r="N2156" s="1" t="n">
        <v>4.8</v>
      </c>
    </row>
    <row r="2159" customFormat="false" ht="15" hidden="false" customHeight="true" outlineLevel="0" collapsed="false">
      <c r="D2159" s="4" t="s">
        <v>95</v>
      </c>
      <c r="E2159" s="4"/>
      <c r="F2159" s="4"/>
      <c r="G2159" s="4"/>
    </row>
    <row r="2161" customFormat="false" ht="15" hidden="false" customHeight="true" outlineLevel="0" collapsed="false">
      <c r="D2161" s="11" t="n">
        <v>45839</v>
      </c>
      <c r="H2161" s="1" t="s">
        <v>34</v>
      </c>
      <c r="I2161" s="1" t="s">
        <v>44</v>
      </c>
      <c r="J2161" s="1" t="n">
        <f aca="false">K2156</f>
        <v>40380</v>
      </c>
      <c r="K2161" s="1" t="n">
        <f aca="false">J2161+L2161</f>
        <v>40420</v>
      </c>
      <c r="L2161" s="1" t="n">
        <v>40</v>
      </c>
      <c r="M2161" s="1" t="n">
        <f aca="false">(E2161+M2156)-N2161</f>
        <v>40.6099999999998</v>
      </c>
      <c r="N2161" s="1" t="n">
        <v>4.8</v>
      </c>
    </row>
    <row r="2162" customFormat="false" ht="15" hidden="false" customHeight="true" outlineLevel="0" collapsed="false">
      <c r="D2162" s="11"/>
      <c r="H2162" s="1" t="s">
        <v>44</v>
      </c>
      <c r="I2162" s="1" t="s">
        <v>34</v>
      </c>
      <c r="J2162" s="1" t="n">
        <f aca="false">K2161</f>
        <v>40420</v>
      </c>
      <c r="K2162" s="1" t="n">
        <f aca="false">J2162+L2162</f>
        <v>40460</v>
      </c>
      <c r="L2162" s="1" t="n">
        <v>40</v>
      </c>
      <c r="M2162" s="1" t="n">
        <f aca="false">(E2162+M2161)-N2162</f>
        <v>35.8099999999998</v>
      </c>
      <c r="N2162" s="1" t="n">
        <v>4.8</v>
      </c>
    </row>
    <row r="2163" customFormat="false" ht="15" hidden="false" customHeight="true" outlineLevel="0" collapsed="false">
      <c r="D2163" s="11" t="n">
        <v>45840</v>
      </c>
      <c r="E2163" s="0" t="n">
        <v>51.57</v>
      </c>
      <c r="F2163" s="1" t="n">
        <v>63.06</v>
      </c>
      <c r="G2163" s="6" t="n">
        <f aca="false">E2163*F2163</f>
        <v>3252.0042</v>
      </c>
      <c r="H2163" s="1" t="s">
        <v>34</v>
      </c>
      <c r="I2163" s="1" t="s">
        <v>49</v>
      </c>
      <c r="J2163" s="1" t="n">
        <f aca="false">K2162</f>
        <v>40460</v>
      </c>
      <c r="K2163" s="1" t="n">
        <f aca="false">J2163+L2163</f>
        <v>40487</v>
      </c>
      <c r="L2163" s="1" t="n">
        <v>27</v>
      </c>
      <c r="M2163" s="1" t="n">
        <f aca="false">(E2163+M2162)-N2163</f>
        <v>84.1799999999998</v>
      </c>
      <c r="N2163" s="1" t="n">
        <v>3.2</v>
      </c>
    </row>
    <row r="2164" customFormat="false" ht="15" hidden="false" customHeight="true" outlineLevel="0" collapsed="false">
      <c r="D2164" s="11"/>
      <c r="H2164" s="1" t="s">
        <v>49</v>
      </c>
      <c r="I2164" s="1" t="s">
        <v>34</v>
      </c>
      <c r="J2164" s="1" t="n">
        <f aca="false">K2163</f>
        <v>40487</v>
      </c>
      <c r="K2164" s="1" t="n">
        <f aca="false">J2164+L2164</f>
        <v>40514</v>
      </c>
      <c r="L2164" s="1" t="n">
        <v>27</v>
      </c>
      <c r="M2164" s="1" t="n">
        <f aca="false">(E2164+M2163)-N2164</f>
        <v>80.9799999999998</v>
      </c>
      <c r="N2164" s="1" t="n">
        <v>3.2</v>
      </c>
    </row>
    <row r="2165" customFormat="false" ht="15" hidden="false" customHeight="true" outlineLevel="0" collapsed="false">
      <c r="D2165" s="11" t="n">
        <v>45841</v>
      </c>
      <c r="H2165" s="1" t="s">
        <v>34</v>
      </c>
      <c r="I2165" s="1" t="s">
        <v>54</v>
      </c>
      <c r="J2165" s="1" t="n">
        <f aca="false">K2164</f>
        <v>40514</v>
      </c>
      <c r="K2165" s="1" t="n">
        <f aca="false">J2165+L2165</f>
        <v>40541</v>
      </c>
      <c r="L2165" s="1" t="n">
        <v>27</v>
      </c>
      <c r="M2165" s="1" t="n">
        <f aca="false">(E2165+M2164)-N2165</f>
        <v>77.7799999999998</v>
      </c>
      <c r="N2165" s="1" t="n">
        <v>3.2</v>
      </c>
    </row>
    <row r="2166" customFormat="false" ht="15" hidden="false" customHeight="true" outlineLevel="0" collapsed="false">
      <c r="D2166" s="11"/>
      <c r="H2166" s="1" t="s">
        <v>54</v>
      </c>
      <c r="I2166" s="1" t="s">
        <v>34</v>
      </c>
      <c r="J2166" s="1" t="n">
        <f aca="false">K2165</f>
        <v>40541</v>
      </c>
      <c r="K2166" s="1" t="n">
        <f aca="false">J2166+L2166</f>
        <v>40568</v>
      </c>
      <c r="L2166" s="1" t="n">
        <v>27</v>
      </c>
      <c r="M2166" s="1" t="n">
        <f aca="false">(E2166+M2165)-N2166</f>
        <v>74.5799999999998</v>
      </c>
      <c r="N2166" s="1" t="n">
        <v>3.2</v>
      </c>
    </row>
    <row r="2167" customFormat="false" ht="15" hidden="false" customHeight="true" outlineLevel="0" collapsed="false">
      <c r="D2167" s="11" t="n">
        <v>45842</v>
      </c>
      <c r="H2167" s="1" t="s">
        <v>34</v>
      </c>
      <c r="I2167" s="1" t="s">
        <v>54</v>
      </c>
      <c r="J2167" s="1" t="n">
        <f aca="false">K2166</f>
        <v>40568</v>
      </c>
      <c r="K2167" s="1" t="n">
        <f aca="false">J2167+L2167</f>
        <v>40595</v>
      </c>
      <c r="L2167" s="1" t="n">
        <v>27</v>
      </c>
      <c r="M2167" s="1" t="n">
        <f aca="false">(E2167+M2166)-N2167</f>
        <v>71.3799999999998</v>
      </c>
      <c r="N2167" s="1" t="n">
        <v>3.2</v>
      </c>
    </row>
    <row r="2168" customFormat="false" ht="15" hidden="false" customHeight="true" outlineLevel="0" collapsed="false">
      <c r="D2168" s="11"/>
      <c r="H2168" s="1" t="s">
        <v>54</v>
      </c>
      <c r="I2168" s="1" t="s">
        <v>34</v>
      </c>
      <c r="J2168" s="1" t="n">
        <f aca="false">K2167</f>
        <v>40595</v>
      </c>
      <c r="K2168" s="1" t="n">
        <f aca="false">J2168+L2168</f>
        <v>40622</v>
      </c>
      <c r="L2168" s="1" t="n">
        <v>27</v>
      </c>
      <c r="M2168" s="1" t="n">
        <f aca="false">(E2168+M2167)-N2168</f>
        <v>68.1799999999998</v>
      </c>
      <c r="N2168" s="1" t="n">
        <v>3.2</v>
      </c>
    </row>
    <row r="2169" customFormat="false" ht="15" hidden="false" customHeight="true" outlineLevel="0" collapsed="false">
      <c r="D2169" s="11" t="n">
        <v>45845</v>
      </c>
      <c r="H2169" s="1" t="s">
        <v>34</v>
      </c>
      <c r="I2169" s="1" t="s">
        <v>85</v>
      </c>
      <c r="J2169" s="1" t="n">
        <f aca="false">K2168</f>
        <v>40622</v>
      </c>
      <c r="K2169" s="1" t="n">
        <f aca="false">J2169+L2169</f>
        <v>40666</v>
      </c>
      <c r="L2169" s="1" t="n">
        <v>44</v>
      </c>
      <c r="M2169" s="1" t="n">
        <f aca="false">(E2169+M2168)-N2169</f>
        <v>63.1799999999998</v>
      </c>
      <c r="N2169" s="1" t="n">
        <v>5</v>
      </c>
    </row>
    <row r="2170" customFormat="false" ht="15" hidden="false" customHeight="true" outlineLevel="0" collapsed="false">
      <c r="D2170" s="11"/>
      <c r="H2170" s="1" t="s">
        <v>85</v>
      </c>
      <c r="I2170" s="1" t="s">
        <v>34</v>
      </c>
      <c r="J2170" s="1" t="n">
        <f aca="false">K2169</f>
        <v>40666</v>
      </c>
      <c r="K2170" s="1" t="n">
        <f aca="false">J2170+L2170</f>
        <v>40710</v>
      </c>
      <c r="L2170" s="1" t="n">
        <v>44</v>
      </c>
      <c r="M2170" s="1" t="n">
        <f aca="false">(E2170+M2169)-N2170</f>
        <v>58.1799999999998</v>
      </c>
      <c r="N2170" s="1" t="n">
        <v>5</v>
      </c>
    </row>
    <row r="2171" customFormat="false" ht="15" hidden="false" customHeight="true" outlineLevel="0" collapsed="false">
      <c r="D2171" s="11" t="n">
        <v>45846</v>
      </c>
      <c r="H2171" s="1" t="s">
        <v>34</v>
      </c>
      <c r="I2171" s="1" t="s">
        <v>44</v>
      </c>
      <c r="J2171" s="1" t="n">
        <f aca="false">K2170</f>
        <v>40710</v>
      </c>
      <c r="K2171" s="1" t="n">
        <f aca="false">J2171+L2171</f>
        <v>40750</v>
      </c>
      <c r="L2171" s="1" t="n">
        <v>40</v>
      </c>
      <c r="M2171" s="1" t="n">
        <f aca="false">(E2171+M2170)-N2171</f>
        <v>53.3799999999998</v>
      </c>
      <c r="N2171" s="1" t="n">
        <v>4.8</v>
      </c>
    </row>
    <row r="2172" customFormat="false" ht="15" hidden="false" customHeight="true" outlineLevel="0" collapsed="false">
      <c r="D2172" s="11"/>
      <c r="H2172" s="1" t="s">
        <v>44</v>
      </c>
      <c r="I2172" s="1" t="s">
        <v>34</v>
      </c>
      <c r="J2172" s="1" t="n">
        <f aca="false">K2171</f>
        <v>40750</v>
      </c>
      <c r="K2172" s="1" t="n">
        <f aca="false">J2172+L2172</f>
        <v>40790</v>
      </c>
      <c r="L2172" s="1" t="n">
        <v>40</v>
      </c>
      <c r="M2172" s="1" t="n">
        <f aca="false">(E2172+M2171)-N2172</f>
        <v>48.5799999999998</v>
      </c>
      <c r="N2172" s="1" t="n">
        <v>4.8</v>
      </c>
    </row>
    <row r="2173" customFormat="false" ht="15" hidden="false" customHeight="true" outlineLevel="0" collapsed="false">
      <c r="D2173" s="11" t="n">
        <v>45847</v>
      </c>
      <c r="E2173" s="0" t="n">
        <v>46.41</v>
      </c>
      <c r="F2173" s="1" t="n">
        <v>62.91</v>
      </c>
      <c r="G2173" s="6" t="n">
        <f aca="false">E2173*F2173</f>
        <v>2919.6531</v>
      </c>
      <c r="H2173" s="1" t="s">
        <v>34</v>
      </c>
      <c r="I2173" s="1" t="s">
        <v>44</v>
      </c>
      <c r="J2173" s="1" t="n">
        <f aca="false">K2172</f>
        <v>40790</v>
      </c>
      <c r="K2173" s="1" t="n">
        <f aca="false">J2173+L2173</f>
        <v>40830</v>
      </c>
      <c r="L2173" s="1" t="n">
        <v>40</v>
      </c>
      <c r="M2173" s="1" t="n">
        <f aca="false">(E2173+M2172)-N2173</f>
        <v>90.1899999999998</v>
      </c>
      <c r="N2173" s="1" t="n">
        <v>4.8</v>
      </c>
    </row>
    <row r="2174" customFormat="false" ht="15" hidden="false" customHeight="true" outlineLevel="0" collapsed="false">
      <c r="D2174" s="11"/>
      <c r="H2174" s="1" t="s">
        <v>44</v>
      </c>
      <c r="I2174" s="1" t="s">
        <v>34</v>
      </c>
      <c r="J2174" s="1" t="n">
        <f aca="false">K2173</f>
        <v>40830</v>
      </c>
      <c r="K2174" s="1" t="n">
        <f aca="false">J2174+L2174</f>
        <v>40870</v>
      </c>
      <c r="L2174" s="1" t="n">
        <v>40</v>
      </c>
      <c r="M2174" s="1" t="n">
        <f aca="false">(E2174+M2173)-N2174</f>
        <v>85.3899999999998</v>
      </c>
      <c r="N2174" s="1" t="n">
        <v>4.8</v>
      </c>
    </row>
    <row r="2175" customFormat="false" ht="15" hidden="false" customHeight="true" outlineLevel="0" collapsed="false">
      <c r="D2175" s="11" t="n">
        <v>45848</v>
      </c>
      <c r="H2175" s="1" t="s">
        <v>34</v>
      </c>
      <c r="I2175" s="1" t="s">
        <v>35</v>
      </c>
      <c r="J2175" s="1" t="n">
        <f aca="false">K2174</f>
        <v>40870</v>
      </c>
      <c r="K2175" s="1" t="n">
        <f aca="false">J2175+L2175</f>
        <v>40882</v>
      </c>
      <c r="L2175" s="1" t="n">
        <v>12</v>
      </c>
      <c r="M2175" s="1" t="n">
        <f aca="false">(E2175+M2174)-N2175</f>
        <v>84.1399999999998</v>
      </c>
      <c r="N2175" s="1" t="n">
        <v>1.25</v>
      </c>
    </row>
    <row r="2176" customFormat="false" ht="15" hidden="false" customHeight="true" outlineLevel="0" collapsed="false">
      <c r="D2176" s="11"/>
      <c r="H2176" s="1" t="s">
        <v>35</v>
      </c>
      <c r="I2176" s="1" t="s">
        <v>34</v>
      </c>
      <c r="J2176" s="1" t="n">
        <f aca="false">K2175</f>
        <v>40882</v>
      </c>
      <c r="K2176" s="1" t="n">
        <f aca="false">J2176+L2176</f>
        <v>40894</v>
      </c>
      <c r="L2176" s="1" t="n">
        <v>12</v>
      </c>
      <c r="M2176" s="1" t="n">
        <f aca="false">(E2176+M2175)-N2176</f>
        <v>82.8899999999998</v>
      </c>
      <c r="N2176" s="1" t="n">
        <v>1.25</v>
      </c>
    </row>
    <row r="2177" customFormat="false" ht="15" hidden="false" customHeight="true" outlineLevel="0" collapsed="false">
      <c r="D2177" s="11" t="n">
        <v>45849</v>
      </c>
      <c r="H2177" s="1" t="s">
        <v>34</v>
      </c>
      <c r="I2177" s="1" t="s">
        <v>54</v>
      </c>
      <c r="J2177" s="1" t="n">
        <f aca="false">K2176</f>
        <v>40894</v>
      </c>
      <c r="K2177" s="1" t="n">
        <f aca="false">J2177+L2177</f>
        <v>40921</v>
      </c>
      <c r="L2177" s="1" t="n">
        <v>27</v>
      </c>
      <c r="M2177" s="1" t="n">
        <f aca="false">(E2177+M2176)-N2177</f>
        <v>79.6899999999998</v>
      </c>
      <c r="N2177" s="1" t="n">
        <v>3.2</v>
      </c>
    </row>
    <row r="2178" customFormat="false" ht="15" hidden="false" customHeight="true" outlineLevel="0" collapsed="false">
      <c r="D2178" s="11"/>
      <c r="H2178" s="1" t="s">
        <v>54</v>
      </c>
      <c r="I2178" s="1" t="s">
        <v>34</v>
      </c>
      <c r="J2178" s="1" t="n">
        <f aca="false">K2177</f>
        <v>40921</v>
      </c>
      <c r="K2178" s="1" t="n">
        <f aca="false">J2178+L2178</f>
        <v>40948</v>
      </c>
      <c r="L2178" s="1" t="n">
        <v>27</v>
      </c>
      <c r="M2178" s="1" t="n">
        <f aca="false">(E2178+M2177)-N2178</f>
        <v>76.4899999999998</v>
      </c>
      <c r="N2178" s="1" t="n">
        <v>3.2</v>
      </c>
    </row>
    <row r="2179" customFormat="false" ht="15" hidden="false" customHeight="true" outlineLevel="0" collapsed="false">
      <c r="D2179" s="11" t="n">
        <v>45852</v>
      </c>
      <c r="H2179" s="1" t="s">
        <v>34</v>
      </c>
      <c r="I2179" s="1" t="s">
        <v>85</v>
      </c>
      <c r="J2179" s="1" t="n">
        <f aca="false">K2178</f>
        <v>40948</v>
      </c>
      <c r="K2179" s="1" t="n">
        <f aca="false">J2179+L2179</f>
        <v>40992</v>
      </c>
      <c r="L2179" s="1" t="n">
        <v>44</v>
      </c>
      <c r="M2179" s="1" t="n">
        <f aca="false">(E2179+M2178)-N2179</f>
        <v>71.4899999999998</v>
      </c>
      <c r="N2179" s="1" t="n">
        <v>5</v>
      </c>
    </row>
    <row r="2180" customFormat="false" ht="15" hidden="false" customHeight="true" outlineLevel="0" collapsed="false">
      <c r="D2180" s="11"/>
      <c r="H2180" s="1" t="s">
        <v>85</v>
      </c>
      <c r="I2180" s="1" t="s">
        <v>34</v>
      </c>
      <c r="J2180" s="1" t="n">
        <f aca="false">K2179</f>
        <v>40992</v>
      </c>
      <c r="K2180" s="1" t="n">
        <f aca="false">J2180+L2180</f>
        <v>41036</v>
      </c>
      <c r="L2180" s="1" t="n">
        <v>44</v>
      </c>
      <c r="M2180" s="1" t="n">
        <f aca="false">(E2180+M2179)-N2180</f>
        <v>66.4899999999998</v>
      </c>
      <c r="N2180" s="1" t="n">
        <v>5</v>
      </c>
    </row>
    <row r="2181" customFormat="false" ht="15" hidden="false" customHeight="true" outlineLevel="0" collapsed="false">
      <c r="D2181" s="11" t="n">
        <v>45853</v>
      </c>
      <c r="H2181" s="1" t="s">
        <v>34</v>
      </c>
      <c r="I2181" s="1" t="s">
        <v>44</v>
      </c>
      <c r="J2181" s="1" t="n">
        <f aca="false">K2180</f>
        <v>41036</v>
      </c>
      <c r="K2181" s="1" t="n">
        <f aca="false">J2181+L2181</f>
        <v>41076</v>
      </c>
      <c r="L2181" s="1" t="n">
        <v>40</v>
      </c>
      <c r="M2181" s="1" t="n">
        <f aca="false">(E2181+M2180)-N2181</f>
        <v>61.6899999999998</v>
      </c>
      <c r="N2181" s="1" t="n">
        <v>4.8</v>
      </c>
    </row>
    <row r="2182" customFormat="false" ht="15" hidden="false" customHeight="true" outlineLevel="0" collapsed="false">
      <c r="D2182" s="11"/>
      <c r="H2182" s="1" t="s">
        <v>44</v>
      </c>
      <c r="I2182" s="1" t="s">
        <v>34</v>
      </c>
      <c r="J2182" s="1" t="n">
        <f aca="false">K2181</f>
        <v>41076</v>
      </c>
      <c r="K2182" s="1" t="n">
        <f aca="false">J2182+L2182</f>
        <v>41116</v>
      </c>
      <c r="L2182" s="1" t="n">
        <v>40</v>
      </c>
      <c r="M2182" s="1" t="n">
        <f aca="false">(E2182+M2181)-N2182</f>
        <v>56.8899999999998</v>
      </c>
      <c r="N2182" s="1" t="n">
        <v>4.8</v>
      </c>
    </row>
    <row r="2183" customFormat="false" ht="15" hidden="false" customHeight="true" outlineLevel="0" collapsed="false">
      <c r="D2183" s="11" t="n">
        <v>45854</v>
      </c>
      <c r="H2183" s="1" t="s">
        <v>34</v>
      </c>
      <c r="I2183" s="1" t="s">
        <v>54</v>
      </c>
      <c r="J2183" s="1" t="n">
        <f aca="false">K2182</f>
        <v>41116</v>
      </c>
      <c r="K2183" s="1" t="n">
        <f aca="false">J2183+L2183</f>
        <v>41143</v>
      </c>
      <c r="L2183" s="1" t="n">
        <v>27</v>
      </c>
      <c r="M2183" s="1" t="n">
        <f aca="false">(E2183+M2182)-N2183</f>
        <v>53.6899999999998</v>
      </c>
      <c r="N2183" s="1" t="n">
        <v>3.2</v>
      </c>
    </row>
    <row r="2184" customFormat="false" ht="15" hidden="false" customHeight="true" outlineLevel="0" collapsed="false">
      <c r="D2184" s="11"/>
      <c r="H2184" s="1" t="s">
        <v>54</v>
      </c>
      <c r="I2184" s="1" t="s">
        <v>34</v>
      </c>
      <c r="J2184" s="1" t="n">
        <f aca="false">K2183</f>
        <v>41143</v>
      </c>
      <c r="K2184" s="1" t="n">
        <f aca="false">J2184+L2184</f>
        <v>41170</v>
      </c>
      <c r="L2184" s="1" t="n">
        <v>27</v>
      </c>
      <c r="M2184" s="1" t="n">
        <f aca="false">(E2184+M2183)-N2184</f>
        <v>50.4899999999998</v>
      </c>
      <c r="N2184" s="1" t="n">
        <v>3.2</v>
      </c>
    </row>
    <row r="2185" customFormat="false" ht="15" hidden="false" customHeight="true" outlineLevel="0" collapsed="false">
      <c r="D2185" s="11" t="n">
        <v>45855</v>
      </c>
      <c r="H2185" s="1" t="s">
        <v>34</v>
      </c>
      <c r="I2185" s="1" t="s">
        <v>32</v>
      </c>
      <c r="J2185" s="1" t="n">
        <f aca="false">K2184</f>
        <v>41170</v>
      </c>
      <c r="K2185" s="1" t="n">
        <f aca="false">J2185+L2185</f>
        <v>41195</v>
      </c>
      <c r="L2185" s="1" t="n">
        <v>25</v>
      </c>
      <c r="M2185" s="1" t="n">
        <f aca="false">(E2185+M2184)-N2185</f>
        <v>47.4899999999998</v>
      </c>
      <c r="N2185" s="1" t="n">
        <v>3</v>
      </c>
    </row>
    <row r="2186" customFormat="false" ht="15" hidden="false" customHeight="true" outlineLevel="0" collapsed="false">
      <c r="D2186" s="11"/>
      <c r="H2186" s="1" t="s">
        <v>32</v>
      </c>
      <c r="I2186" s="1" t="s">
        <v>34</v>
      </c>
      <c r="J2186" s="1" t="n">
        <f aca="false">K2185</f>
        <v>41195</v>
      </c>
      <c r="K2186" s="1" t="n">
        <f aca="false">J2186+L2186</f>
        <v>41220</v>
      </c>
      <c r="L2186" s="1" t="n">
        <v>25</v>
      </c>
      <c r="M2186" s="1" t="n">
        <f aca="false">(E2186+M2185)-N2186</f>
        <v>44.4899999999998</v>
      </c>
      <c r="N2186" s="1" t="n">
        <v>3</v>
      </c>
    </row>
    <row r="2187" customFormat="false" ht="15" hidden="false" customHeight="true" outlineLevel="0" collapsed="false">
      <c r="D2187" s="11" t="n">
        <v>45856</v>
      </c>
      <c r="E2187" s="0" t="n">
        <v>44.83</v>
      </c>
      <c r="F2187" s="1" t="n">
        <v>63.83</v>
      </c>
      <c r="G2187" s="6" t="n">
        <f aca="false">E2187*F2187</f>
        <v>2861.4989</v>
      </c>
      <c r="H2187" s="1" t="s">
        <v>34</v>
      </c>
      <c r="I2187" s="1" t="s">
        <v>44</v>
      </c>
      <c r="J2187" s="1" t="n">
        <f aca="false">K2186</f>
        <v>41220</v>
      </c>
      <c r="K2187" s="1" t="n">
        <f aca="false">J2187+L2187</f>
        <v>41260</v>
      </c>
      <c r="L2187" s="1" t="n">
        <v>40</v>
      </c>
      <c r="M2187" s="1" t="n">
        <f aca="false">(E2187+M2186)-N2187</f>
        <v>84.5199999999998</v>
      </c>
      <c r="N2187" s="1" t="n">
        <v>4.8</v>
      </c>
    </row>
    <row r="2188" customFormat="false" ht="15" hidden="false" customHeight="true" outlineLevel="0" collapsed="false">
      <c r="D2188" s="11"/>
      <c r="H2188" s="1" t="s">
        <v>44</v>
      </c>
      <c r="I2188" s="1" t="s">
        <v>34</v>
      </c>
      <c r="J2188" s="1" t="n">
        <f aca="false">K2187</f>
        <v>41260</v>
      </c>
      <c r="K2188" s="1" t="n">
        <f aca="false">J2188+L2188</f>
        <v>41300</v>
      </c>
      <c r="L2188" s="1" t="n">
        <v>40</v>
      </c>
      <c r="M2188" s="1" t="n">
        <f aca="false">(E2188+M2187)-N2188</f>
        <v>79.7199999999998</v>
      </c>
      <c r="N2188" s="1" t="n">
        <v>4.8</v>
      </c>
    </row>
    <row r="2189" customFormat="false" ht="15" hidden="false" customHeight="true" outlineLevel="0" collapsed="false">
      <c r="D2189" s="11"/>
      <c r="H2189" s="1" t="s">
        <v>34</v>
      </c>
      <c r="I2189" s="1" t="s">
        <v>49</v>
      </c>
      <c r="J2189" s="1" t="n">
        <f aca="false">K2188</f>
        <v>41300</v>
      </c>
      <c r="K2189" s="1" t="n">
        <f aca="false">J2189+L2189</f>
        <v>41327</v>
      </c>
      <c r="L2189" s="1" t="n">
        <v>27</v>
      </c>
      <c r="M2189" s="1" t="n">
        <f aca="false">(E2189+M2188)-N2189</f>
        <v>76.5199999999998</v>
      </c>
      <c r="N2189" s="1" t="n">
        <v>3.2</v>
      </c>
    </row>
    <row r="2190" customFormat="false" ht="15" hidden="false" customHeight="true" outlineLevel="0" collapsed="false">
      <c r="D2190" s="11"/>
      <c r="H2190" s="1" t="s">
        <v>49</v>
      </c>
      <c r="I2190" s="1" t="s">
        <v>34</v>
      </c>
      <c r="J2190" s="1" t="n">
        <f aca="false">K2189</f>
        <v>41327</v>
      </c>
      <c r="K2190" s="1" t="n">
        <f aca="false">J2190+L2190</f>
        <v>41354</v>
      </c>
      <c r="L2190" s="1" t="n">
        <v>27</v>
      </c>
      <c r="M2190" s="1" t="n">
        <f aca="false">(E2190+M2189)-N2190</f>
        <v>73.3199999999998</v>
      </c>
      <c r="N2190" s="1" t="n">
        <v>3.2</v>
      </c>
    </row>
    <row r="2191" customFormat="false" ht="15" hidden="false" customHeight="true" outlineLevel="0" collapsed="false">
      <c r="D2191" s="11" t="n">
        <v>45859</v>
      </c>
      <c r="H2191" s="1" t="s">
        <v>34</v>
      </c>
      <c r="I2191" s="1" t="s">
        <v>54</v>
      </c>
      <c r="J2191" s="1" t="n">
        <f aca="false">K2190</f>
        <v>41354</v>
      </c>
      <c r="K2191" s="1" t="n">
        <f aca="false">J2191+L2191</f>
        <v>41381</v>
      </c>
      <c r="L2191" s="1" t="n">
        <v>27</v>
      </c>
      <c r="M2191" s="1" t="n">
        <f aca="false">(E2191+M2190)-N2191</f>
        <v>70.1199999999998</v>
      </c>
      <c r="N2191" s="1" t="n">
        <v>3.2</v>
      </c>
    </row>
    <row r="2192" customFormat="false" ht="15" hidden="false" customHeight="true" outlineLevel="0" collapsed="false">
      <c r="D2192" s="11"/>
      <c r="H2192" s="1" t="s">
        <v>54</v>
      </c>
      <c r="I2192" s="1" t="s">
        <v>34</v>
      </c>
      <c r="J2192" s="1" t="n">
        <f aca="false">K2191</f>
        <v>41381</v>
      </c>
      <c r="K2192" s="1" t="n">
        <f aca="false">J2192+L2192</f>
        <v>41408</v>
      </c>
      <c r="L2192" s="1" t="n">
        <v>27</v>
      </c>
      <c r="M2192" s="1" t="n">
        <f aca="false">(E2192+M2191)-N2192</f>
        <v>66.9199999999998</v>
      </c>
      <c r="N2192" s="1" t="n">
        <v>3.2</v>
      </c>
    </row>
    <row r="2193" customFormat="false" ht="15" hidden="false" customHeight="true" outlineLevel="0" collapsed="false">
      <c r="D2193" s="11"/>
      <c r="H2193" s="1" t="s">
        <v>34</v>
      </c>
      <c r="I2193" s="1" t="s">
        <v>85</v>
      </c>
      <c r="J2193" s="1" t="n">
        <f aca="false">K2192</f>
        <v>41408</v>
      </c>
      <c r="K2193" s="1" t="n">
        <f aca="false">J2193+L2193</f>
        <v>41452</v>
      </c>
      <c r="L2193" s="1" t="n">
        <v>44</v>
      </c>
      <c r="M2193" s="1" t="n">
        <f aca="false">(E2193+M2192)-N2193</f>
        <v>61.9199999999997</v>
      </c>
      <c r="N2193" s="1" t="n">
        <v>5</v>
      </c>
    </row>
    <row r="2194" customFormat="false" ht="15" hidden="false" customHeight="true" outlineLevel="0" collapsed="false">
      <c r="D2194" s="11"/>
      <c r="H2194" s="1" t="s">
        <v>85</v>
      </c>
      <c r="I2194" s="1" t="s">
        <v>34</v>
      </c>
      <c r="J2194" s="1" t="n">
        <f aca="false">K2193</f>
        <v>41452</v>
      </c>
      <c r="K2194" s="1" t="n">
        <f aca="false">J2194+L2194</f>
        <v>41496</v>
      </c>
      <c r="L2194" s="1" t="n">
        <v>44</v>
      </c>
      <c r="M2194" s="1" t="n">
        <f aca="false">(E2194+M2193)-N2194</f>
        <v>56.9199999999997</v>
      </c>
      <c r="N2194" s="1" t="n">
        <v>5</v>
      </c>
    </row>
    <row r="2195" customFormat="false" ht="15" hidden="false" customHeight="true" outlineLevel="0" collapsed="false">
      <c r="D2195" s="11" t="n">
        <v>45860</v>
      </c>
      <c r="H2195" s="1" t="s">
        <v>34</v>
      </c>
      <c r="I2195" s="1" t="s">
        <v>85</v>
      </c>
      <c r="J2195" s="1" t="n">
        <f aca="false">K2194</f>
        <v>41496</v>
      </c>
      <c r="K2195" s="1" t="n">
        <f aca="false">J2195+L2195</f>
        <v>41540</v>
      </c>
      <c r="L2195" s="1" t="n">
        <v>44</v>
      </c>
      <c r="M2195" s="1" t="n">
        <f aca="false">(E2195+M2194)-N2195</f>
        <v>51.9199999999997</v>
      </c>
      <c r="N2195" s="1" t="n">
        <v>5</v>
      </c>
    </row>
    <row r="2196" customFormat="false" ht="15" hidden="false" customHeight="true" outlineLevel="0" collapsed="false">
      <c r="D2196" s="11"/>
      <c r="H2196" s="1" t="s">
        <v>85</v>
      </c>
      <c r="I2196" s="1" t="s">
        <v>34</v>
      </c>
      <c r="J2196" s="1" t="n">
        <f aca="false">K2195</f>
        <v>41540</v>
      </c>
      <c r="K2196" s="1" t="n">
        <f aca="false">J2196+L2196</f>
        <v>41584</v>
      </c>
      <c r="L2196" s="1" t="n">
        <v>44</v>
      </c>
      <c r="M2196" s="1" t="n">
        <f aca="false">(E2196+M2195)-N2196</f>
        <v>46.9199999999997</v>
      </c>
      <c r="N2196" s="1" t="n">
        <v>5</v>
      </c>
    </row>
    <row r="2197" customFormat="false" ht="15" hidden="false" customHeight="true" outlineLevel="0" collapsed="false">
      <c r="D2197" s="11"/>
      <c r="H2197" s="1" t="s">
        <v>34</v>
      </c>
      <c r="I2197" s="1" t="s">
        <v>44</v>
      </c>
      <c r="J2197" s="1" t="n">
        <f aca="false">K2196</f>
        <v>41584</v>
      </c>
      <c r="K2197" s="1" t="n">
        <f aca="false">J2197+L2197</f>
        <v>41624</v>
      </c>
      <c r="L2197" s="1" t="n">
        <v>40</v>
      </c>
      <c r="M2197" s="1" t="n">
        <f aca="false">(E2197+M2196)-N2197</f>
        <v>42.1199999999998</v>
      </c>
      <c r="N2197" s="1" t="n">
        <v>4.8</v>
      </c>
    </row>
    <row r="2198" customFormat="false" ht="15" hidden="false" customHeight="true" outlineLevel="0" collapsed="false">
      <c r="D2198" s="11"/>
      <c r="H2198" s="1" t="s">
        <v>44</v>
      </c>
      <c r="I2198" s="1" t="s">
        <v>34</v>
      </c>
      <c r="J2198" s="1" t="n">
        <f aca="false">K2197</f>
        <v>41624</v>
      </c>
      <c r="K2198" s="1" t="n">
        <f aca="false">J2198+L2198</f>
        <v>41664</v>
      </c>
      <c r="L2198" s="1" t="n">
        <v>40</v>
      </c>
      <c r="M2198" s="1" t="n">
        <f aca="false">(E2198+M2197)-N2198</f>
        <v>37.3199999999998</v>
      </c>
      <c r="N2198" s="1" t="n">
        <v>4.8</v>
      </c>
    </row>
    <row r="2199" customFormat="false" ht="15" hidden="false" customHeight="true" outlineLevel="0" collapsed="false">
      <c r="D2199" s="11" t="n">
        <v>45861</v>
      </c>
      <c r="E2199" s="0" t="n">
        <v>46.52</v>
      </c>
      <c r="F2199" s="1" t="n">
        <v>63.43</v>
      </c>
      <c r="G2199" s="6" t="n">
        <f aca="false">E2199*F2199</f>
        <v>2950.7636</v>
      </c>
      <c r="H2199" s="1" t="s">
        <v>34</v>
      </c>
      <c r="I2199" s="1" t="s">
        <v>54</v>
      </c>
      <c r="J2199" s="1" t="n">
        <f aca="false">K2198</f>
        <v>41664</v>
      </c>
      <c r="K2199" s="1" t="n">
        <f aca="false">J2199+L2199</f>
        <v>41691</v>
      </c>
      <c r="L2199" s="1" t="n">
        <v>27</v>
      </c>
      <c r="M2199" s="1" t="n">
        <f aca="false">(E2199+M2198)-N2199</f>
        <v>80.6399999999997</v>
      </c>
      <c r="N2199" s="1" t="n">
        <v>3.2</v>
      </c>
    </row>
    <row r="2200" customFormat="false" ht="15" hidden="false" customHeight="true" outlineLevel="0" collapsed="false">
      <c r="D2200" s="11"/>
      <c r="H2200" s="1" t="s">
        <v>54</v>
      </c>
      <c r="I2200" s="1" t="s">
        <v>34</v>
      </c>
      <c r="J2200" s="1" t="n">
        <f aca="false">K2199</f>
        <v>41691</v>
      </c>
      <c r="K2200" s="1" t="n">
        <f aca="false">J2200+L2200</f>
        <v>41718</v>
      </c>
      <c r="L2200" s="1" t="n">
        <v>27</v>
      </c>
      <c r="M2200" s="1" t="n">
        <f aca="false">(E2200+M2199)-N2200</f>
        <v>77.4399999999997</v>
      </c>
      <c r="N2200" s="1" t="n">
        <v>3.2</v>
      </c>
    </row>
    <row r="2201" customFormat="false" ht="15" hidden="false" customHeight="true" outlineLevel="0" collapsed="false">
      <c r="D2201" s="11" t="n">
        <v>45862</v>
      </c>
      <c r="H2201" s="1" t="s">
        <v>34</v>
      </c>
      <c r="I2201" s="1" t="s">
        <v>35</v>
      </c>
      <c r="J2201" s="1" t="n">
        <f aca="false">K2200</f>
        <v>41718</v>
      </c>
      <c r="K2201" s="1" t="n">
        <f aca="false">J2201+L2201</f>
        <v>41730</v>
      </c>
      <c r="L2201" s="1" t="n">
        <v>12</v>
      </c>
      <c r="M2201" s="1" t="n">
        <f aca="false">(E2201+M2200)-N2201</f>
        <v>76.1899999999997</v>
      </c>
      <c r="N2201" s="1" t="n">
        <v>1.25</v>
      </c>
    </row>
    <row r="2202" customFormat="false" ht="15" hidden="false" customHeight="true" outlineLevel="0" collapsed="false">
      <c r="D2202" s="11"/>
      <c r="H2202" s="1" t="s">
        <v>35</v>
      </c>
      <c r="I2202" s="1" t="s">
        <v>34</v>
      </c>
      <c r="J2202" s="1" t="n">
        <f aca="false">K2201</f>
        <v>41730</v>
      </c>
      <c r="K2202" s="1" t="n">
        <f aca="false">J2202+L2202</f>
        <v>41742</v>
      </c>
      <c r="L2202" s="1" t="n">
        <v>12</v>
      </c>
      <c r="M2202" s="1" t="n">
        <f aca="false">(E2202+M2201)-N2202</f>
        <v>74.9399999999997</v>
      </c>
      <c r="N2202" s="1" t="n">
        <v>1.25</v>
      </c>
    </row>
    <row r="2203" customFormat="false" ht="15" hidden="false" customHeight="true" outlineLevel="0" collapsed="false">
      <c r="D2203" s="11" t="n">
        <v>45863</v>
      </c>
      <c r="H2203" s="1" t="s">
        <v>34</v>
      </c>
      <c r="I2203" s="1" t="s">
        <v>43</v>
      </c>
      <c r="J2203" s="1" t="n">
        <f aca="false">K2202</f>
        <v>41742</v>
      </c>
      <c r="K2203" s="1" t="n">
        <f aca="false">J2203+L2203</f>
        <v>41754</v>
      </c>
      <c r="L2203" s="1" t="n">
        <v>12</v>
      </c>
      <c r="M2203" s="1" t="n">
        <f aca="false">(E2203+M2202)-N2203</f>
        <v>73.6899999999997</v>
      </c>
      <c r="N2203" s="1" t="n">
        <v>1.25</v>
      </c>
    </row>
    <row r="2204" customFormat="false" ht="15" hidden="false" customHeight="true" outlineLevel="0" collapsed="false">
      <c r="D2204" s="11"/>
      <c r="H2204" s="1" t="s">
        <v>43</v>
      </c>
      <c r="I2204" s="1" t="s">
        <v>34</v>
      </c>
      <c r="J2204" s="1" t="n">
        <f aca="false">K2203</f>
        <v>41754</v>
      </c>
      <c r="K2204" s="1" t="n">
        <f aca="false">J2204+L2204</f>
        <v>41766</v>
      </c>
      <c r="L2204" s="1" t="n">
        <v>12</v>
      </c>
      <c r="M2204" s="1" t="n">
        <f aca="false">(E2204+M2203)-N2204</f>
        <v>72.4399999999997</v>
      </c>
      <c r="N2204" s="1" t="n">
        <v>1.25</v>
      </c>
    </row>
    <row r="2205" customFormat="false" ht="15" hidden="false" customHeight="true" outlineLevel="0" collapsed="false">
      <c r="D2205" s="11" t="n">
        <v>45866</v>
      </c>
      <c r="H2205" s="1" t="s">
        <v>34</v>
      </c>
      <c r="I2205" s="1" t="s">
        <v>54</v>
      </c>
      <c r="J2205" s="1" t="n">
        <f aca="false">K2204</f>
        <v>41766</v>
      </c>
      <c r="K2205" s="1" t="n">
        <f aca="false">J2205+L2205</f>
        <v>41793</v>
      </c>
      <c r="L2205" s="1" t="n">
        <v>27</v>
      </c>
      <c r="M2205" s="1" t="n">
        <f aca="false">(E2205+M2204)-N2205</f>
        <v>69.2399999999997</v>
      </c>
      <c r="N2205" s="1" t="n">
        <v>3.2</v>
      </c>
    </row>
    <row r="2206" customFormat="false" ht="15" hidden="false" customHeight="true" outlineLevel="0" collapsed="false">
      <c r="D2206" s="11"/>
      <c r="H2206" s="1" t="s">
        <v>54</v>
      </c>
      <c r="I2206" s="1" t="s">
        <v>34</v>
      </c>
      <c r="J2206" s="1" t="n">
        <f aca="false">K2205</f>
        <v>41793</v>
      </c>
      <c r="K2206" s="1" t="n">
        <f aca="false">J2206+L2206</f>
        <v>41820</v>
      </c>
      <c r="L2206" s="1" t="n">
        <v>27</v>
      </c>
      <c r="M2206" s="1" t="n">
        <f aca="false">(E2206+M2205)-N2206</f>
        <v>66.0399999999997</v>
      </c>
      <c r="N2206" s="1" t="n">
        <v>3.2</v>
      </c>
    </row>
    <row r="2207" customFormat="false" ht="15" hidden="false" customHeight="true" outlineLevel="0" collapsed="false">
      <c r="D2207" s="11" t="n">
        <v>45867</v>
      </c>
      <c r="H2207" s="1" t="s">
        <v>34</v>
      </c>
      <c r="I2207" s="1" t="s">
        <v>54</v>
      </c>
      <c r="J2207" s="1" t="n">
        <f aca="false">K2206</f>
        <v>41820</v>
      </c>
      <c r="K2207" s="1" t="n">
        <f aca="false">J2207+L2207</f>
        <v>41847</v>
      </c>
      <c r="L2207" s="1" t="n">
        <v>27</v>
      </c>
      <c r="M2207" s="1" t="n">
        <f aca="false">(E2207+M2206)-N2207</f>
        <v>62.8399999999997</v>
      </c>
      <c r="N2207" s="1" t="n">
        <v>3.2</v>
      </c>
    </row>
    <row r="2208" customFormat="false" ht="15" hidden="false" customHeight="true" outlineLevel="0" collapsed="false">
      <c r="D2208" s="11"/>
      <c r="H2208" s="1" t="s">
        <v>54</v>
      </c>
      <c r="I2208" s="1" t="s">
        <v>34</v>
      </c>
      <c r="J2208" s="1" t="n">
        <f aca="false">K2207</f>
        <v>41847</v>
      </c>
      <c r="K2208" s="1" t="n">
        <f aca="false">J2208+L2208</f>
        <v>41874</v>
      </c>
      <c r="L2208" s="1" t="n">
        <v>27</v>
      </c>
      <c r="M2208" s="1" t="n">
        <f aca="false">(E2208+M2207)-N2208</f>
        <v>59.6399999999997</v>
      </c>
      <c r="N2208" s="1" t="n">
        <v>3.2</v>
      </c>
    </row>
    <row r="2209" customFormat="false" ht="15" hidden="false" customHeight="true" outlineLevel="0" collapsed="false">
      <c r="D2209" s="11"/>
      <c r="H2209" s="1" t="s">
        <v>34</v>
      </c>
      <c r="I2209" s="1" t="s">
        <v>85</v>
      </c>
      <c r="J2209" s="1" t="n">
        <f aca="false">K2208</f>
        <v>41874</v>
      </c>
      <c r="K2209" s="1" t="n">
        <f aca="false">J2209+L2209</f>
        <v>41918</v>
      </c>
      <c r="L2209" s="1" t="n">
        <v>44</v>
      </c>
      <c r="M2209" s="1" t="n">
        <f aca="false">(E2209+M2208)-N2209</f>
        <v>54.6399999999997</v>
      </c>
      <c r="N2209" s="1" t="n">
        <v>5</v>
      </c>
    </row>
    <row r="2210" customFormat="false" ht="15" hidden="false" customHeight="true" outlineLevel="0" collapsed="false">
      <c r="D2210" s="11"/>
      <c r="H2210" s="1" t="s">
        <v>85</v>
      </c>
      <c r="I2210" s="1" t="s">
        <v>34</v>
      </c>
      <c r="J2210" s="1" t="n">
        <f aca="false">K2209</f>
        <v>41918</v>
      </c>
      <c r="K2210" s="1" t="n">
        <f aca="false">J2210+L2210</f>
        <v>41962</v>
      </c>
      <c r="L2210" s="1" t="n">
        <v>44</v>
      </c>
      <c r="M2210" s="1" t="n">
        <f aca="false">(E2210+M2209)-N2210</f>
        <v>49.6399999999997</v>
      </c>
      <c r="N2210" s="1" t="n">
        <v>5</v>
      </c>
    </row>
    <row r="2211" customFormat="false" ht="15" hidden="false" customHeight="true" outlineLevel="0" collapsed="false">
      <c r="D2211" s="11" t="n">
        <v>45868</v>
      </c>
      <c r="H2211" s="1" t="s">
        <v>34</v>
      </c>
      <c r="I2211" s="1" t="s">
        <v>44</v>
      </c>
      <c r="J2211" s="1" t="n">
        <f aca="false">K2210</f>
        <v>41962</v>
      </c>
      <c r="K2211" s="1" t="n">
        <f aca="false">J2211+L2211</f>
        <v>42002</v>
      </c>
      <c r="L2211" s="1" t="n">
        <v>40</v>
      </c>
      <c r="M2211" s="1" t="n">
        <f aca="false">(E2211+M2210)-N2211</f>
        <v>44.8399999999997</v>
      </c>
      <c r="N2211" s="1" t="n">
        <v>4.8</v>
      </c>
    </row>
    <row r="2212" customFormat="false" ht="15" hidden="false" customHeight="true" outlineLevel="0" collapsed="false">
      <c r="D2212" s="11"/>
      <c r="H2212" s="1" t="s">
        <v>44</v>
      </c>
      <c r="I2212" s="1" t="s">
        <v>34</v>
      </c>
      <c r="J2212" s="1" t="n">
        <f aca="false">K2211</f>
        <v>42002</v>
      </c>
      <c r="K2212" s="1" t="n">
        <f aca="false">J2212+L2212</f>
        <v>42042</v>
      </c>
      <c r="L2212" s="1" t="n">
        <v>40</v>
      </c>
      <c r="M2212" s="1" t="n">
        <f aca="false">(E2212+M2211)-N2212</f>
        <v>40.0399999999997</v>
      </c>
      <c r="N2212" s="1" t="n">
        <v>4.8</v>
      </c>
    </row>
    <row r="2213" customFormat="false" ht="15" hidden="false" customHeight="true" outlineLevel="0" collapsed="false">
      <c r="D2213" s="11" t="n">
        <v>45869</v>
      </c>
      <c r="E2213" s="0" t="n">
        <v>48.93</v>
      </c>
      <c r="F2213" s="1" t="n">
        <v>63.42</v>
      </c>
      <c r="G2213" s="6" t="n">
        <f aca="false">E2213*F2213</f>
        <v>3103.1406</v>
      </c>
      <c r="H2213" s="1" t="s">
        <v>34</v>
      </c>
      <c r="I2213" s="1" t="s">
        <v>54</v>
      </c>
      <c r="J2213" s="1" t="n">
        <f aca="false">K2212</f>
        <v>42042</v>
      </c>
      <c r="K2213" s="1" t="n">
        <f aca="false">J2213+L2213</f>
        <v>42069</v>
      </c>
      <c r="L2213" s="1" t="n">
        <v>27</v>
      </c>
      <c r="M2213" s="1" t="n">
        <f aca="false">(E2213+M2212)-N2213</f>
        <v>85.7699999999997</v>
      </c>
      <c r="N2213" s="1" t="n">
        <v>3.2</v>
      </c>
    </row>
    <row r="2214" customFormat="false" ht="15" hidden="false" customHeight="true" outlineLevel="0" collapsed="false">
      <c r="D2214" s="11"/>
      <c r="H2214" s="1" t="s">
        <v>54</v>
      </c>
      <c r="I2214" s="1" t="s">
        <v>34</v>
      </c>
      <c r="J2214" s="1" t="n">
        <f aca="false">K2213</f>
        <v>42069</v>
      </c>
      <c r="K2214" s="1" t="n">
        <f aca="false">J2214+L2214</f>
        <v>42096</v>
      </c>
      <c r="L2214" s="1" t="n">
        <v>27</v>
      </c>
      <c r="M2214" s="1" t="n">
        <f aca="false">(E2214+M2213)-N2214</f>
        <v>82.5699999999997</v>
      </c>
      <c r="N2214" s="1" t="n">
        <v>3.2</v>
      </c>
    </row>
    <row r="2215" customFormat="false" ht="15" hidden="false" customHeight="true" outlineLevel="0" collapsed="false">
      <c r="H2215" s="1" t="s">
        <v>34</v>
      </c>
      <c r="I2215" s="1" t="s">
        <v>85</v>
      </c>
      <c r="J2215" s="1" t="n">
        <f aca="false">K2214</f>
        <v>42096</v>
      </c>
      <c r="K2215" s="1" t="n">
        <f aca="false">J2215+L2215</f>
        <v>42140</v>
      </c>
      <c r="L2215" s="1" t="n">
        <v>44</v>
      </c>
      <c r="M2215" s="1" t="n">
        <f aca="false">(E2215+M2214)-N2215</f>
        <v>77.5699999999997</v>
      </c>
      <c r="N2215" s="1" t="n">
        <v>5</v>
      </c>
    </row>
    <row r="2216" customFormat="false" ht="15" hidden="false" customHeight="true" outlineLevel="0" collapsed="false">
      <c r="H2216" s="1" t="s">
        <v>85</v>
      </c>
      <c r="I2216" s="1" t="s">
        <v>34</v>
      </c>
      <c r="J2216" s="1" t="n">
        <f aca="false">K2215</f>
        <v>42140</v>
      </c>
      <c r="K2216" s="1" t="n">
        <f aca="false">J2216+L2216</f>
        <v>42184</v>
      </c>
      <c r="L2216" s="1" t="n">
        <v>44</v>
      </c>
      <c r="M2216" s="1" t="n">
        <f aca="false">(E2216+M2215)-N2216</f>
        <v>72.5699999999997</v>
      </c>
      <c r="N2216" s="1" t="n">
        <v>5</v>
      </c>
    </row>
    <row r="2219" customFormat="false" ht="15" hidden="false" customHeight="true" outlineLevel="0" collapsed="false">
      <c r="D2219" s="4" t="s">
        <v>96</v>
      </c>
      <c r="E2219" s="4"/>
      <c r="F2219" s="4"/>
      <c r="G2219" s="4"/>
    </row>
    <row r="2221" customFormat="false" ht="15" hidden="false" customHeight="true" outlineLevel="0" collapsed="false">
      <c r="D2221" s="11" t="n">
        <v>45870</v>
      </c>
      <c r="H2221" s="1" t="s">
        <v>34</v>
      </c>
      <c r="I2221" s="1" t="s">
        <v>85</v>
      </c>
      <c r="J2221" s="1" t="n">
        <f aca="false">K2216</f>
        <v>42184</v>
      </c>
      <c r="K2221" s="1" t="n">
        <f aca="false">J2221+L2221</f>
        <v>42228</v>
      </c>
      <c r="L2221" s="1" t="n">
        <v>44</v>
      </c>
      <c r="M2221" s="1" t="n">
        <f aca="false">(E2221+M2216)-N2221</f>
        <v>67.5699999999997</v>
      </c>
      <c r="N2221" s="1" t="n">
        <v>5</v>
      </c>
    </row>
    <row r="2222" customFormat="false" ht="15" hidden="false" customHeight="true" outlineLevel="0" collapsed="false">
      <c r="D2222" s="11"/>
      <c r="H2222" s="1" t="s">
        <v>85</v>
      </c>
      <c r="I2222" s="1" t="s">
        <v>34</v>
      </c>
      <c r="J2222" s="1" t="n">
        <f aca="false">K2221</f>
        <v>42228</v>
      </c>
      <c r="K2222" s="1" t="n">
        <f aca="false">J2222+L2222</f>
        <v>42272</v>
      </c>
      <c r="L2222" s="1" t="n">
        <v>44</v>
      </c>
      <c r="M2222" s="1" t="n">
        <f aca="false">(E2222+M2221)-N2222</f>
        <v>62.5699999999997</v>
      </c>
      <c r="N2222" s="1" t="n">
        <v>5</v>
      </c>
    </row>
    <row r="2223" customFormat="false" ht="15" hidden="false" customHeight="true" outlineLevel="0" collapsed="false">
      <c r="D2223" s="11" t="n">
        <v>45873</v>
      </c>
      <c r="H2223" s="1" t="s">
        <v>34</v>
      </c>
      <c r="I2223" s="1" t="s">
        <v>44</v>
      </c>
      <c r="J2223" s="1" t="n">
        <f aca="false">K2222</f>
        <v>42272</v>
      </c>
      <c r="K2223" s="1" t="n">
        <f aca="false">J2223+L2223</f>
        <v>42312</v>
      </c>
      <c r="L2223" s="1" t="n">
        <v>40</v>
      </c>
      <c r="M2223" s="1" t="n">
        <f aca="false">(E2223+M2222)-N2223</f>
        <v>57.7699999999997</v>
      </c>
      <c r="N2223" s="1" t="n">
        <v>4.8</v>
      </c>
    </row>
    <row r="2224" customFormat="false" ht="15" hidden="false" customHeight="true" outlineLevel="0" collapsed="false">
      <c r="D2224" s="11"/>
      <c r="H2224" s="1" t="s">
        <v>44</v>
      </c>
      <c r="I2224" s="1" t="s">
        <v>34</v>
      </c>
      <c r="J2224" s="1" t="n">
        <f aca="false">K2223</f>
        <v>42312</v>
      </c>
      <c r="K2224" s="1" t="n">
        <f aca="false">J2224+L2224</f>
        <v>42352</v>
      </c>
      <c r="L2224" s="1" t="n">
        <v>40</v>
      </c>
      <c r="M2224" s="1" t="n">
        <f aca="false">(E2224+M2223)-N2224</f>
        <v>52.9699999999997</v>
      </c>
      <c r="N2224" s="1" t="n">
        <v>4.8</v>
      </c>
    </row>
    <row r="2225" customFormat="false" ht="15" hidden="false" customHeight="true" outlineLevel="0" collapsed="false">
      <c r="D2225" s="11" t="n">
        <v>45874</v>
      </c>
      <c r="H2225" s="1" t="s">
        <v>34</v>
      </c>
      <c r="I2225" s="1" t="s">
        <v>54</v>
      </c>
      <c r="J2225" s="1" t="n">
        <f aca="false">K2224</f>
        <v>42352</v>
      </c>
      <c r="K2225" s="1" t="n">
        <f aca="false">J2225+L2225</f>
        <v>42379</v>
      </c>
      <c r="L2225" s="1" t="n">
        <v>27</v>
      </c>
      <c r="M2225" s="1" t="n">
        <f aca="false">(E2225+M2224)-N2225</f>
        <v>49.7699999999997</v>
      </c>
      <c r="N2225" s="1" t="n">
        <v>3.2</v>
      </c>
    </row>
    <row r="2226" customFormat="false" ht="15" hidden="false" customHeight="true" outlineLevel="0" collapsed="false">
      <c r="D2226" s="11"/>
      <c r="H2226" s="1" t="s">
        <v>54</v>
      </c>
      <c r="I2226" s="1" t="s">
        <v>34</v>
      </c>
      <c r="J2226" s="1" t="n">
        <f aca="false">K2225</f>
        <v>42379</v>
      </c>
      <c r="K2226" s="1" t="n">
        <f aca="false">J2226+L2226</f>
        <v>42406</v>
      </c>
      <c r="L2226" s="1" t="n">
        <v>27</v>
      </c>
      <c r="M2226" s="1" t="n">
        <f aca="false">(E2226+M2225)-N2226</f>
        <v>46.5699999999997</v>
      </c>
      <c r="N2226" s="1" t="n">
        <v>3.2</v>
      </c>
    </row>
    <row r="2227" customFormat="false" ht="15" hidden="false" customHeight="true" outlineLevel="0" collapsed="false">
      <c r="D2227" s="11" t="n">
        <v>45875</v>
      </c>
      <c r="H2227" s="1" t="s">
        <v>34</v>
      </c>
      <c r="I2227" s="1" t="s">
        <v>54</v>
      </c>
      <c r="J2227" s="1" t="n">
        <f aca="false">K2226</f>
        <v>42406</v>
      </c>
      <c r="K2227" s="1" t="n">
        <f aca="false">J2227+L2227</f>
        <v>42433</v>
      </c>
      <c r="L2227" s="1" t="n">
        <v>27</v>
      </c>
      <c r="M2227" s="1" t="n">
        <f aca="false">(E2227+M2226)-N2227</f>
        <v>43.3699999999997</v>
      </c>
      <c r="N2227" s="1" t="n">
        <v>3.2</v>
      </c>
    </row>
    <row r="2228" customFormat="false" ht="15" hidden="false" customHeight="true" outlineLevel="0" collapsed="false">
      <c r="D2228" s="11"/>
      <c r="H2228" s="1" t="s">
        <v>54</v>
      </c>
      <c r="I2228" s="1" t="s">
        <v>34</v>
      </c>
      <c r="J2228" s="1" t="n">
        <f aca="false">K2227</f>
        <v>42433</v>
      </c>
      <c r="K2228" s="1" t="n">
        <f aca="false">J2228+L2228</f>
        <v>42460</v>
      </c>
      <c r="L2228" s="1" t="n">
        <v>27</v>
      </c>
      <c r="M2228" s="1" t="n">
        <f aca="false">(E2228+M2227)-N2228</f>
        <v>40.1699999999997</v>
      </c>
      <c r="N2228" s="1" t="n">
        <v>3.2</v>
      </c>
    </row>
    <row r="2229" customFormat="false" ht="15" hidden="false" customHeight="true" outlineLevel="0" collapsed="false">
      <c r="D2229" s="11" t="n">
        <v>45876</v>
      </c>
      <c r="H2229" s="1" t="s">
        <v>34</v>
      </c>
      <c r="I2229" s="1" t="s">
        <v>32</v>
      </c>
      <c r="J2229" s="1" t="n">
        <f aca="false">K2228</f>
        <v>42460</v>
      </c>
      <c r="K2229" s="1" t="n">
        <f aca="false">J2229+L2229</f>
        <v>42485</v>
      </c>
      <c r="L2229" s="1" t="n">
        <v>25</v>
      </c>
      <c r="M2229" s="1" t="n">
        <f aca="false">(E2229+M2228)-N2229</f>
        <v>37.1699999999997</v>
      </c>
      <c r="N2229" s="1" t="n">
        <v>3</v>
      </c>
    </row>
    <row r="2230" customFormat="false" ht="15" hidden="false" customHeight="true" outlineLevel="0" collapsed="false">
      <c r="D2230" s="11"/>
      <c r="H2230" s="1" t="s">
        <v>32</v>
      </c>
      <c r="I2230" s="1" t="s">
        <v>34</v>
      </c>
      <c r="J2230" s="1" t="n">
        <f aca="false">K2229</f>
        <v>42485</v>
      </c>
      <c r="K2230" s="1" t="n">
        <f aca="false">J2230+L2230</f>
        <v>42510</v>
      </c>
      <c r="L2230" s="1" t="n">
        <v>25</v>
      </c>
      <c r="M2230" s="1" t="n">
        <f aca="false">(E2230+M2229)-N2230</f>
        <v>34.1699999999997</v>
      </c>
      <c r="N2230" s="1" t="n">
        <v>3</v>
      </c>
    </row>
    <row r="2231" customFormat="false" ht="15" hidden="false" customHeight="true" outlineLevel="0" collapsed="false">
      <c r="D2231" s="11" t="n">
        <v>45877</v>
      </c>
      <c r="H2231" s="1" t="s">
        <v>34</v>
      </c>
      <c r="I2231" s="1" t="s">
        <v>43</v>
      </c>
      <c r="J2231" s="1" t="n">
        <f aca="false">K2230</f>
        <v>42510</v>
      </c>
      <c r="K2231" s="1" t="n">
        <f aca="false">J2231+L2231</f>
        <v>42522</v>
      </c>
      <c r="L2231" s="1" t="n">
        <v>12</v>
      </c>
      <c r="M2231" s="1" t="n">
        <f aca="false">(E2231+M2230)-N2231</f>
        <v>32.9199999999997</v>
      </c>
      <c r="N2231" s="1" t="n">
        <v>1.25</v>
      </c>
    </row>
    <row r="2232" customFormat="false" ht="15" hidden="false" customHeight="true" outlineLevel="0" collapsed="false">
      <c r="D2232" s="11"/>
      <c r="H2232" s="1" t="s">
        <v>43</v>
      </c>
      <c r="I2232" s="1" t="s">
        <v>34</v>
      </c>
      <c r="J2232" s="1" t="n">
        <f aca="false">K2231</f>
        <v>42522</v>
      </c>
      <c r="K2232" s="1" t="n">
        <f aca="false">J2232+L2232</f>
        <v>42534</v>
      </c>
      <c r="L2232" s="1" t="n">
        <v>12</v>
      </c>
      <c r="M2232" s="1" t="n">
        <f aca="false">(E2232+M2231)-N2232</f>
        <v>31.6699999999997</v>
      </c>
      <c r="N2232" s="1" t="n">
        <v>1.25</v>
      </c>
    </row>
    <row r="2233" customFormat="false" ht="15" hidden="false" customHeight="true" outlineLevel="0" collapsed="false">
      <c r="D2233" s="11" t="n">
        <v>45880</v>
      </c>
      <c r="H2233" s="1" t="s">
        <v>34</v>
      </c>
      <c r="I2233" s="1" t="s">
        <v>85</v>
      </c>
      <c r="J2233" s="1" t="n">
        <f aca="false">K2232</f>
        <v>42534</v>
      </c>
      <c r="K2233" s="1" t="n">
        <f aca="false">J2233+L2233</f>
        <v>42578</v>
      </c>
      <c r="L2233" s="1" t="n">
        <v>44</v>
      </c>
      <c r="M2233" s="1" t="n">
        <f aca="false">(E2233+M2232)-N2233</f>
        <v>26.6699999999997</v>
      </c>
      <c r="N2233" s="1" t="n">
        <v>5</v>
      </c>
    </row>
    <row r="2234" customFormat="false" ht="15" hidden="false" customHeight="true" outlineLevel="0" collapsed="false">
      <c r="D2234" s="11"/>
      <c r="H2234" s="1" t="s">
        <v>85</v>
      </c>
      <c r="I2234" s="1" t="s">
        <v>34</v>
      </c>
      <c r="J2234" s="1" t="n">
        <f aca="false">K2233</f>
        <v>42578</v>
      </c>
      <c r="K2234" s="1" t="n">
        <f aca="false">J2234+L2234</f>
        <v>42622</v>
      </c>
      <c r="L2234" s="1" t="n">
        <v>44</v>
      </c>
      <c r="M2234" s="1" t="n">
        <f aca="false">(E2234+M2233)-N2234</f>
        <v>21.6699999999997</v>
      </c>
      <c r="N2234" s="1" t="n">
        <v>5</v>
      </c>
    </row>
    <row r="2235" customFormat="false" ht="15" hidden="false" customHeight="true" outlineLevel="0" collapsed="false">
      <c r="D2235" s="11" t="n">
        <v>45881</v>
      </c>
      <c r="E2235" s="0" t="n">
        <v>41.68</v>
      </c>
      <c r="F2235" s="1" t="n">
        <v>63.78</v>
      </c>
      <c r="G2235" s="6" t="n">
        <f aca="false">E2235*F2235</f>
        <v>2658.3504</v>
      </c>
      <c r="H2235" s="1" t="s">
        <v>34</v>
      </c>
      <c r="I2235" s="1" t="s">
        <v>44</v>
      </c>
      <c r="J2235" s="1" t="n">
        <f aca="false">K2234</f>
        <v>42622</v>
      </c>
      <c r="K2235" s="1" t="n">
        <f aca="false">J2235+L2235</f>
        <v>42662</v>
      </c>
      <c r="L2235" s="1" t="n">
        <v>40</v>
      </c>
      <c r="M2235" s="1" t="n">
        <f aca="false">(E2235+M2234)-N2235</f>
        <v>58.5499999999997</v>
      </c>
      <c r="N2235" s="1" t="n">
        <v>4.8</v>
      </c>
    </row>
    <row r="2236" customFormat="false" ht="15" hidden="false" customHeight="true" outlineLevel="0" collapsed="false">
      <c r="D2236" s="11"/>
      <c r="H2236" s="1" t="s">
        <v>44</v>
      </c>
      <c r="I2236" s="1" t="s">
        <v>34</v>
      </c>
      <c r="J2236" s="1" t="n">
        <f aca="false">K2235</f>
        <v>42662</v>
      </c>
      <c r="K2236" s="1" t="n">
        <f aca="false">J2236+L2236</f>
        <v>42702</v>
      </c>
      <c r="L2236" s="1" t="n">
        <v>40</v>
      </c>
      <c r="M2236" s="1" t="n">
        <f aca="false">(E2236+M2235)-N2236</f>
        <v>53.7499999999997</v>
      </c>
      <c r="N2236" s="1" t="n">
        <v>4.8</v>
      </c>
    </row>
    <row r="2237" customFormat="false" ht="15" hidden="false" customHeight="true" outlineLevel="0" collapsed="false">
      <c r="D2237" s="11"/>
      <c r="H2237" s="1" t="s">
        <v>34</v>
      </c>
      <c r="I2237" s="1" t="s">
        <v>85</v>
      </c>
      <c r="J2237" s="1" t="n">
        <f aca="false">K2236</f>
        <v>42702</v>
      </c>
      <c r="K2237" s="1" t="n">
        <f aca="false">J2237+L2237</f>
        <v>42746</v>
      </c>
      <c r="L2237" s="1" t="n">
        <v>44</v>
      </c>
      <c r="M2237" s="1" t="n">
        <f aca="false">(E2237+M2236)-N2237</f>
        <v>48.7499999999997</v>
      </c>
      <c r="N2237" s="1" t="n">
        <v>5</v>
      </c>
    </row>
    <row r="2238" customFormat="false" ht="15" hidden="false" customHeight="true" outlineLevel="0" collapsed="false">
      <c r="D2238" s="11"/>
      <c r="H2238" s="1" t="s">
        <v>85</v>
      </c>
      <c r="I2238" s="1" t="s">
        <v>34</v>
      </c>
      <c r="J2238" s="1" t="n">
        <f aca="false">K2237</f>
        <v>42746</v>
      </c>
      <c r="K2238" s="1" t="n">
        <f aca="false">J2238+L2238</f>
        <v>42790</v>
      </c>
      <c r="L2238" s="1" t="n">
        <v>44</v>
      </c>
      <c r="M2238" s="1" t="n">
        <f aca="false">(E2238+M2237)-N2238</f>
        <v>43.7499999999997</v>
      </c>
      <c r="N2238" s="1" t="n">
        <v>5</v>
      </c>
    </row>
    <row r="2239" customFormat="false" ht="15" hidden="false" customHeight="true" outlineLevel="0" collapsed="false">
      <c r="D2239" s="11" t="n">
        <v>45882</v>
      </c>
      <c r="H2239" s="1" t="s">
        <v>34</v>
      </c>
      <c r="I2239" s="1" t="s">
        <v>32</v>
      </c>
      <c r="J2239" s="1" t="n">
        <f aca="false">K2238</f>
        <v>42790</v>
      </c>
      <c r="K2239" s="1" t="n">
        <f aca="false">J2239+L2239</f>
        <v>42815</v>
      </c>
      <c r="L2239" s="1" t="n">
        <v>25</v>
      </c>
      <c r="M2239" s="1" t="n">
        <f aca="false">(E2239+M2238)-N2239</f>
        <v>40.7499999999997</v>
      </c>
      <c r="N2239" s="1" t="n">
        <v>3</v>
      </c>
    </row>
    <row r="2240" customFormat="false" ht="15" hidden="false" customHeight="true" outlineLevel="0" collapsed="false">
      <c r="D2240" s="11"/>
      <c r="H2240" s="1" t="s">
        <v>32</v>
      </c>
      <c r="I2240" s="1" t="s">
        <v>34</v>
      </c>
      <c r="J2240" s="1" t="n">
        <f aca="false">K2239</f>
        <v>42815</v>
      </c>
      <c r="K2240" s="1" t="n">
        <f aca="false">J2240+L2240</f>
        <v>42840</v>
      </c>
      <c r="L2240" s="1" t="n">
        <v>25</v>
      </c>
      <c r="M2240" s="1" t="n">
        <f aca="false">(E2240+M2239)-N2240</f>
        <v>37.7499999999997</v>
      </c>
      <c r="N2240" s="1" t="n">
        <v>3</v>
      </c>
    </row>
    <row r="2241" customFormat="false" ht="15" hidden="false" customHeight="true" outlineLevel="0" collapsed="false">
      <c r="D2241" s="11" t="n">
        <v>45883</v>
      </c>
      <c r="E2241" s="0" t="n">
        <v>6.09</v>
      </c>
      <c r="F2241" s="1" t="n">
        <v>63.62</v>
      </c>
      <c r="G2241" s="6" t="n">
        <f aca="false">E2241*F2241</f>
        <v>387.4458</v>
      </c>
      <c r="H2241" s="1" t="s">
        <v>34</v>
      </c>
      <c r="I2241" s="1" t="s">
        <v>49</v>
      </c>
      <c r="J2241" s="1" t="n">
        <f aca="false">K2240</f>
        <v>42840</v>
      </c>
      <c r="K2241" s="1" t="n">
        <f aca="false">J2241+L2241</f>
        <v>42867</v>
      </c>
      <c r="L2241" s="1" t="n">
        <v>27</v>
      </c>
      <c r="M2241" s="1" t="n">
        <f aca="false">(E2241+M2240)-N2241</f>
        <v>40.6399999999997</v>
      </c>
      <c r="N2241" s="1" t="n">
        <v>3.2</v>
      </c>
    </row>
    <row r="2242" customFormat="false" ht="15" hidden="false" customHeight="true" outlineLevel="0" collapsed="false">
      <c r="D2242" s="11"/>
      <c r="H2242" s="1" t="s">
        <v>49</v>
      </c>
      <c r="I2242" s="1" t="s">
        <v>34</v>
      </c>
      <c r="J2242" s="1" t="n">
        <f aca="false">K2241</f>
        <v>42867</v>
      </c>
      <c r="K2242" s="1" t="n">
        <f aca="false">J2242+L2242</f>
        <v>42894</v>
      </c>
      <c r="L2242" s="1" t="n">
        <v>27</v>
      </c>
      <c r="M2242" s="1" t="n">
        <f aca="false">(E2242+M2241)-N2242</f>
        <v>37.4399999999997</v>
      </c>
      <c r="N2242" s="1" t="n">
        <v>3.2</v>
      </c>
    </row>
    <row r="2243" customFormat="false" ht="15" hidden="false" customHeight="true" outlineLevel="0" collapsed="false">
      <c r="D2243" s="11" t="n">
        <v>45884</v>
      </c>
      <c r="H2243" s="1" t="s">
        <v>34</v>
      </c>
      <c r="I2243" s="1" t="s">
        <v>54</v>
      </c>
      <c r="J2243" s="1" t="n">
        <f aca="false">K2242</f>
        <v>42894</v>
      </c>
      <c r="K2243" s="1" t="n">
        <f aca="false">J2243+L2243</f>
        <v>42921</v>
      </c>
      <c r="L2243" s="1" t="n">
        <v>27</v>
      </c>
      <c r="M2243" s="1" t="n">
        <f aca="false">(E2243+M2242)-N2243</f>
        <v>34.2399999999997</v>
      </c>
      <c r="N2243" s="1" t="n">
        <v>3.2</v>
      </c>
    </row>
    <row r="2244" customFormat="false" ht="15" hidden="false" customHeight="true" outlineLevel="0" collapsed="false">
      <c r="D2244" s="11"/>
      <c r="H2244" s="1" t="s">
        <v>54</v>
      </c>
      <c r="I2244" s="1" t="s">
        <v>34</v>
      </c>
      <c r="J2244" s="1" t="n">
        <f aca="false">K2243</f>
        <v>42921</v>
      </c>
      <c r="K2244" s="1" t="n">
        <f aca="false">J2244+L2244</f>
        <v>42948</v>
      </c>
      <c r="L2244" s="1" t="n">
        <v>27</v>
      </c>
      <c r="M2244" s="1" t="n">
        <f aca="false">(E2244+M2243)-N2244</f>
        <v>31.0399999999997</v>
      </c>
      <c r="N2244" s="1" t="n">
        <v>3.2</v>
      </c>
    </row>
    <row r="2245" customFormat="false" ht="15" hidden="false" customHeight="true" outlineLevel="0" collapsed="false">
      <c r="D2245" s="11" t="n">
        <v>45887</v>
      </c>
      <c r="H2245" s="1" t="s">
        <v>34</v>
      </c>
      <c r="I2245" s="1" t="s">
        <v>54</v>
      </c>
      <c r="J2245" s="1" t="n">
        <f aca="false">K2244</f>
        <v>42948</v>
      </c>
      <c r="K2245" s="1" t="n">
        <f aca="false">J2245+L2245</f>
        <v>42975</v>
      </c>
      <c r="L2245" s="1" t="n">
        <v>27</v>
      </c>
      <c r="M2245" s="1" t="n">
        <f aca="false">(E2245+M2244)-N2245</f>
        <v>27.8399999999997</v>
      </c>
      <c r="N2245" s="1" t="n">
        <v>3.2</v>
      </c>
    </row>
    <row r="2246" customFormat="false" ht="15" hidden="false" customHeight="true" outlineLevel="0" collapsed="false">
      <c r="D2246" s="11"/>
      <c r="H2246" s="1" t="s">
        <v>54</v>
      </c>
      <c r="I2246" s="1" t="s">
        <v>34</v>
      </c>
      <c r="J2246" s="1" t="n">
        <f aca="false">K2245</f>
        <v>42975</v>
      </c>
      <c r="K2246" s="1" t="n">
        <f aca="false">J2246+L2246</f>
        <v>43002</v>
      </c>
      <c r="L2246" s="1" t="n">
        <v>27</v>
      </c>
      <c r="M2246" s="1" t="n">
        <f aca="false">(E2246+M2245)-N2246</f>
        <v>24.6399999999997</v>
      </c>
      <c r="N2246" s="1" t="n">
        <v>3.2</v>
      </c>
    </row>
    <row r="2247" customFormat="false" ht="15" hidden="false" customHeight="true" outlineLevel="0" collapsed="false">
      <c r="D2247" s="11" t="n">
        <v>45888</v>
      </c>
      <c r="E2247" s="15" t="s">
        <v>50</v>
      </c>
    </row>
    <row r="2248" customFormat="false" ht="15" hidden="false" customHeight="true" outlineLevel="0" collapsed="false">
      <c r="D2248" s="11" t="n">
        <v>45889</v>
      </c>
      <c r="E2248" s="15" t="s">
        <v>50</v>
      </c>
    </row>
    <row r="2249" customFormat="false" ht="15" hidden="false" customHeight="true" outlineLevel="0" collapsed="false">
      <c r="D2249" s="11" t="n">
        <v>45890</v>
      </c>
      <c r="E2249" s="15" t="s">
        <v>50</v>
      </c>
    </row>
    <row r="2250" customFormat="false" ht="15" hidden="false" customHeight="true" outlineLevel="0" collapsed="false">
      <c r="D2250" s="11" t="n">
        <v>45891</v>
      </c>
      <c r="E2250" s="15" t="s">
        <v>50</v>
      </c>
    </row>
    <row r="2251" customFormat="false" ht="15" hidden="false" customHeight="true" outlineLevel="0" collapsed="false">
      <c r="D2251" s="11" t="n">
        <v>45894</v>
      </c>
      <c r="E2251" s="15" t="s">
        <v>50</v>
      </c>
    </row>
    <row r="2252" customFormat="false" ht="15" hidden="false" customHeight="true" outlineLevel="0" collapsed="false">
      <c r="D2252" s="11" t="n">
        <v>45895</v>
      </c>
      <c r="E2252" s="15" t="s">
        <v>50</v>
      </c>
    </row>
    <row r="2253" customFormat="false" ht="15" hidden="false" customHeight="true" outlineLevel="0" collapsed="false">
      <c r="D2253" s="11" t="n">
        <v>45896</v>
      </c>
      <c r="E2253" s="15" t="s">
        <v>50</v>
      </c>
    </row>
    <row r="2254" customFormat="false" ht="15" hidden="false" customHeight="true" outlineLevel="0" collapsed="false">
      <c r="D2254" s="11" t="n">
        <v>45897</v>
      </c>
      <c r="E2254" s="15" t="s">
        <v>50</v>
      </c>
    </row>
    <row r="2255" customFormat="false" ht="15" hidden="false" customHeight="true" outlineLevel="0" collapsed="false">
      <c r="D2255" s="11" t="n">
        <v>45898</v>
      </c>
      <c r="E2255" s="15" t="s">
        <v>50</v>
      </c>
    </row>
    <row r="2256" customFormat="false" ht="15" hidden="false" customHeight="true" outlineLevel="0" collapsed="false">
      <c r="D2256" s="11"/>
    </row>
    <row r="2258" customFormat="false" ht="15" hidden="false" customHeight="true" outlineLevel="0" collapsed="false">
      <c r="D2258" s="4" t="s">
        <v>97</v>
      </c>
      <c r="E2258" s="4"/>
      <c r="F2258" s="4"/>
      <c r="G2258" s="4"/>
    </row>
    <row r="2260" customFormat="false" ht="15" hidden="false" customHeight="true" outlineLevel="0" collapsed="false">
      <c r="D2260" s="11" t="n">
        <v>45901</v>
      </c>
      <c r="E2260" s="15" t="s">
        <v>50</v>
      </c>
    </row>
    <row r="2261" customFormat="false" ht="15" hidden="false" customHeight="true" outlineLevel="0" collapsed="false">
      <c r="D2261" s="11" t="n">
        <v>45902</v>
      </c>
      <c r="E2261" s="15" t="s">
        <v>50</v>
      </c>
    </row>
    <row r="2262" customFormat="false" ht="15" hidden="false" customHeight="true" outlineLevel="0" collapsed="false">
      <c r="D2262" s="11" t="n">
        <v>45903</v>
      </c>
      <c r="E2262" s="15" t="s">
        <v>50</v>
      </c>
    </row>
    <row r="2263" customFormat="false" ht="15" hidden="false" customHeight="true" outlineLevel="0" collapsed="false">
      <c r="D2263" s="11" t="n">
        <v>45904</v>
      </c>
      <c r="H2263" s="1" t="s">
        <v>34</v>
      </c>
      <c r="I2263" s="1" t="s">
        <v>54</v>
      </c>
      <c r="J2263" s="1" t="n">
        <f aca="false">K2246</f>
        <v>43002</v>
      </c>
      <c r="K2263" s="1" t="n">
        <f aca="false">J2263+L2263</f>
        <v>43029</v>
      </c>
      <c r="L2263" s="1" t="n">
        <v>27</v>
      </c>
      <c r="M2263" s="1" t="n">
        <f aca="false">(E2263+M2246)-N2263</f>
        <v>21.4399999999997</v>
      </c>
      <c r="N2263" s="1" t="n">
        <v>3.2</v>
      </c>
    </row>
    <row r="2264" customFormat="false" ht="15" hidden="false" customHeight="true" outlineLevel="0" collapsed="false">
      <c r="D2264" s="11"/>
      <c r="H2264" s="1" t="s">
        <v>54</v>
      </c>
      <c r="I2264" s="1" t="s">
        <v>34</v>
      </c>
      <c r="J2264" s="1" t="n">
        <f aca="false">K2263</f>
        <v>43029</v>
      </c>
      <c r="K2264" s="1" t="n">
        <f aca="false">J2264+L2264</f>
        <v>43056</v>
      </c>
      <c r="L2264" s="1" t="n">
        <v>27</v>
      </c>
      <c r="M2264" s="1" t="n">
        <f aca="false">(E2264+M2263)-N2264</f>
        <v>18.2399999999997</v>
      </c>
      <c r="N2264" s="1" t="n">
        <v>3.2</v>
      </c>
    </row>
    <row r="2265" customFormat="false" ht="15" hidden="false" customHeight="true" outlineLevel="0" collapsed="false">
      <c r="D2265" s="11" t="n">
        <v>45905</v>
      </c>
      <c r="H2265" s="1" t="s">
        <v>34</v>
      </c>
      <c r="I2265" s="1" t="s">
        <v>54</v>
      </c>
      <c r="J2265" s="1" t="n">
        <f aca="false">K2264</f>
        <v>43056</v>
      </c>
      <c r="K2265" s="1" t="n">
        <f aca="false">J2265+L2265</f>
        <v>43083</v>
      </c>
      <c r="L2265" s="1" t="n">
        <v>27</v>
      </c>
      <c r="M2265" s="1" t="n">
        <f aca="false">(E2265+M2264)-N2265</f>
        <v>15.0399999999997</v>
      </c>
      <c r="N2265" s="1" t="n">
        <v>3.2</v>
      </c>
    </row>
    <row r="2266" customFormat="false" ht="15" hidden="false" customHeight="true" outlineLevel="0" collapsed="false">
      <c r="D2266" s="11"/>
      <c r="H2266" s="1" t="s">
        <v>54</v>
      </c>
      <c r="I2266" s="1" t="s">
        <v>34</v>
      </c>
      <c r="J2266" s="1" t="n">
        <f aca="false">K2265</f>
        <v>43083</v>
      </c>
      <c r="K2266" s="1" t="n">
        <f aca="false">J2266+L2266</f>
        <v>43110</v>
      </c>
      <c r="L2266" s="1" t="n">
        <v>27</v>
      </c>
      <c r="M2266" s="1" t="n">
        <f aca="false">(E2266+M2265)-N2266</f>
        <v>11.8399999999997</v>
      </c>
      <c r="N2266" s="1" t="n">
        <v>3.2</v>
      </c>
    </row>
    <row r="2267" customFormat="false" ht="15" hidden="false" customHeight="true" outlineLevel="0" collapsed="false">
      <c r="D2267" s="11" t="n">
        <v>45908</v>
      </c>
      <c r="H2267" s="1" t="s">
        <v>34</v>
      </c>
      <c r="I2267" s="1" t="s">
        <v>43</v>
      </c>
      <c r="J2267" s="1" t="n">
        <f aca="false">K2266</f>
        <v>43110</v>
      </c>
      <c r="K2267" s="1" t="n">
        <f aca="false">J2267+L2267</f>
        <v>43122</v>
      </c>
      <c r="L2267" s="1" t="n">
        <v>12</v>
      </c>
      <c r="M2267" s="1" t="n">
        <f aca="false">(E2267+M2266)-N2267</f>
        <v>10.5899999999997</v>
      </c>
      <c r="N2267" s="1" t="n">
        <v>1.25</v>
      </c>
    </row>
    <row r="2268" customFormat="false" ht="15" hidden="false" customHeight="true" outlineLevel="0" collapsed="false">
      <c r="D2268" s="11"/>
      <c r="H2268" s="1" t="s">
        <v>43</v>
      </c>
      <c r="I2268" s="1" t="s">
        <v>34</v>
      </c>
      <c r="J2268" s="1" t="n">
        <f aca="false">K2267</f>
        <v>43122</v>
      </c>
      <c r="K2268" s="1" t="n">
        <f aca="false">J2268+L2268</f>
        <v>43134</v>
      </c>
      <c r="L2268" s="1" t="n">
        <v>12</v>
      </c>
      <c r="M2268" s="1" t="n">
        <f aca="false">(E2268+M2267)-N2268</f>
        <v>9.33999999999973</v>
      </c>
      <c r="N2268" s="1" t="n">
        <v>1.25</v>
      </c>
    </row>
    <row r="2269" customFormat="false" ht="15" hidden="false" customHeight="true" outlineLevel="0" collapsed="false">
      <c r="D2269" s="11" t="n">
        <v>45909</v>
      </c>
      <c r="H2269" s="1" t="s">
        <v>34</v>
      </c>
      <c r="I2269" s="1" t="s">
        <v>43</v>
      </c>
      <c r="J2269" s="1" t="n">
        <f aca="false">K2268</f>
        <v>43134</v>
      </c>
      <c r="K2269" s="1" t="n">
        <f aca="false">J2269+L2269</f>
        <v>43146</v>
      </c>
      <c r="L2269" s="1" t="n">
        <v>12</v>
      </c>
      <c r="M2269" s="1" t="n">
        <f aca="false">(E2269+M2268)-N2269</f>
        <v>8.08999999999973</v>
      </c>
      <c r="N2269" s="1" t="n">
        <v>1.25</v>
      </c>
    </row>
    <row r="2270" customFormat="false" ht="15" hidden="false" customHeight="true" outlineLevel="0" collapsed="false">
      <c r="D2270" s="11"/>
      <c r="H2270" s="1" t="s">
        <v>43</v>
      </c>
      <c r="I2270" s="1" t="s">
        <v>34</v>
      </c>
      <c r="J2270" s="1" t="n">
        <f aca="false">K2269</f>
        <v>43146</v>
      </c>
      <c r="K2270" s="1" t="n">
        <f aca="false">J2270+L2270</f>
        <v>43158</v>
      </c>
      <c r="L2270" s="1" t="n">
        <v>12</v>
      </c>
      <c r="M2270" s="1" t="n">
        <f aca="false">(E2270+M2269)-N2270</f>
        <v>6.83999999999973</v>
      </c>
      <c r="N2270" s="1" t="n">
        <v>1.25</v>
      </c>
    </row>
    <row r="2271" customFormat="false" ht="15" hidden="false" customHeight="true" outlineLevel="0" collapsed="false">
      <c r="D2271" s="11" t="n">
        <v>45910</v>
      </c>
      <c r="H2271" s="1" t="s">
        <v>34</v>
      </c>
      <c r="I2271" s="1" t="s">
        <v>35</v>
      </c>
      <c r="J2271" s="1" t="n">
        <f aca="false">K2270</f>
        <v>43158</v>
      </c>
      <c r="K2271" s="1" t="n">
        <f aca="false">J2271+L2271</f>
        <v>43170</v>
      </c>
      <c r="L2271" s="1" t="n">
        <v>12</v>
      </c>
      <c r="M2271" s="1" t="n">
        <f aca="false">(E2271+M2270)-N2271</f>
        <v>5.58999999999973</v>
      </c>
      <c r="N2271" s="1" t="n">
        <v>1.25</v>
      </c>
    </row>
    <row r="2272" customFormat="false" ht="15" hidden="false" customHeight="true" outlineLevel="0" collapsed="false">
      <c r="D2272" s="11"/>
      <c r="H2272" s="1" t="s">
        <v>35</v>
      </c>
      <c r="I2272" s="1" t="s">
        <v>34</v>
      </c>
      <c r="J2272" s="1" t="n">
        <f aca="false">K2271</f>
        <v>43170</v>
      </c>
      <c r="K2272" s="1" t="n">
        <f aca="false">J2272+L2272</f>
        <v>43182</v>
      </c>
      <c r="L2272" s="1" t="n">
        <v>12</v>
      </c>
      <c r="M2272" s="1" t="n">
        <f aca="false">(E2272+M2271)-N2272</f>
        <v>4.33999999999973</v>
      </c>
      <c r="N2272" s="1" t="n">
        <v>1.25</v>
      </c>
    </row>
    <row r="2273" customFormat="false" ht="15" hidden="false" customHeight="true" outlineLevel="0" collapsed="false">
      <c r="D2273" s="11" t="n">
        <v>45911</v>
      </c>
      <c r="E2273" s="0" t="n">
        <v>47.79</v>
      </c>
      <c r="F2273" s="1" t="n">
        <v>64.18</v>
      </c>
      <c r="G2273" s="6" t="n">
        <f aca="false">E2273*F2273</f>
        <v>3067.1622</v>
      </c>
      <c r="H2273" s="1" t="s">
        <v>34</v>
      </c>
      <c r="I2273" s="1" t="s">
        <v>85</v>
      </c>
      <c r="J2273" s="1" t="n">
        <f aca="false">K2272</f>
        <v>43182</v>
      </c>
      <c r="K2273" s="1" t="n">
        <f aca="false">J2273+L2273</f>
        <v>43226</v>
      </c>
      <c r="L2273" s="1" t="n">
        <v>44</v>
      </c>
      <c r="M2273" s="1" t="n">
        <f aca="false">(E2273+M2272)-N2273</f>
        <v>47.1299999999997</v>
      </c>
      <c r="N2273" s="1" t="n">
        <v>5</v>
      </c>
    </row>
    <row r="2274" customFormat="false" ht="15" hidden="false" customHeight="true" outlineLevel="0" collapsed="false">
      <c r="D2274" s="11"/>
      <c r="H2274" s="1" t="s">
        <v>85</v>
      </c>
      <c r="I2274" s="1" t="s">
        <v>34</v>
      </c>
      <c r="J2274" s="1" t="n">
        <f aca="false">K2273</f>
        <v>43226</v>
      </c>
      <c r="K2274" s="1" t="n">
        <f aca="false">J2274+L2274</f>
        <v>43270</v>
      </c>
      <c r="L2274" s="1" t="n">
        <v>44</v>
      </c>
      <c r="M2274" s="1" t="n">
        <f aca="false">(E2274+M2273)-N2274</f>
        <v>42.1299999999997</v>
      </c>
      <c r="N2274" s="1" t="n">
        <v>5</v>
      </c>
    </row>
    <row r="2275" customFormat="false" ht="15" hidden="false" customHeight="true" outlineLevel="0" collapsed="false">
      <c r="D2275" s="11" t="n">
        <v>45912</v>
      </c>
      <c r="H2275" s="1" t="s">
        <v>34</v>
      </c>
      <c r="I2275" s="1" t="s">
        <v>43</v>
      </c>
      <c r="J2275" s="1" t="n">
        <f aca="false">K2274</f>
        <v>43270</v>
      </c>
      <c r="K2275" s="1" t="n">
        <f aca="false">J2275+L2275</f>
        <v>43282</v>
      </c>
      <c r="L2275" s="1" t="n">
        <v>12</v>
      </c>
      <c r="M2275" s="1" t="n">
        <f aca="false">(E2275+M2274)-N2275</f>
        <v>40.8799999999997</v>
      </c>
      <c r="N2275" s="1" t="n">
        <v>1.25</v>
      </c>
    </row>
    <row r="2276" customFormat="false" ht="15" hidden="false" customHeight="true" outlineLevel="0" collapsed="false">
      <c r="D2276" s="11"/>
      <c r="H2276" s="1" t="s">
        <v>43</v>
      </c>
      <c r="I2276" s="1" t="s">
        <v>34</v>
      </c>
      <c r="J2276" s="1" t="n">
        <f aca="false">K2275</f>
        <v>43282</v>
      </c>
      <c r="K2276" s="1" t="n">
        <f aca="false">J2276+L2276</f>
        <v>43294</v>
      </c>
      <c r="L2276" s="1" t="n">
        <v>12</v>
      </c>
      <c r="M2276" s="1" t="n">
        <f aca="false">(E2276+M2275)-N2276</f>
        <v>39.6299999999997</v>
      </c>
      <c r="N2276" s="1" t="n">
        <v>1.25</v>
      </c>
    </row>
    <row r="2277" customFormat="false" ht="15" hidden="false" customHeight="true" outlineLevel="0" collapsed="false">
      <c r="D2277" s="11" t="n">
        <v>45915</v>
      </c>
      <c r="H2277" s="1" t="s">
        <v>34</v>
      </c>
      <c r="I2277" s="1" t="s">
        <v>54</v>
      </c>
      <c r="J2277" s="1" t="n">
        <f aca="false">K2276</f>
        <v>43294</v>
      </c>
      <c r="K2277" s="1" t="n">
        <f aca="false">J2277+L2277</f>
        <v>43321</v>
      </c>
      <c r="L2277" s="1" t="n">
        <v>27</v>
      </c>
      <c r="M2277" s="1" t="n">
        <f aca="false">(E2277+M2276)-N2277</f>
        <v>36.4299999999997</v>
      </c>
      <c r="N2277" s="1" t="n">
        <v>3.2</v>
      </c>
    </row>
    <row r="2278" customFormat="false" ht="15" hidden="false" customHeight="true" outlineLevel="0" collapsed="false">
      <c r="D2278" s="11"/>
      <c r="H2278" s="1" t="s">
        <v>54</v>
      </c>
      <c r="I2278" s="1" t="s">
        <v>34</v>
      </c>
      <c r="J2278" s="1" t="n">
        <f aca="false">K2277</f>
        <v>43321</v>
      </c>
      <c r="K2278" s="1" t="n">
        <f aca="false">J2278+L2278</f>
        <v>43348</v>
      </c>
      <c r="L2278" s="1" t="n">
        <v>27</v>
      </c>
      <c r="M2278" s="1" t="n">
        <f aca="false">(E2278+M2277)-N2278</f>
        <v>33.2299999999997</v>
      </c>
      <c r="N2278" s="1" t="n">
        <v>3.2</v>
      </c>
    </row>
    <row r="2279" customFormat="false" ht="15" hidden="false" customHeight="true" outlineLevel="0" collapsed="false">
      <c r="D2279" s="11" t="n">
        <v>45916</v>
      </c>
      <c r="H2279" s="1" t="s">
        <v>34</v>
      </c>
      <c r="I2279" s="1" t="s">
        <v>44</v>
      </c>
      <c r="J2279" s="1" t="n">
        <f aca="false">K2278</f>
        <v>43348</v>
      </c>
      <c r="K2279" s="1" t="n">
        <f aca="false">J2279+L2279</f>
        <v>43388</v>
      </c>
      <c r="L2279" s="1" t="n">
        <v>40</v>
      </c>
      <c r="M2279" s="1" t="n">
        <f aca="false">(E2279+M2278)-N2279</f>
        <v>28.4299999999997</v>
      </c>
      <c r="N2279" s="1" t="n">
        <v>4.8</v>
      </c>
    </row>
    <row r="2280" customFormat="false" ht="15" hidden="false" customHeight="true" outlineLevel="0" collapsed="false">
      <c r="D2280" s="11"/>
      <c r="H2280" s="1" t="s">
        <v>44</v>
      </c>
      <c r="I2280" s="1" t="s">
        <v>34</v>
      </c>
      <c r="J2280" s="1" t="n">
        <f aca="false">K2279</f>
        <v>43388</v>
      </c>
      <c r="K2280" s="1" t="n">
        <f aca="false">J2280+L2280</f>
        <v>43428</v>
      </c>
      <c r="L2280" s="1" t="n">
        <v>40</v>
      </c>
      <c r="M2280" s="1" t="n">
        <f aca="false">(E2280+M2279)-N2280</f>
        <v>23.6299999999997</v>
      </c>
      <c r="N2280" s="1" t="n">
        <v>4.8</v>
      </c>
    </row>
    <row r="2281" customFormat="false" ht="15" hidden="false" customHeight="true" outlineLevel="0" collapsed="false">
      <c r="D2281" s="11" t="n">
        <v>45917</v>
      </c>
      <c r="E2281" s="0" t="n">
        <v>44.08</v>
      </c>
      <c r="F2281" s="1" t="n">
        <v>64.18</v>
      </c>
      <c r="G2281" s="6" t="n">
        <f aca="false">E2281*F2281</f>
        <v>2829.0544</v>
      </c>
      <c r="H2281" s="1" t="s">
        <v>34</v>
      </c>
      <c r="I2281" s="1" t="s">
        <v>85</v>
      </c>
      <c r="J2281" s="1" t="n">
        <f aca="false">K2280</f>
        <v>43428</v>
      </c>
      <c r="K2281" s="1" t="n">
        <f aca="false">J2281+L2281</f>
        <v>43472</v>
      </c>
      <c r="L2281" s="1" t="n">
        <v>44</v>
      </c>
      <c r="M2281" s="1" t="n">
        <f aca="false">(E2281+M2280)-N2281</f>
        <v>62.7099999999997</v>
      </c>
      <c r="N2281" s="1" t="n">
        <v>5</v>
      </c>
    </row>
    <row r="2282" customFormat="false" ht="15" hidden="false" customHeight="true" outlineLevel="0" collapsed="false">
      <c r="D2282" s="11"/>
      <c r="H2282" s="1" t="s">
        <v>85</v>
      </c>
      <c r="I2282" s="1" t="s">
        <v>34</v>
      </c>
      <c r="J2282" s="1" t="n">
        <f aca="false">K2281</f>
        <v>43472</v>
      </c>
      <c r="K2282" s="1" t="n">
        <f aca="false">J2282+L2282</f>
        <v>43516</v>
      </c>
      <c r="L2282" s="1" t="n">
        <v>44</v>
      </c>
      <c r="M2282" s="1" t="n">
        <f aca="false">(E2282+M2281)-N2282</f>
        <v>57.7099999999997</v>
      </c>
      <c r="N2282" s="1" t="n">
        <v>5</v>
      </c>
    </row>
    <row r="2283" customFormat="false" ht="15" hidden="false" customHeight="true" outlineLevel="0" collapsed="false">
      <c r="D2283" s="11"/>
      <c r="H2283" s="1" t="s">
        <v>34</v>
      </c>
      <c r="I2283" s="1" t="s">
        <v>54</v>
      </c>
      <c r="J2283" s="1" t="n">
        <f aca="false">K2282</f>
        <v>43516</v>
      </c>
      <c r="K2283" s="1" t="n">
        <f aca="false">J2283+L2283</f>
        <v>43543</v>
      </c>
      <c r="L2283" s="1" t="n">
        <v>27</v>
      </c>
      <c r="M2283" s="1" t="n">
        <f aca="false">(E2283+M2282)-N2283</f>
        <v>54.5099999999997</v>
      </c>
      <c r="N2283" s="1" t="n">
        <v>3.2</v>
      </c>
    </row>
    <row r="2284" customFormat="false" ht="15" hidden="false" customHeight="true" outlineLevel="0" collapsed="false">
      <c r="D2284" s="11"/>
      <c r="H2284" s="1" t="s">
        <v>54</v>
      </c>
      <c r="I2284" s="1" t="s">
        <v>34</v>
      </c>
      <c r="J2284" s="1" t="n">
        <f aca="false">K2283</f>
        <v>43543</v>
      </c>
      <c r="K2284" s="1" t="n">
        <f aca="false">J2284+L2284</f>
        <v>43570</v>
      </c>
      <c r="L2284" s="1" t="n">
        <v>27</v>
      </c>
      <c r="M2284" s="1" t="n">
        <f aca="false">(E2284+M2283)-N2284</f>
        <v>51.3099999999997</v>
      </c>
      <c r="N2284" s="1" t="n">
        <v>3.2</v>
      </c>
    </row>
    <row r="2285" customFormat="false" ht="15" hidden="false" customHeight="true" outlineLevel="0" collapsed="false">
      <c r="D2285" s="11" t="n">
        <v>45918</v>
      </c>
      <c r="H2285" s="1" t="s">
        <v>34</v>
      </c>
      <c r="I2285" s="1" t="s">
        <v>43</v>
      </c>
      <c r="J2285" s="1" t="n">
        <f aca="false">K2284</f>
        <v>43570</v>
      </c>
      <c r="K2285" s="1" t="n">
        <f aca="false">J2285+L2285</f>
        <v>43582</v>
      </c>
      <c r="L2285" s="1" t="n">
        <v>12</v>
      </c>
      <c r="M2285" s="1" t="n">
        <f aca="false">(E2285+M2284)-N2285</f>
        <v>50.0599999999997</v>
      </c>
      <c r="N2285" s="1" t="n">
        <v>1.25</v>
      </c>
    </row>
    <row r="2286" customFormat="false" ht="15" hidden="false" customHeight="true" outlineLevel="0" collapsed="false">
      <c r="D2286" s="11"/>
      <c r="H2286" s="1" t="s">
        <v>43</v>
      </c>
      <c r="I2286" s="1" t="s">
        <v>34</v>
      </c>
      <c r="J2286" s="1" t="n">
        <f aca="false">K2285</f>
        <v>43582</v>
      </c>
      <c r="K2286" s="1" t="n">
        <f aca="false">J2286+L2286</f>
        <v>43594</v>
      </c>
      <c r="L2286" s="1" t="n">
        <v>12</v>
      </c>
      <c r="M2286" s="1" t="n">
        <f aca="false">(E2286+M2285)-N2286</f>
        <v>48.8099999999997</v>
      </c>
      <c r="N2286" s="1" t="n">
        <v>1.25</v>
      </c>
    </row>
    <row r="2287" customFormat="false" ht="15" hidden="false" customHeight="true" outlineLevel="0" collapsed="false">
      <c r="D2287" s="11" t="n">
        <v>45919</v>
      </c>
      <c r="H2287" s="1" t="s">
        <v>34</v>
      </c>
      <c r="I2287" s="1" t="s">
        <v>54</v>
      </c>
      <c r="J2287" s="1" t="n">
        <f aca="false">K2286</f>
        <v>43594</v>
      </c>
      <c r="K2287" s="1" t="n">
        <f aca="false">J2287+L2287</f>
        <v>43621</v>
      </c>
      <c r="L2287" s="1" t="n">
        <v>27</v>
      </c>
      <c r="M2287" s="1" t="n">
        <f aca="false">(E2287+M2286)-N2287</f>
        <v>45.6099999999997</v>
      </c>
      <c r="N2287" s="1" t="n">
        <v>3.2</v>
      </c>
    </row>
    <row r="2288" customFormat="false" ht="15" hidden="false" customHeight="true" outlineLevel="0" collapsed="false">
      <c r="H2288" s="1" t="s">
        <v>54</v>
      </c>
      <c r="I2288" s="1" t="s">
        <v>34</v>
      </c>
      <c r="J2288" s="1" t="n">
        <f aca="false">K2287</f>
        <v>43621</v>
      </c>
      <c r="K2288" s="1" t="n">
        <f aca="false">J2288+L2288</f>
        <v>43648</v>
      </c>
      <c r="L2288" s="1" t="n">
        <v>27</v>
      </c>
      <c r="M2288" s="1" t="n">
        <f aca="false">(E2288+M2287)-N2288</f>
        <v>42.4099999999997</v>
      </c>
      <c r="N2288" s="1" t="n">
        <v>3.2</v>
      </c>
    </row>
    <row r="2289" customFormat="false" ht="15" hidden="false" customHeight="true" outlineLevel="0" collapsed="false">
      <c r="D2289" s="11" t="n">
        <v>45922</v>
      </c>
      <c r="H2289" s="1" t="s">
        <v>34</v>
      </c>
      <c r="I2289" s="1" t="s">
        <v>54</v>
      </c>
      <c r="J2289" s="1" t="n">
        <f aca="false">K2288</f>
        <v>43648</v>
      </c>
      <c r="K2289" s="1" t="n">
        <f aca="false">J2289+L2289</f>
        <v>43675</v>
      </c>
      <c r="L2289" s="1" t="n">
        <v>27</v>
      </c>
      <c r="M2289" s="1" t="n">
        <f aca="false">(E2289+M2288)-N2289</f>
        <v>39.2099999999997</v>
      </c>
      <c r="N2289" s="1" t="n">
        <v>3.2</v>
      </c>
    </row>
    <row r="2290" customFormat="false" ht="15" hidden="false" customHeight="true" outlineLevel="0" collapsed="false">
      <c r="D2290" s="11"/>
      <c r="H2290" s="1" t="s">
        <v>54</v>
      </c>
      <c r="I2290" s="1" t="s">
        <v>34</v>
      </c>
      <c r="J2290" s="1" t="n">
        <f aca="false">K2289</f>
        <v>43675</v>
      </c>
      <c r="K2290" s="1" t="n">
        <f aca="false">J2290+L2290</f>
        <v>43702</v>
      </c>
      <c r="L2290" s="1" t="n">
        <v>27</v>
      </c>
      <c r="M2290" s="1" t="n">
        <f aca="false">(E2290+M2289)-N2290</f>
        <v>36.0099999999997</v>
      </c>
      <c r="N2290" s="1" t="n">
        <v>3.2</v>
      </c>
    </row>
    <row r="2291" customFormat="false" ht="15" hidden="false" customHeight="true" outlineLevel="0" collapsed="false">
      <c r="D2291" s="11" t="n">
        <v>45923</v>
      </c>
      <c r="H2291" s="1" t="s">
        <v>34</v>
      </c>
      <c r="I2291" s="1" t="s">
        <v>54</v>
      </c>
      <c r="J2291" s="1" t="n">
        <f aca="false">K2290</f>
        <v>43702</v>
      </c>
      <c r="K2291" s="1" t="n">
        <f aca="false">J2291+L2291</f>
        <v>43729</v>
      </c>
      <c r="L2291" s="1" t="n">
        <v>27</v>
      </c>
      <c r="M2291" s="1" t="n">
        <f aca="false">(E2291+M2290)-N2291</f>
        <v>32.8099999999997</v>
      </c>
      <c r="N2291" s="1" t="n">
        <v>3.2</v>
      </c>
    </row>
    <row r="2292" customFormat="false" ht="15" hidden="false" customHeight="true" outlineLevel="0" collapsed="false">
      <c r="D2292" s="11"/>
      <c r="H2292" s="1" t="s">
        <v>54</v>
      </c>
      <c r="I2292" s="1" t="s">
        <v>34</v>
      </c>
      <c r="J2292" s="1" t="n">
        <f aca="false">K2291</f>
        <v>43729</v>
      </c>
      <c r="K2292" s="1" t="n">
        <f aca="false">J2292+L2292</f>
        <v>43756</v>
      </c>
      <c r="L2292" s="1" t="n">
        <v>27</v>
      </c>
      <c r="M2292" s="1" t="n">
        <f aca="false">(E2292+M2291)-N2292</f>
        <v>29.6099999999997</v>
      </c>
      <c r="N2292" s="1" t="n">
        <v>3.2</v>
      </c>
    </row>
    <row r="2293" customFormat="false" ht="15" hidden="false" customHeight="true" outlineLevel="0" collapsed="false">
      <c r="D2293" s="11" t="n">
        <v>45924</v>
      </c>
      <c r="H2293" s="1" t="s">
        <v>34</v>
      </c>
      <c r="I2293" s="1" t="s">
        <v>85</v>
      </c>
      <c r="J2293" s="1" t="n">
        <f aca="false">K2292</f>
        <v>43756</v>
      </c>
      <c r="K2293" s="1" t="n">
        <f aca="false">J2293+L2293</f>
        <v>43800</v>
      </c>
      <c r="L2293" s="1" t="n">
        <v>44</v>
      </c>
      <c r="M2293" s="1" t="n">
        <f aca="false">(E2293+M2292)-N2293</f>
        <v>24.6099999999997</v>
      </c>
      <c r="N2293" s="1" t="n">
        <v>5</v>
      </c>
    </row>
    <row r="2294" customFormat="false" ht="15" hidden="false" customHeight="true" outlineLevel="0" collapsed="false">
      <c r="D2294" s="11"/>
      <c r="H2294" s="1" t="s">
        <v>85</v>
      </c>
      <c r="I2294" s="1" t="s">
        <v>34</v>
      </c>
      <c r="J2294" s="1" t="n">
        <f aca="false">K2293</f>
        <v>43800</v>
      </c>
      <c r="K2294" s="1" t="n">
        <f aca="false">J2294+L2294</f>
        <v>43844</v>
      </c>
      <c r="L2294" s="1" t="n">
        <v>44</v>
      </c>
      <c r="M2294" s="1" t="n">
        <f aca="false">(E2294+M2293)-N2294</f>
        <v>19.6099999999997</v>
      </c>
      <c r="N2294" s="1" t="n">
        <v>5</v>
      </c>
    </row>
    <row r="2295" customFormat="false" ht="15" hidden="false" customHeight="true" outlineLevel="0" collapsed="false">
      <c r="D2295" s="11" t="n">
        <v>45925</v>
      </c>
      <c r="H2295" s="1" t="s">
        <v>34</v>
      </c>
      <c r="I2295" s="1" t="s">
        <v>43</v>
      </c>
      <c r="J2295" s="1" t="n">
        <f aca="false">K2294</f>
        <v>43844</v>
      </c>
      <c r="K2295" s="1" t="n">
        <f aca="false">J2295+L2295</f>
        <v>43856</v>
      </c>
      <c r="L2295" s="1" t="n">
        <v>12</v>
      </c>
      <c r="M2295" s="1" t="n">
        <f aca="false">(E2295+M2294)-N2295</f>
        <v>18.3599999999997</v>
      </c>
      <c r="N2295" s="1" t="n">
        <v>1.25</v>
      </c>
    </row>
    <row r="2296" customFormat="false" ht="15" hidden="false" customHeight="true" outlineLevel="0" collapsed="false">
      <c r="D2296" s="11"/>
      <c r="H2296" s="1" t="s">
        <v>43</v>
      </c>
      <c r="I2296" s="1" t="s">
        <v>34</v>
      </c>
      <c r="J2296" s="1" t="n">
        <f aca="false">K2295</f>
        <v>43856</v>
      </c>
      <c r="K2296" s="1" t="n">
        <f aca="false">J2296+L2296</f>
        <v>43868</v>
      </c>
      <c r="L2296" s="1" t="n">
        <v>12</v>
      </c>
      <c r="M2296" s="1" t="n">
        <f aca="false">(E2296+M2295)-N2296</f>
        <v>17.1099999999997</v>
      </c>
      <c r="N2296" s="1" t="n">
        <v>1.25</v>
      </c>
    </row>
    <row r="2297" customFormat="false" ht="15" hidden="false" customHeight="true" outlineLevel="0" collapsed="false">
      <c r="D2297" s="11" t="n">
        <v>45926</v>
      </c>
      <c r="H2297" s="1" t="s">
        <v>34</v>
      </c>
      <c r="I2297" s="1" t="s">
        <v>43</v>
      </c>
      <c r="J2297" s="1" t="n">
        <f aca="false">K2296</f>
        <v>43868</v>
      </c>
      <c r="K2297" s="1" t="n">
        <f aca="false">J2297+L2297</f>
        <v>43880</v>
      </c>
      <c r="L2297" s="1" t="n">
        <v>12</v>
      </c>
      <c r="M2297" s="1" t="n">
        <f aca="false">(E2297+M2296)-N2297</f>
        <v>15.8599999999997</v>
      </c>
      <c r="N2297" s="1" t="n">
        <v>1.25</v>
      </c>
    </row>
    <row r="2298" customFormat="false" ht="15" hidden="false" customHeight="true" outlineLevel="0" collapsed="false">
      <c r="H2298" s="1" t="s">
        <v>43</v>
      </c>
      <c r="I2298" s="1" t="s">
        <v>34</v>
      </c>
      <c r="J2298" s="1" t="n">
        <f aca="false">K2297</f>
        <v>43880</v>
      </c>
      <c r="K2298" s="1" t="n">
        <f aca="false">J2298+L2298</f>
        <v>43892</v>
      </c>
      <c r="L2298" s="1" t="n">
        <v>12</v>
      </c>
      <c r="M2298" s="1" t="n">
        <f aca="false">(E2298+M2297)-N2298</f>
        <v>14.6099999999997</v>
      </c>
      <c r="N2298" s="1" t="n">
        <v>1.25</v>
      </c>
    </row>
    <row r="2299" customFormat="false" ht="15" hidden="false" customHeight="true" outlineLevel="0" collapsed="false">
      <c r="D2299" s="11" t="n">
        <v>45929</v>
      </c>
      <c r="H2299" s="1" t="s">
        <v>34</v>
      </c>
      <c r="I2299" s="1" t="s">
        <v>43</v>
      </c>
      <c r="J2299" s="1" t="n">
        <f aca="false">K2298</f>
        <v>43892</v>
      </c>
      <c r="K2299" s="1" t="n">
        <f aca="false">J2299+L2299</f>
        <v>43904</v>
      </c>
      <c r="L2299" s="1" t="n">
        <v>12</v>
      </c>
      <c r="M2299" s="1" t="n">
        <f aca="false">(E2299+M2298)-N2299</f>
        <v>13.3599999999997</v>
      </c>
      <c r="N2299" s="1" t="n">
        <v>1.25</v>
      </c>
    </row>
    <row r="2300" customFormat="false" ht="15" hidden="false" customHeight="true" outlineLevel="0" collapsed="false">
      <c r="D2300" s="11"/>
      <c r="H2300" s="1" t="s">
        <v>43</v>
      </c>
      <c r="I2300" s="1" t="s">
        <v>34</v>
      </c>
      <c r="J2300" s="1" t="n">
        <f aca="false">K2299</f>
        <v>43904</v>
      </c>
      <c r="K2300" s="1" t="n">
        <f aca="false">J2300+L2300</f>
        <v>43916</v>
      </c>
      <c r="L2300" s="1" t="n">
        <v>12</v>
      </c>
      <c r="M2300" s="1" t="n">
        <f aca="false">(E2300+M2299)-N2300</f>
        <v>12.1099999999997</v>
      </c>
      <c r="N2300" s="1" t="n">
        <v>1.25</v>
      </c>
    </row>
    <row r="2301" customFormat="false" ht="15" hidden="false" customHeight="true" outlineLevel="0" collapsed="false">
      <c r="D2301" s="11" t="n">
        <v>45930</v>
      </c>
      <c r="H2301" s="1" t="s">
        <v>34</v>
      </c>
      <c r="I2301" s="1" t="s">
        <v>43</v>
      </c>
      <c r="J2301" s="1" t="n">
        <f aca="false">K2300</f>
        <v>43916</v>
      </c>
      <c r="K2301" s="1" t="n">
        <f aca="false">J2301+L2301</f>
        <v>43928</v>
      </c>
      <c r="L2301" s="1" t="n">
        <v>12</v>
      </c>
      <c r="M2301" s="1" t="n">
        <f aca="false">(E2301+M2300)-N2301</f>
        <v>10.8599999999997</v>
      </c>
      <c r="N2301" s="1" t="n">
        <v>1.25</v>
      </c>
    </row>
    <row r="2302" customFormat="false" ht="15" hidden="false" customHeight="true" outlineLevel="0" collapsed="false">
      <c r="H2302" s="1" t="s">
        <v>43</v>
      </c>
      <c r="I2302" s="1" t="s">
        <v>34</v>
      </c>
      <c r="J2302" s="1" t="n">
        <f aca="false">K2301</f>
        <v>43928</v>
      </c>
      <c r="K2302" s="1" t="n">
        <f aca="false">J2302+L2302</f>
        <v>43940</v>
      </c>
      <c r="L2302" s="1" t="n">
        <v>12</v>
      </c>
      <c r="M2302" s="1" t="n">
        <f aca="false">(E2302+M2301)-N2302</f>
        <v>9.60999999999971</v>
      </c>
      <c r="N2302" s="1" t="n">
        <v>1.25</v>
      </c>
    </row>
    <row r="2304" customFormat="false" ht="15" hidden="false" customHeight="true" outlineLevel="0" collapsed="false">
      <c r="D2304" s="4" t="s">
        <v>98</v>
      </c>
      <c r="E2304" s="4"/>
      <c r="F2304" s="4"/>
      <c r="G2304" s="4"/>
    </row>
    <row r="2306" customFormat="false" ht="15" hidden="false" customHeight="true" outlineLevel="0" collapsed="false">
      <c r="D2306" s="11" t="n">
        <v>45931</v>
      </c>
      <c r="H2306" s="1" t="s">
        <v>34</v>
      </c>
      <c r="I2306" s="1" t="s">
        <v>43</v>
      </c>
      <c r="J2306" s="1" t="n">
        <f aca="false">K2302</f>
        <v>43940</v>
      </c>
      <c r="K2306" s="1" t="n">
        <f aca="false">J2306+L2306</f>
        <v>43952</v>
      </c>
      <c r="L2306" s="1" t="n">
        <v>12</v>
      </c>
      <c r="M2306" s="1" t="n">
        <f aca="false">(E2306+M2302)-N2306</f>
        <v>8.35999999999971</v>
      </c>
      <c r="N2306" s="1" t="n">
        <v>1.25</v>
      </c>
    </row>
    <row r="2307" customFormat="false" ht="15" hidden="false" customHeight="true" outlineLevel="0" collapsed="false">
      <c r="D2307" s="11"/>
      <c r="H2307" s="1" t="s">
        <v>43</v>
      </c>
      <c r="I2307" s="1" t="s">
        <v>34</v>
      </c>
      <c r="J2307" s="1" t="n">
        <f aca="false">K2306</f>
        <v>43952</v>
      </c>
      <c r="K2307" s="1" t="n">
        <f aca="false">J2307+L2307</f>
        <v>43964</v>
      </c>
      <c r="L2307" s="1" t="n">
        <v>12</v>
      </c>
      <c r="M2307" s="1" t="n">
        <f aca="false">(E2307+M2306)-N2307</f>
        <v>7.10999999999971</v>
      </c>
      <c r="N2307" s="1" t="n">
        <v>1.25</v>
      </c>
    </row>
    <row r="2308" customFormat="false" ht="15" hidden="false" customHeight="true" outlineLevel="0" collapsed="false">
      <c r="D2308" s="11" t="n">
        <v>45932</v>
      </c>
      <c r="H2308" s="1" t="s">
        <v>34</v>
      </c>
      <c r="I2308" s="1" t="s">
        <v>43</v>
      </c>
      <c r="J2308" s="1" t="n">
        <f aca="false">K2307</f>
        <v>43964</v>
      </c>
      <c r="K2308" s="1" t="n">
        <f aca="false">J2308+L2308</f>
        <v>43976</v>
      </c>
      <c r="L2308" s="1" t="n">
        <v>12</v>
      </c>
      <c r="M2308" s="1" t="n">
        <f aca="false">(E2308+M2307)-N2308</f>
        <v>5.85999999999971</v>
      </c>
      <c r="N2308" s="1" t="n">
        <v>1.25</v>
      </c>
    </row>
    <row r="2309" customFormat="false" ht="15" hidden="false" customHeight="true" outlineLevel="0" collapsed="false">
      <c r="D2309" s="11"/>
      <c r="H2309" s="1" t="s">
        <v>43</v>
      </c>
      <c r="I2309" s="1" t="s">
        <v>34</v>
      </c>
      <c r="J2309" s="1" t="n">
        <f aca="false">K2308</f>
        <v>43976</v>
      </c>
      <c r="K2309" s="1" t="n">
        <f aca="false">J2309+L2309</f>
        <v>43988</v>
      </c>
      <c r="L2309" s="1" t="n">
        <v>12</v>
      </c>
      <c r="M2309" s="1" t="n">
        <f aca="false">(E2309+M2308)-N2309</f>
        <v>4.60999999999971</v>
      </c>
      <c r="N2309" s="1" t="n">
        <v>1.25</v>
      </c>
    </row>
    <row r="2310" customFormat="false" ht="15" hidden="false" customHeight="true" outlineLevel="0" collapsed="false">
      <c r="D2310" s="11" t="n">
        <v>45933</v>
      </c>
      <c r="H2310" s="1"/>
      <c r="I2310" s="1"/>
      <c r="M2310" s="1"/>
    </row>
    <row r="2311" customFormat="false" ht="15" hidden="false" customHeight="true" outlineLevel="0" collapsed="false">
      <c r="D2311" s="11"/>
      <c r="H2311" s="1"/>
      <c r="I2311" s="1"/>
      <c r="M2311" s="1"/>
    </row>
    <row r="2312" customFormat="false" ht="15" hidden="false" customHeight="true" outlineLevel="0" collapsed="false">
      <c r="D2312" s="11" t="n">
        <v>45936</v>
      </c>
      <c r="H2312" s="1"/>
      <c r="I2312" s="1"/>
      <c r="M2312" s="1"/>
    </row>
    <row r="2313" customFormat="false" ht="15" hidden="false" customHeight="true" outlineLevel="0" collapsed="false">
      <c r="D2313" s="11"/>
      <c r="H2313" s="1"/>
      <c r="I2313" s="1"/>
      <c r="M2313" s="1"/>
    </row>
    <row r="2314" customFormat="false" ht="15" hidden="false" customHeight="true" outlineLevel="0" collapsed="false">
      <c r="D2314" s="11" t="n">
        <v>45937</v>
      </c>
    </row>
    <row r="2315" customFormat="false" ht="15" hidden="false" customHeight="true" outlineLevel="0" collapsed="false">
      <c r="D2315" s="11"/>
    </row>
    <row r="2316" customFormat="false" ht="15" hidden="false" customHeight="true" outlineLevel="0" collapsed="false">
      <c r="D2316" s="11" t="n">
        <v>45938</v>
      </c>
    </row>
    <row r="2317" customFormat="false" ht="15" hidden="false" customHeight="true" outlineLevel="0" collapsed="false">
      <c r="D2317" s="11"/>
    </row>
    <row r="2318" customFormat="false" ht="15" hidden="false" customHeight="true" outlineLevel="0" collapsed="false">
      <c r="D2318" s="11" t="n">
        <v>45939</v>
      </c>
      <c r="E2318" s="0" t="n">
        <v>48.81</v>
      </c>
      <c r="F2318" s="1" t="n">
        <v>65.08</v>
      </c>
      <c r="G2318" s="6" t="n">
        <f aca="false">E2318*F2318</f>
        <v>3176.5548</v>
      </c>
      <c r="H2318" s="1" t="s">
        <v>34</v>
      </c>
      <c r="I2318" s="1" t="s">
        <v>54</v>
      </c>
      <c r="J2318" s="1" t="n">
        <f aca="false">K2309</f>
        <v>43988</v>
      </c>
      <c r="K2318" s="1" t="n">
        <f aca="false">J2318+L2318</f>
        <v>44015</v>
      </c>
      <c r="L2318" s="1" t="n">
        <v>27</v>
      </c>
      <c r="M2318" s="1" t="n">
        <f aca="false">(E2318+M2309)-N2318</f>
        <v>50.2199999999997</v>
      </c>
      <c r="N2318" s="1" t="n">
        <v>3.2</v>
      </c>
    </row>
    <row r="2319" customFormat="false" ht="15" hidden="false" customHeight="true" outlineLevel="0" collapsed="false">
      <c r="D2319" s="11"/>
      <c r="H2319" s="1" t="s">
        <v>54</v>
      </c>
      <c r="I2319" s="1" t="s">
        <v>34</v>
      </c>
      <c r="J2319" s="1" t="n">
        <f aca="false">K2318</f>
        <v>44015</v>
      </c>
      <c r="K2319" s="1" t="n">
        <f aca="false">J2319+L2319</f>
        <v>44042</v>
      </c>
      <c r="L2319" s="1" t="n">
        <v>27</v>
      </c>
      <c r="M2319" s="1" t="n">
        <f aca="false">(E2319+M2318)-N2319</f>
        <v>47.0199999999997</v>
      </c>
      <c r="N2319" s="1" t="n">
        <v>3.2</v>
      </c>
    </row>
    <row r="2320" customFormat="false" ht="15" hidden="false" customHeight="true" outlineLevel="0" collapsed="false">
      <c r="D2320" s="11" t="n">
        <v>45940</v>
      </c>
      <c r="H2320" s="1" t="s">
        <v>34</v>
      </c>
      <c r="I2320" s="1" t="s">
        <v>85</v>
      </c>
      <c r="J2320" s="1" t="n">
        <f aca="false">K2319</f>
        <v>44042</v>
      </c>
      <c r="K2320" s="1" t="n">
        <f aca="false">J2320+L2320</f>
        <v>44086</v>
      </c>
      <c r="L2320" s="1" t="n">
        <v>44</v>
      </c>
      <c r="M2320" s="1" t="n">
        <f aca="false">(E2320+M2319)-N2320</f>
        <v>42.0199999999997</v>
      </c>
      <c r="N2320" s="1" t="n">
        <v>5</v>
      </c>
    </row>
    <row r="2321" customFormat="false" ht="15" hidden="false" customHeight="true" outlineLevel="0" collapsed="false">
      <c r="D2321" s="11"/>
      <c r="H2321" s="1" t="s">
        <v>85</v>
      </c>
      <c r="I2321" s="1" t="s">
        <v>34</v>
      </c>
      <c r="J2321" s="1" t="n">
        <f aca="false">K2320</f>
        <v>44086</v>
      </c>
      <c r="K2321" s="1" t="n">
        <f aca="false">J2321+L2321</f>
        <v>44130</v>
      </c>
      <c r="L2321" s="1" t="n">
        <v>44</v>
      </c>
      <c r="M2321" s="1" t="n">
        <f aca="false">(E2321+M2320)-N2321</f>
        <v>37.0199999999997</v>
      </c>
      <c r="N2321" s="1" t="n">
        <v>5</v>
      </c>
    </row>
    <row r="2322" customFormat="false" ht="15" hidden="false" customHeight="true" outlineLevel="0" collapsed="false">
      <c r="D2322" s="11" t="n">
        <v>45943</v>
      </c>
      <c r="H2322" s="1" t="s">
        <v>34</v>
      </c>
      <c r="I2322" s="1" t="s">
        <v>44</v>
      </c>
      <c r="J2322" s="1" t="n">
        <f aca="false">K2321</f>
        <v>44130</v>
      </c>
      <c r="K2322" s="1" t="n">
        <f aca="false">J2322+L2322</f>
        <v>44170</v>
      </c>
      <c r="L2322" s="1" t="n">
        <v>40</v>
      </c>
      <c r="M2322" s="1" t="n">
        <f aca="false">(E2322+M2321)-N2322</f>
        <v>32.2199999999997</v>
      </c>
      <c r="N2322" s="1" t="n">
        <v>4.8</v>
      </c>
    </row>
    <row r="2323" customFormat="false" ht="15" hidden="false" customHeight="true" outlineLevel="0" collapsed="false">
      <c r="D2323" s="11"/>
      <c r="H2323" s="1" t="s">
        <v>44</v>
      </c>
      <c r="I2323" s="1" t="s">
        <v>34</v>
      </c>
      <c r="J2323" s="1" t="n">
        <f aca="false">K2322</f>
        <v>44170</v>
      </c>
      <c r="K2323" s="1" t="n">
        <f aca="false">J2323+L2323</f>
        <v>44210</v>
      </c>
      <c r="L2323" s="1" t="n">
        <v>40</v>
      </c>
      <c r="M2323" s="1" t="n">
        <f aca="false">(E2323+M2322)-N2323</f>
        <v>27.4199999999997</v>
      </c>
      <c r="N2323" s="1" t="n">
        <v>4.8</v>
      </c>
    </row>
    <row r="2324" customFormat="false" ht="15" hidden="false" customHeight="true" outlineLevel="0" collapsed="false">
      <c r="D2324" s="11" t="n">
        <v>45944</v>
      </c>
      <c r="H2324" s="1" t="s">
        <v>34</v>
      </c>
      <c r="I2324" s="1" t="s">
        <v>35</v>
      </c>
      <c r="J2324" s="1" t="n">
        <f aca="false">K2323</f>
        <v>44210</v>
      </c>
      <c r="K2324" s="1" t="n">
        <f aca="false">J2324+L2324</f>
        <v>44222</v>
      </c>
      <c r="L2324" s="1" t="n">
        <v>12</v>
      </c>
      <c r="M2324" s="1" t="n">
        <f aca="false">(E2324+M2323)-N2324</f>
        <v>26.1699999999997</v>
      </c>
      <c r="N2324" s="1" t="n">
        <v>1.25</v>
      </c>
    </row>
    <row r="2325" customFormat="false" ht="15" hidden="false" customHeight="true" outlineLevel="0" collapsed="false">
      <c r="D2325" s="11"/>
      <c r="H2325" s="1" t="s">
        <v>35</v>
      </c>
      <c r="I2325" s="1" t="s">
        <v>34</v>
      </c>
      <c r="J2325" s="1" t="n">
        <f aca="false">K2324</f>
        <v>44222</v>
      </c>
      <c r="K2325" s="1" t="n">
        <f aca="false">J2325+L2325</f>
        <v>44234</v>
      </c>
      <c r="L2325" s="1" t="n">
        <v>12</v>
      </c>
      <c r="M2325" s="1" t="n">
        <f aca="false">(E2325+M2324)-N2325</f>
        <v>24.9199999999997</v>
      </c>
      <c r="N2325" s="1" t="n">
        <v>1.25</v>
      </c>
    </row>
    <row r="2326" customFormat="false" ht="15" hidden="false" customHeight="true" outlineLevel="0" collapsed="false">
      <c r="D2326" s="11" t="n">
        <v>45945</v>
      </c>
      <c r="H2326" s="1" t="s">
        <v>34</v>
      </c>
      <c r="I2326" s="1" t="s">
        <v>49</v>
      </c>
      <c r="J2326" s="1" t="n">
        <f aca="false">K2325</f>
        <v>44234</v>
      </c>
      <c r="K2326" s="1" t="n">
        <f aca="false">J2326+L2326</f>
        <v>44261</v>
      </c>
      <c r="L2326" s="1" t="n">
        <v>27</v>
      </c>
      <c r="M2326" s="1" t="n">
        <f aca="false">(E2326+M2325)-N2326</f>
        <v>21.7199999999997</v>
      </c>
      <c r="N2326" s="1" t="n">
        <v>3.2</v>
      </c>
    </row>
    <row r="2327" customFormat="false" ht="15" hidden="false" customHeight="true" outlineLevel="0" collapsed="false">
      <c r="D2327" s="11"/>
      <c r="H2327" s="1" t="s">
        <v>49</v>
      </c>
      <c r="I2327" s="1" t="s">
        <v>34</v>
      </c>
      <c r="J2327" s="1" t="n">
        <f aca="false">K2326</f>
        <v>44261</v>
      </c>
      <c r="K2327" s="1" t="n">
        <f aca="false">J2327+L2327</f>
        <v>44288</v>
      </c>
      <c r="L2327" s="1" t="n">
        <v>27</v>
      </c>
      <c r="M2327" s="1" t="n">
        <f aca="false">(E2327+M2326)-N2327</f>
        <v>18.5199999999997</v>
      </c>
      <c r="N2327" s="1" t="n">
        <v>3.2</v>
      </c>
    </row>
    <row r="2328" customFormat="false" ht="15" hidden="false" customHeight="true" outlineLevel="0" collapsed="false">
      <c r="D2328" s="11" t="n">
        <v>45946</v>
      </c>
      <c r="H2328" s="1" t="s">
        <v>34</v>
      </c>
      <c r="I2328" s="1" t="s">
        <v>54</v>
      </c>
      <c r="J2328" s="1" t="n">
        <f aca="false">K2327</f>
        <v>44288</v>
      </c>
      <c r="K2328" s="1" t="n">
        <f aca="false">J2328+L2328</f>
        <v>44315</v>
      </c>
      <c r="L2328" s="1" t="n">
        <v>27</v>
      </c>
      <c r="M2328" s="1" t="n">
        <f aca="false">(E2328+M2327)-N2328</f>
        <v>15.3199999999997</v>
      </c>
      <c r="N2328" s="1" t="n">
        <v>3.2</v>
      </c>
    </row>
    <row r="2329" customFormat="false" ht="15" hidden="false" customHeight="true" outlineLevel="0" collapsed="false">
      <c r="D2329" s="11"/>
      <c r="H2329" s="1" t="s">
        <v>54</v>
      </c>
      <c r="I2329" s="1" t="s">
        <v>34</v>
      </c>
      <c r="J2329" s="1" t="n">
        <f aca="false">K2328</f>
        <v>44315</v>
      </c>
      <c r="K2329" s="1" t="n">
        <f aca="false">J2329+L2329</f>
        <v>44342</v>
      </c>
      <c r="L2329" s="1" t="n">
        <v>27</v>
      </c>
      <c r="M2329" s="1" t="n">
        <f aca="false">(E2329+M2328)-N2329</f>
        <v>12.1199999999997</v>
      </c>
      <c r="N2329" s="1" t="n">
        <v>3.2</v>
      </c>
    </row>
    <row r="2330" customFormat="false" ht="15" hidden="false" customHeight="true" outlineLevel="0" collapsed="false">
      <c r="D2330" s="11" t="n">
        <v>45947</v>
      </c>
      <c r="E2330" s="0" t="n">
        <v>45.81</v>
      </c>
      <c r="F2330" s="1" t="n">
        <v>65.22</v>
      </c>
      <c r="G2330" s="6" t="n">
        <f aca="false">E2330*F2330</f>
        <v>2987.7282</v>
      </c>
      <c r="H2330" s="1" t="s">
        <v>34</v>
      </c>
      <c r="I2330" s="1" t="s">
        <v>85</v>
      </c>
      <c r="J2330" s="1" t="n">
        <f aca="false">K2329</f>
        <v>44342</v>
      </c>
      <c r="K2330" s="1" t="n">
        <f aca="false">J2330+L2330</f>
        <v>44386</v>
      </c>
      <c r="L2330" s="1" t="n">
        <v>44</v>
      </c>
      <c r="M2330" s="1" t="n">
        <f aca="false">(E2330+M2329)-N2330</f>
        <v>52.9299999999997</v>
      </c>
      <c r="N2330" s="1" t="n">
        <v>5</v>
      </c>
    </row>
    <row r="2331" customFormat="false" ht="15" hidden="false" customHeight="true" outlineLevel="0" collapsed="false">
      <c r="D2331" s="11"/>
      <c r="H2331" s="1" t="s">
        <v>85</v>
      </c>
      <c r="I2331" s="1" t="s">
        <v>34</v>
      </c>
      <c r="J2331" s="1" t="n">
        <f aca="false">K2330</f>
        <v>44386</v>
      </c>
      <c r="K2331" s="1" t="n">
        <f aca="false">J2331+L2331</f>
        <v>44430</v>
      </c>
      <c r="L2331" s="1" t="n">
        <v>44</v>
      </c>
      <c r="M2331" s="1" t="n">
        <f aca="false">(E2331+M2330)-N2331</f>
        <v>47.9299999999997</v>
      </c>
      <c r="N2331" s="1" t="n">
        <v>5</v>
      </c>
    </row>
    <row r="2332" customFormat="false" ht="15" hidden="false" customHeight="true" outlineLevel="0" collapsed="false">
      <c r="D2332" s="11" t="n">
        <v>45950</v>
      </c>
      <c r="H2332" s="1" t="s">
        <v>34</v>
      </c>
      <c r="I2332" s="1" t="s">
        <v>99</v>
      </c>
      <c r="J2332" s="1" t="n">
        <f aca="false">K2331</f>
        <v>44430</v>
      </c>
      <c r="K2332" s="1" t="n">
        <f aca="false">J2332+L2332</f>
        <v>44465</v>
      </c>
      <c r="L2332" s="1" t="n">
        <v>35</v>
      </c>
      <c r="M2332" s="1" t="n">
        <f aca="false">(E2332+M2331)-N2332</f>
        <v>43.7299999999997</v>
      </c>
      <c r="N2332" s="1" t="n">
        <v>4.2</v>
      </c>
    </row>
    <row r="2333" customFormat="false" ht="15" hidden="false" customHeight="true" outlineLevel="0" collapsed="false">
      <c r="D2333" s="11"/>
      <c r="H2333" s="1" t="s">
        <v>99</v>
      </c>
      <c r="I2333" s="1" t="s">
        <v>34</v>
      </c>
      <c r="J2333" s="1" t="n">
        <f aca="false">K2332</f>
        <v>44465</v>
      </c>
      <c r="K2333" s="1" t="n">
        <f aca="false">J2333+L2333</f>
        <v>44500</v>
      </c>
      <c r="L2333" s="1" t="n">
        <v>35</v>
      </c>
      <c r="M2333" s="1" t="n">
        <f aca="false">(E2333+M2332)-N2333</f>
        <v>39.5299999999997</v>
      </c>
      <c r="N2333" s="1" t="n">
        <v>4.2</v>
      </c>
    </row>
    <row r="2334" customFormat="false" ht="15" hidden="false" customHeight="true" outlineLevel="0" collapsed="false">
      <c r="D2334" s="11" t="n">
        <v>45951</v>
      </c>
      <c r="H2334" s="1" t="s">
        <v>34</v>
      </c>
      <c r="I2334" s="1" t="s">
        <v>54</v>
      </c>
      <c r="J2334" s="1" t="n">
        <f aca="false">K2333</f>
        <v>44500</v>
      </c>
      <c r="K2334" s="1" t="n">
        <f aca="false">J2334+L2334</f>
        <v>44527</v>
      </c>
      <c r="L2334" s="1" t="n">
        <v>27</v>
      </c>
      <c r="M2334" s="1" t="n">
        <f aca="false">(E2334+M2333)-N2334</f>
        <v>36.3299999999997</v>
      </c>
      <c r="N2334" s="1" t="n">
        <v>3.2</v>
      </c>
    </row>
    <row r="2335" customFormat="false" ht="15" hidden="false" customHeight="true" outlineLevel="0" collapsed="false">
      <c r="D2335" s="11"/>
      <c r="H2335" s="1" t="s">
        <v>54</v>
      </c>
      <c r="I2335" s="1" t="s">
        <v>34</v>
      </c>
      <c r="J2335" s="1" t="n">
        <f aca="false">K2334</f>
        <v>44527</v>
      </c>
      <c r="K2335" s="1" t="n">
        <f aca="false">J2335+L2335</f>
        <v>44554</v>
      </c>
      <c r="L2335" s="1" t="n">
        <v>27</v>
      </c>
      <c r="M2335" s="1" t="n">
        <f aca="false">(E2335+M2334)-N2335</f>
        <v>33.1299999999997</v>
      </c>
      <c r="N2335" s="1" t="n">
        <v>3.2</v>
      </c>
    </row>
    <row r="2336" customFormat="false" ht="15" hidden="false" customHeight="true" outlineLevel="0" collapsed="false">
      <c r="D2336" s="11" t="n">
        <v>45952</v>
      </c>
      <c r="H2336" s="1" t="s">
        <v>34</v>
      </c>
      <c r="I2336" s="1" t="s">
        <v>85</v>
      </c>
      <c r="J2336" s="1" t="n">
        <f aca="false">K2335</f>
        <v>44554</v>
      </c>
      <c r="K2336" s="1" t="n">
        <f aca="false">J2336+L2336</f>
        <v>44598</v>
      </c>
      <c r="L2336" s="1" t="n">
        <v>44</v>
      </c>
      <c r="M2336" s="1" t="n">
        <f aca="false">(E2336+M2335)-N2336</f>
        <v>28.1299999999997</v>
      </c>
      <c r="N2336" s="1" t="n">
        <v>5</v>
      </c>
    </row>
    <row r="2337" customFormat="false" ht="15" hidden="false" customHeight="true" outlineLevel="0" collapsed="false">
      <c r="D2337" s="11"/>
      <c r="H2337" s="1" t="s">
        <v>85</v>
      </c>
      <c r="I2337" s="1" t="s">
        <v>34</v>
      </c>
      <c r="J2337" s="1" t="n">
        <f aca="false">K2336</f>
        <v>44598</v>
      </c>
      <c r="K2337" s="1" t="n">
        <f aca="false">J2337+L2337</f>
        <v>44642</v>
      </c>
      <c r="L2337" s="1" t="n">
        <v>44</v>
      </c>
      <c r="M2337" s="1" t="n">
        <f aca="false">(E2337+M2336)-N2337</f>
        <v>23.1299999999997</v>
      </c>
      <c r="N2337" s="1" t="n">
        <v>5</v>
      </c>
    </row>
    <row r="2338" customFormat="false" ht="15" hidden="false" customHeight="true" outlineLevel="0" collapsed="false">
      <c r="D2338" s="11"/>
      <c r="H2338" s="1" t="s">
        <v>34</v>
      </c>
      <c r="I2338" s="1" t="s">
        <v>44</v>
      </c>
      <c r="J2338" s="1" t="n">
        <f aca="false">K2337</f>
        <v>44642</v>
      </c>
      <c r="K2338" s="1" t="n">
        <f aca="false">J2338+L2338</f>
        <v>44682</v>
      </c>
      <c r="L2338" s="1" t="n">
        <v>40</v>
      </c>
      <c r="M2338" s="1" t="n">
        <f aca="false">(E2338+M2337)-N2338</f>
        <v>18.3299999999997</v>
      </c>
      <c r="N2338" s="1" t="n">
        <v>4.8</v>
      </c>
    </row>
    <row r="2339" customFormat="false" ht="15" hidden="false" customHeight="true" outlineLevel="0" collapsed="false">
      <c r="D2339" s="11"/>
      <c r="H2339" s="1" t="s">
        <v>44</v>
      </c>
      <c r="I2339" s="1" t="s">
        <v>34</v>
      </c>
      <c r="J2339" s="1" t="n">
        <f aca="false">K2338</f>
        <v>44682</v>
      </c>
      <c r="K2339" s="1" t="n">
        <f aca="false">J2339+L2339</f>
        <v>44722</v>
      </c>
      <c r="L2339" s="1" t="n">
        <v>40</v>
      </c>
      <c r="M2339" s="1" t="n">
        <f aca="false">(E2339+M2338)-N2339</f>
        <v>13.5299999999997</v>
      </c>
      <c r="N2339" s="1" t="n">
        <v>4.8</v>
      </c>
    </row>
    <row r="2340" customFormat="false" ht="15" hidden="false" customHeight="true" outlineLevel="0" collapsed="false">
      <c r="D2340" s="11" t="n">
        <v>45953</v>
      </c>
      <c r="E2340" s="0" t="n">
        <v>45.48</v>
      </c>
      <c r="F2340" s="1" t="n">
        <v>65.62</v>
      </c>
      <c r="G2340" s="6" t="n">
        <f aca="false">E2340*F2340</f>
        <v>2984.3976</v>
      </c>
      <c r="H2340" s="1" t="s">
        <v>34</v>
      </c>
      <c r="I2340" s="1" t="s">
        <v>85</v>
      </c>
      <c r="J2340" s="1" t="n">
        <f aca="false">K2339</f>
        <v>44722</v>
      </c>
      <c r="K2340" s="1" t="n">
        <f aca="false">J2340+L2340</f>
        <v>44766</v>
      </c>
      <c r="L2340" s="1" t="n">
        <v>44</v>
      </c>
      <c r="M2340" s="1" t="n">
        <f aca="false">(E2340+M2339)-N2340</f>
        <v>54.0099999999997</v>
      </c>
      <c r="N2340" s="1" t="n">
        <v>5</v>
      </c>
    </row>
    <row r="2341" customFormat="false" ht="15" hidden="false" customHeight="true" outlineLevel="0" collapsed="false">
      <c r="D2341" s="11"/>
      <c r="H2341" s="1" t="s">
        <v>85</v>
      </c>
      <c r="I2341" s="1" t="s">
        <v>34</v>
      </c>
      <c r="J2341" s="1" t="n">
        <f aca="false">K2340</f>
        <v>44766</v>
      </c>
      <c r="K2341" s="1" t="n">
        <f aca="false">J2341+L2341</f>
        <v>44810</v>
      </c>
      <c r="L2341" s="1" t="n">
        <v>44</v>
      </c>
      <c r="M2341" s="1" t="n">
        <f aca="false">(E2341+M2340)-N2341</f>
        <v>49.0099999999997</v>
      </c>
      <c r="N2341" s="1" t="n">
        <v>5</v>
      </c>
    </row>
    <row r="2342" customFormat="false" ht="15" hidden="false" customHeight="true" outlineLevel="0" collapsed="false">
      <c r="D2342" s="11" t="n">
        <v>45954</v>
      </c>
      <c r="H2342" s="1" t="s">
        <v>34</v>
      </c>
      <c r="I2342" s="1" t="s">
        <v>100</v>
      </c>
      <c r="J2342" s="1" t="n">
        <f aca="false">K2341</f>
        <v>44810</v>
      </c>
      <c r="K2342" s="1" t="n">
        <f aca="false">J2342+L2342</f>
        <v>44845</v>
      </c>
      <c r="L2342" s="1" t="n">
        <v>35</v>
      </c>
      <c r="M2342" s="1" t="n">
        <f aca="false">(E2342+M2341)-N2342</f>
        <v>44.8099999999997</v>
      </c>
      <c r="N2342" s="1" t="n">
        <v>4.2</v>
      </c>
    </row>
    <row r="2343" customFormat="false" ht="15" hidden="false" customHeight="true" outlineLevel="0" collapsed="false">
      <c r="D2343" s="11"/>
      <c r="H2343" s="1" t="s">
        <v>100</v>
      </c>
      <c r="I2343" s="1" t="s">
        <v>34</v>
      </c>
      <c r="J2343" s="1" t="n">
        <f aca="false">K2342</f>
        <v>44845</v>
      </c>
      <c r="K2343" s="1" t="n">
        <f aca="false">J2343+L2343</f>
        <v>44880</v>
      </c>
      <c r="L2343" s="1" t="n">
        <v>35</v>
      </c>
      <c r="M2343" s="1" t="n">
        <f aca="false">(E2343+M2342)-N2343</f>
        <v>40.6099999999997</v>
      </c>
      <c r="N2343" s="1" t="n">
        <v>4.2</v>
      </c>
    </row>
    <row r="2344" customFormat="false" ht="15" hidden="false" customHeight="true" outlineLevel="0" collapsed="false">
      <c r="D2344" s="11" t="n">
        <v>45957</v>
      </c>
      <c r="H2344" s="1" t="s">
        <v>34</v>
      </c>
      <c r="I2344" s="1" t="s">
        <v>54</v>
      </c>
      <c r="J2344" s="1" t="n">
        <f aca="false">K2343</f>
        <v>44880</v>
      </c>
      <c r="K2344" s="1" t="n">
        <f aca="false">J2344+L2344</f>
        <v>44907</v>
      </c>
      <c r="L2344" s="1" t="n">
        <v>27</v>
      </c>
      <c r="M2344" s="1" t="n">
        <f aca="false">(E2344+M2343)-N2344</f>
        <v>37.4099999999997</v>
      </c>
      <c r="N2344" s="1" t="n">
        <v>3.2</v>
      </c>
    </row>
    <row r="2345" customFormat="false" ht="15" hidden="false" customHeight="true" outlineLevel="0" collapsed="false">
      <c r="D2345" s="11"/>
      <c r="H2345" s="1" t="s">
        <v>54</v>
      </c>
      <c r="I2345" s="1" t="s">
        <v>34</v>
      </c>
      <c r="J2345" s="1" t="n">
        <f aca="false">K2344</f>
        <v>44907</v>
      </c>
      <c r="K2345" s="1" t="n">
        <f aca="false">J2345+L2345</f>
        <v>44934</v>
      </c>
      <c r="L2345" s="1" t="n">
        <v>27</v>
      </c>
      <c r="M2345" s="1" t="n">
        <f aca="false">(E2345+M2344)-N2345</f>
        <v>34.2099999999997</v>
      </c>
      <c r="N2345" s="1" t="n">
        <v>3.2</v>
      </c>
    </row>
    <row r="2346" customFormat="false" ht="15" hidden="false" customHeight="true" outlineLevel="0" collapsed="false">
      <c r="D2346" s="11" t="n">
        <v>45958</v>
      </c>
      <c r="H2346" s="1" t="s">
        <v>34</v>
      </c>
      <c r="I2346" s="1" t="s">
        <v>85</v>
      </c>
      <c r="J2346" s="1" t="n">
        <f aca="false">K2345</f>
        <v>44934</v>
      </c>
      <c r="K2346" s="1" t="n">
        <f aca="false">J2346+L2346</f>
        <v>44978</v>
      </c>
      <c r="L2346" s="1" t="n">
        <v>44</v>
      </c>
      <c r="M2346" s="1" t="n">
        <f aca="false">(E2346+M2345)-N2346</f>
        <v>29.2099999999997</v>
      </c>
      <c r="N2346" s="1" t="n">
        <v>5</v>
      </c>
    </row>
    <row r="2347" customFormat="false" ht="15" hidden="false" customHeight="true" outlineLevel="0" collapsed="false">
      <c r="D2347" s="11"/>
      <c r="H2347" s="1" t="s">
        <v>85</v>
      </c>
      <c r="I2347" s="1" t="s">
        <v>34</v>
      </c>
      <c r="J2347" s="1" t="n">
        <f aca="false">K2346</f>
        <v>44978</v>
      </c>
      <c r="K2347" s="1" t="n">
        <f aca="false">J2347+L2347</f>
        <v>45022</v>
      </c>
      <c r="L2347" s="1" t="n">
        <v>44</v>
      </c>
      <c r="M2347" s="1" t="n">
        <f aca="false">(E2347+M2346)-N2347</f>
        <v>24.2099999999997</v>
      </c>
      <c r="N2347" s="1" t="n">
        <v>5</v>
      </c>
    </row>
    <row r="2348" customFormat="false" ht="15" hidden="false" customHeight="true" outlineLevel="0" collapsed="false">
      <c r="D2348" s="11"/>
      <c r="H2348" s="1" t="s">
        <v>34</v>
      </c>
      <c r="I2348" s="1" t="s">
        <v>44</v>
      </c>
      <c r="J2348" s="1" t="n">
        <f aca="false">K2347</f>
        <v>45022</v>
      </c>
      <c r="K2348" s="1" t="n">
        <f aca="false">J2348+L2348</f>
        <v>45062</v>
      </c>
      <c r="L2348" s="1" t="n">
        <v>40</v>
      </c>
      <c r="M2348" s="1" t="n">
        <f aca="false">(E2348+M2347)-N2348</f>
        <v>19.4099999999997</v>
      </c>
      <c r="N2348" s="1" t="n">
        <v>4.8</v>
      </c>
    </row>
    <row r="2349" customFormat="false" ht="15" hidden="false" customHeight="true" outlineLevel="0" collapsed="false">
      <c r="D2349" s="11"/>
      <c r="H2349" s="1" t="s">
        <v>44</v>
      </c>
      <c r="I2349" s="1" t="s">
        <v>34</v>
      </c>
      <c r="J2349" s="1" t="n">
        <f aca="false">K2348</f>
        <v>45062</v>
      </c>
      <c r="K2349" s="1" t="n">
        <f aca="false">J2349+L2349</f>
        <v>45102</v>
      </c>
      <c r="L2349" s="1" t="n">
        <v>40</v>
      </c>
      <c r="M2349" s="1" t="n">
        <f aca="false">(E2349+M2348)-N2349</f>
        <v>14.6099999999997</v>
      </c>
      <c r="N2349" s="1" t="n">
        <v>4.8</v>
      </c>
    </row>
    <row r="2350" customFormat="false" ht="15" hidden="false" customHeight="true" outlineLevel="0" collapsed="false">
      <c r="D2350" s="11" t="n">
        <v>45959</v>
      </c>
      <c r="E2350" s="0" t="n">
        <v>45.26</v>
      </c>
      <c r="F2350" s="1" t="n">
        <v>65.76</v>
      </c>
      <c r="G2350" s="6" t="n">
        <f aca="false">E2350*F2350</f>
        <v>2976.2976</v>
      </c>
      <c r="H2350" s="1" t="s">
        <v>34</v>
      </c>
      <c r="I2350" s="1" t="s">
        <v>100</v>
      </c>
      <c r="J2350" s="1" t="n">
        <f aca="false">K2349</f>
        <v>45102</v>
      </c>
      <c r="K2350" s="1" t="n">
        <f aca="false">J2350+L2350</f>
        <v>45137</v>
      </c>
      <c r="L2350" s="1" t="n">
        <v>35</v>
      </c>
      <c r="M2350" s="1" t="n">
        <f aca="false">(E2350+M2349)-N2350</f>
        <v>55.6699999999997</v>
      </c>
      <c r="N2350" s="1" t="n">
        <v>4.2</v>
      </c>
    </row>
    <row r="2351" customFormat="false" ht="15" hidden="false" customHeight="true" outlineLevel="0" collapsed="false">
      <c r="D2351" s="11"/>
      <c r="H2351" s="1" t="s">
        <v>100</v>
      </c>
      <c r="I2351" s="1" t="s">
        <v>34</v>
      </c>
      <c r="J2351" s="1" t="n">
        <f aca="false">K2350</f>
        <v>45137</v>
      </c>
      <c r="K2351" s="1" t="n">
        <f aca="false">J2351+L2351</f>
        <v>45172</v>
      </c>
      <c r="L2351" s="1" t="n">
        <v>35</v>
      </c>
      <c r="M2351" s="1" t="n">
        <f aca="false">(E2351+M2350)-N2351</f>
        <v>51.4699999999997</v>
      </c>
      <c r="N2351" s="1" t="n">
        <v>4.2</v>
      </c>
    </row>
    <row r="2352" customFormat="false" ht="15" hidden="false" customHeight="true" outlineLevel="0" collapsed="false">
      <c r="D2352" s="11"/>
      <c r="H2352" s="1" t="s">
        <v>34</v>
      </c>
      <c r="I2352" s="1" t="s">
        <v>35</v>
      </c>
      <c r="J2352" s="1" t="n">
        <f aca="false">K2351</f>
        <v>45172</v>
      </c>
      <c r="K2352" s="1" t="n">
        <f aca="false">J2352+L2352</f>
        <v>45184</v>
      </c>
      <c r="L2352" s="1" t="n">
        <v>12</v>
      </c>
      <c r="M2352" s="1" t="n">
        <f aca="false">(E2352+M2351)-N2352</f>
        <v>50.2199999999997</v>
      </c>
      <c r="N2352" s="1" t="n">
        <v>1.25</v>
      </c>
    </row>
    <row r="2353" customFormat="false" ht="15" hidden="false" customHeight="true" outlineLevel="0" collapsed="false">
      <c r="D2353" s="11"/>
      <c r="H2353" s="1" t="s">
        <v>35</v>
      </c>
      <c r="I2353" s="1" t="s">
        <v>34</v>
      </c>
      <c r="J2353" s="1" t="n">
        <f aca="false">K2352</f>
        <v>45184</v>
      </c>
      <c r="K2353" s="1" t="n">
        <f aca="false">J2353+L2353</f>
        <v>45196</v>
      </c>
      <c r="L2353" s="1" t="n">
        <v>12</v>
      </c>
      <c r="M2353" s="1" t="n">
        <f aca="false">(E2353+M2352)-N2353</f>
        <v>48.9699999999997</v>
      </c>
      <c r="N2353" s="1" t="n">
        <v>1.25</v>
      </c>
    </row>
    <row r="2354" customFormat="false" ht="15" hidden="false" customHeight="true" outlineLevel="0" collapsed="false">
      <c r="D2354" s="11" t="n">
        <v>45960</v>
      </c>
      <c r="H2354" s="1" t="s">
        <v>34</v>
      </c>
      <c r="I2354" s="1" t="s">
        <v>54</v>
      </c>
      <c r="J2354" s="1" t="n">
        <f aca="false">K2353</f>
        <v>45196</v>
      </c>
      <c r="K2354" s="1" t="n">
        <f aca="false">J2354+L2354</f>
        <v>45223</v>
      </c>
      <c r="L2354" s="1" t="n">
        <v>27</v>
      </c>
      <c r="M2354" s="1" t="n">
        <f aca="false">(E2354+M2353)-N2354</f>
        <v>45.7699999999997</v>
      </c>
      <c r="N2354" s="1" t="n">
        <v>3.2</v>
      </c>
    </row>
    <row r="2355" customFormat="false" ht="15" hidden="false" customHeight="true" outlineLevel="0" collapsed="false">
      <c r="D2355" s="11"/>
      <c r="H2355" s="1" t="s">
        <v>54</v>
      </c>
      <c r="I2355" s="1" t="s">
        <v>34</v>
      </c>
      <c r="J2355" s="1" t="n">
        <f aca="false">K2354</f>
        <v>45223</v>
      </c>
      <c r="K2355" s="1" t="n">
        <f aca="false">J2355+L2355</f>
        <v>45250</v>
      </c>
      <c r="L2355" s="1" t="n">
        <v>27</v>
      </c>
      <c r="M2355" s="1" t="n">
        <f aca="false">(E2355+M2354)-N2355</f>
        <v>42.5699999999997</v>
      </c>
      <c r="N2355" s="1" t="n">
        <v>3.2</v>
      </c>
    </row>
    <row r="2356" customFormat="false" ht="15" hidden="false" customHeight="true" outlineLevel="0" collapsed="false">
      <c r="D2356" s="11" t="n">
        <v>45961</v>
      </c>
      <c r="H2356" s="1" t="s">
        <v>34</v>
      </c>
      <c r="I2356" s="1" t="s">
        <v>99</v>
      </c>
      <c r="J2356" s="1" t="n">
        <f aca="false">K2355</f>
        <v>45250</v>
      </c>
      <c r="K2356" s="1" t="n">
        <f aca="false">J2356+L2356</f>
        <v>45285</v>
      </c>
      <c r="L2356" s="1" t="n">
        <v>35</v>
      </c>
      <c r="M2356" s="1" t="n">
        <f aca="false">(E2356+M2355)-N2356</f>
        <v>38.3699999999997</v>
      </c>
      <c r="N2356" s="1" t="n">
        <v>4.2</v>
      </c>
    </row>
    <row r="2357" customFormat="false" ht="15" hidden="false" customHeight="true" outlineLevel="0" collapsed="false">
      <c r="D2357" s="11"/>
      <c r="H2357" s="1" t="s">
        <v>99</v>
      </c>
      <c r="I2357" s="1" t="s">
        <v>34</v>
      </c>
      <c r="J2357" s="1" t="n">
        <f aca="false">K2356</f>
        <v>45285</v>
      </c>
      <c r="K2357" s="1" t="n">
        <f aca="false">J2357+L2357</f>
        <v>45320</v>
      </c>
      <c r="L2357" s="1" t="n">
        <v>35</v>
      </c>
      <c r="M2357" s="1" t="n">
        <f aca="false">(E2357+M2356)-N2357</f>
        <v>34.1699999999997</v>
      </c>
      <c r="N2357" s="1" t="n">
        <v>4.2</v>
      </c>
    </row>
    <row r="2360" customFormat="false" ht="15" hidden="false" customHeight="true" outlineLevel="0" collapsed="false">
      <c r="D2360" s="4" t="s">
        <v>101</v>
      </c>
      <c r="E2360" s="4"/>
      <c r="F2360" s="4"/>
      <c r="G2360" s="4"/>
    </row>
    <row r="2362" customFormat="false" ht="15" hidden="false" customHeight="true" outlineLevel="0" collapsed="false">
      <c r="D2362" s="11" t="n">
        <v>45962</v>
      </c>
      <c r="H2362" s="1" t="s">
        <v>34</v>
      </c>
      <c r="I2362" s="1" t="s">
        <v>102</v>
      </c>
      <c r="J2362" s="1" t="n">
        <f aca="false">K2357</f>
        <v>45320</v>
      </c>
      <c r="K2362" s="1" t="n">
        <f aca="false">J2362+L2362</f>
        <v>45345</v>
      </c>
      <c r="L2362" s="1" t="n">
        <v>25</v>
      </c>
      <c r="M2362" s="1" t="n">
        <f aca="false">(E2362+M2357)-N2362</f>
        <v>31.1699999999997</v>
      </c>
      <c r="N2362" s="1" t="n">
        <v>3</v>
      </c>
    </row>
    <row r="2363" customFormat="false" ht="15" hidden="false" customHeight="true" outlineLevel="0" collapsed="false">
      <c r="D2363" s="11"/>
      <c r="H2363" s="1" t="s">
        <v>102</v>
      </c>
      <c r="I2363" s="1" t="s">
        <v>34</v>
      </c>
      <c r="J2363" s="1" t="n">
        <f aca="false">K2362</f>
        <v>45345</v>
      </c>
      <c r="K2363" s="1" t="n">
        <f aca="false">J2363+L2363</f>
        <v>45370</v>
      </c>
      <c r="L2363" s="1" t="n">
        <v>25</v>
      </c>
      <c r="M2363" s="1" t="n">
        <f aca="false">(E2363+M2362)-N2363</f>
        <v>28.1699999999997</v>
      </c>
      <c r="N2363" s="1" t="n">
        <v>3</v>
      </c>
    </row>
    <row r="2364" customFormat="false" ht="15" hidden="false" customHeight="true" outlineLevel="0" collapsed="false">
      <c r="D2364" s="11" t="n">
        <v>45966</v>
      </c>
      <c r="H2364" s="1" t="s">
        <v>34</v>
      </c>
      <c r="I2364" s="1" t="s">
        <v>35</v>
      </c>
      <c r="J2364" s="1" t="n">
        <f aca="false">K2363</f>
        <v>45370</v>
      </c>
      <c r="K2364" s="1" t="n">
        <f aca="false">J2364+L2364</f>
        <v>45382</v>
      </c>
      <c r="L2364" s="1" t="n">
        <v>12</v>
      </c>
      <c r="M2364" s="1" t="n">
        <f aca="false">(E2364+M2363)-N2364</f>
        <v>26.9199999999997</v>
      </c>
      <c r="N2364" s="1" t="n">
        <v>1.25</v>
      </c>
    </row>
    <row r="2365" customFormat="false" ht="15" hidden="false" customHeight="true" outlineLevel="0" collapsed="false">
      <c r="D2365" s="11"/>
      <c r="H2365" s="1" t="s">
        <v>35</v>
      </c>
      <c r="I2365" s="1" t="s">
        <v>34</v>
      </c>
      <c r="J2365" s="1" t="n">
        <f aca="false">K2364</f>
        <v>45382</v>
      </c>
      <c r="K2365" s="1" t="n">
        <f aca="false">J2365+L2365</f>
        <v>45394</v>
      </c>
      <c r="L2365" s="1" t="n">
        <v>12</v>
      </c>
      <c r="M2365" s="1" t="n">
        <f aca="false">(E2365+M2364)-N2365</f>
        <v>25.6699999999997</v>
      </c>
      <c r="N2365" s="1" t="n">
        <v>1.25</v>
      </c>
    </row>
    <row r="2366" customFormat="false" ht="15" hidden="false" customHeight="true" outlineLevel="0" collapsed="false">
      <c r="D2366" s="11" t="n">
        <v>45967</v>
      </c>
      <c r="H2366" s="1" t="s">
        <v>34</v>
      </c>
      <c r="I2366" s="1" t="s">
        <v>54</v>
      </c>
      <c r="J2366" s="1" t="n">
        <f aca="false">K2365</f>
        <v>45394</v>
      </c>
      <c r="K2366" s="1" t="n">
        <f aca="false">J2366+L2366</f>
        <v>45421</v>
      </c>
      <c r="L2366" s="1" t="n">
        <v>27</v>
      </c>
      <c r="M2366" s="1" t="n">
        <f aca="false">(E2366+M2365)-N2366</f>
        <v>22.4699999999997</v>
      </c>
      <c r="N2366" s="1" t="n">
        <v>3.2</v>
      </c>
    </row>
    <row r="2367" customFormat="false" ht="15" hidden="false" customHeight="true" outlineLevel="0" collapsed="false">
      <c r="D2367" s="11"/>
      <c r="H2367" s="1" t="s">
        <v>54</v>
      </c>
      <c r="I2367" s="1" t="s">
        <v>34</v>
      </c>
      <c r="J2367" s="1" t="n">
        <f aca="false">K2366</f>
        <v>45421</v>
      </c>
      <c r="K2367" s="1" t="n">
        <f aca="false">J2367+L2367</f>
        <v>45448</v>
      </c>
      <c r="L2367" s="1" t="n">
        <v>27</v>
      </c>
      <c r="M2367" s="1" t="n">
        <f aca="false">(E2367+M2366)-N2367</f>
        <v>19.2699999999997</v>
      </c>
      <c r="N2367" s="1" t="n">
        <v>3.2</v>
      </c>
    </row>
    <row r="2368" customFormat="false" ht="15" hidden="false" customHeight="true" outlineLevel="0" collapsed="false">
      <c r="D2368" s="11" t="n">
        <v>45968</v>
      </c>
      <c r="H2368" s="1" t="s">
        <v>34</v>
      </c>
      <c r="I2368" s="1" t="s">
        <v>85</v>
      </c>
      <c r="J2368" s="1" t="n">
        <f aca="false">K2367</f>
        <v>45448</v>
      </c>
      <c r="K2368" s="1" t="n">
        <f aca="false">J2368+L2368</f>
        <v>45492</v>
      </c>
      <c r="L2368" s="1" t="n">
        <v>44</v>
      </c>
      <c r="M2368" s="1" t="n">
        <f aca="false">(E2368+M2367)-N2368</f>
        <v>14.2699999999997</v>
      </c>
      <c r="N2368" s="1" t="n">
        <v>5</v>
      </c>
    </row>
    <row r="2369" customFormat="false" ht="15" hidden="false" customHeight="true" outlineLevel="0" collapsed="false">
      <c r="D2369" s="11"/>
      <c r="H2369" s="1" t="s">
        <v>85</v>
      </c>
      <c r="I2369" s="1" t="s">
        <v>34</v>
      </c>
      <c r="J2369" s="1" t="n">
        <f aca="false">K2368</f>
        <v>45492</v>
      </c>
      <c r="K2369" s="1" t="n">
        <f aca="false">J2369+L2369</f>
        <v>45536</v>
      </c>
      <c r="L2369" s="1" t="n">
        <v>44</v>
      </c>
      <c r="M2369" s="1" t="n">
        <f aca="false">(E2369+M2368)-N2369</f>
        <v>9.26999999999966</v>
      </c>
      <c r="N2369" s="1" t="n">
        <v>5</v>
      </c>
    </row>
    <row r="2370" customFormat="false" ht="15" hidden="false" customHeight="true" outlineLevel="0" collapsed="false">
      <c r="D2370" s="11" t="n">
        <v>45971</v>
      </c>
      <c r="H2370" s="1" t="s">
        <v>34</v>
      </c>
      <c r="I2370" s="1" t="s">
        <v>100</v>
      </c>
      <c r="J2370" s="1" t="n">
        <f aca="false">K2369</f>
        <v>45536</v>
      </c>
      <c r="K2370" s="1" t="n">
        <f aca="false">J2370+L2370</f>
        <v>45571</v>
      </c>
      <c r="L2370" s="1" t="n">
        <v>35</v>
      </c>
      <c r="M2370" s="1" t="n">
        <f aca="false">(E2370+M2369)-N2370</f>
        <v>5.06999999999966</v>
      </c>
      <c r="N2370" s="1" t="n">
        <v>4.2</v>
      </c>
    </row>
    <row r="2371" customFormat="false" ht="15" hidden="false" customHeight="true" outlineLevel="0" collapsed="false">
      <c r="D2371" s="11"/>
      <c r="H2371" s="1" t="s">
        <v>100</v>
      </c>
      <c r="I2371" s="1" t="s">
        <v>34</v>
      </c>
      <c r="J2371" s="1" t="n">
        <f aca="false">K2370</f>
        <v>45571</v>
      </c>
      <c r="K2371" s="1" t="n">
        <f aca="false">J2371+L2371</f>
        <v>45606</v>
      </c>
      <c r="L2371" s="1" t="n">
        <v>35</v>
      </c>
      <c r="M2371" s="1" t="n">
        <f aca="false">(E2371+M2370)-N2371</f>
        <v>0.869999999999662</v>
      </c>
      <c r="N2371" s="1" t="n">
        <v>4.2</v>
      </c>
    </row>
    <row r="2372" customFormat="false" ht="15" hidden="false" customHeight="true" outlineLevel="0" collapsed="false">
      <c r="D2372" s="11" t="n">
        <v>45972</v>
      </c>
      <c r="E2372" s="0" t="n">
        <v>48.08</v>
      </c>
      <c r="F2372" s="1" t="n">
        <v>66.16</v>
      </c>
      <c r="G2372" s="6" t="n">
        <f aca="false">E2372*F2372</f>
        <v>3180.9728</v>
      </c>
      <c r="H2372" s="1" t="s">
        <v>34</v>
      </c>
      <c r="I2372" s="1" t="s">
        <v>54</v>
      </c>
      <c r="J2372" s="1" t="n">
        <f aca="false">K2371</f>
        <v>45606</v>
      </c>
      <c r="K2372" s="1" t="n">
        <f aca="false">J2372+L2372</f>
        <v>45633</v>
      </c>
      <c r="L2372" s="1" t="n">
        <v>27</v>
      </c>
      <c r="M2372" s="1" t="n">
        <f aca="false">(E2372+M2371)-N2372</f>
        <v>45.7499999999997</v>
      </c>
      <c r="N2372" s="1" t="n">
        <v>3.2</v>
      </c>
    </row>
    <row r="2373" customFormat="false" ht="15" hidden="false" customHeight="true" outlineLevel="0" collapsed="false">
      <c r="D2373" s="11"/>
      <c r="H2373" s="1" t="s">
        <v>54</v>
      </c>
      <c r="I2373" s="1" t="s">
        <v>34</v>
      </c>
      <c r="J2373" s="1" t="n">
        <f aca="false">K2372</f>
        <v>45633</v>
      </c>
      <c r="K2373" s="1" t="n">
        <f aca="false">J2373+L2373</f>
        <v>45660</v>
      </c>
      <c r="L2373" s="1" t="n">
        <v>27</v>
      </c>
      <c r="M2373" s="1" t="n">
        <f aca="false">(E2373+M2372)-N2373</f>
        <v>42.5499999999997</v>
      </c>
      <c r="N2373" s="1" t="n">
        <v>3.2</v>
      </c>
    </row>
    <row r="2374" customFormat="false" ht="15" hidden="false" customHeight="true" outlineLevel="0" collapsed="false">
      <c r="D2374" s="11" t="n">
        <v>45973</v>
      </c>
      <c r="H2374" s="1" t="s">
        <v>34</v>
      </c>
      <c r="I2374" s="1" t="s">
        <v>102</v>
      </c>
      <c r="J2374" s="1" t="n">
        <f aca="false">K2373</f>
        <v>45660</v>
      </c>
      <c r="K2374" s="1" t="n">
        <f aca="false">J2374+L2374</f>
        <v>45685</v>
      </c>
      <c r="L2374" s="1" t="n">
        <v>25</v>
      </c>
      <c r="M2374" s="1" t="n">
        <f aca="false">(E2374+M2373)-N2374</f>
        <v>39.5499999999997</v>
      </c>
      <c r="N2374" s="1" t="n">
        <v>3</v>
      </c>
    </row>
    <row r="2375" customFormat="false" ht="15" hidden="false" customHeight="true" outlineLevel="0" collapsed="false">
      <c r="D2375" s="11"/>
      <c r="H2375" s="1" t="s">
        <v>102</v>
      </c>
      <c r="I2375" s="1" t="s">
        <v>34</v>
      </c>
      <c r="J2375" s="1" t="n">
        <f aca="false">K2374</f>
        <v>45685</v>
      </c>
      <c r="K2375" s="1" t="n">
        <f aca="false">J2375+L2375</f>
        <v>45710</v>
      </c>
      <c r="L2375" s="1" t="n">
        <v>25</v>
      </c>
      <c r="M2375" s="1" t="n">
        <f aca="false">(E2375+M2374)-N2375</f>
        <v>36.5499999999997</v>
      </c>
      <c r="N2375" s="1" t="n">
        <v>3</v>
      </c>
    </row>
    <row r="2376" customFormat="false" ht="15" hidden="false" customHeight="true" outlineLevel="0" collapsed="false">
      <c r="D2376" s="11" t="n">
        <v>45974</v>
      </c>
      <c r="H2376" s="1" t="s">
        <v>34</v>
      </c>
      <c r="I2376" s="1" t="s">
        <v>54</v>
      </c>
      <c r="J2376" s="1" t="n">
        <f aca="false">K2375</f>
        <v>45710</v>
      </c>
      <c r="K2376" s="1" t="n">
        <f aca="false">J2376+L2376</f>
        <v>45737</v>
      </c>
      <c r="L2376" s="1" t="n">
        <v>27</v>
      </c>
      <c r="M2376" s="1" t="n">
        <f aca="false">(E2376+M2375)-N2376</f>
        <v>33.3499999999997</v>
      </c>
      <c r="N2376" s="1" t="n">
        <v>3.2</v>
      </c>
    </row>
    <row r="2377" customFormat="false" ht="15" hidden="false" customHeight="true" outlineLevel="0" collapsed="false">
      <c r="D2377" s="11"/>
      <c r="H2377" s="1" t="s">
        <v>54</v>
      </c>
      <c r="I2377" s="1" t="s">
        <v>34</v>
      </c>
      <c r="J2377" s="1" t="n">
        <f aca="false">K2376</f>
        <v>45737</v>
      </c>
      <c r="K2377" s="1" t="n">
        <f aca="false">J2377+L2377</f>
        <v>45764</v>
      </c>
      <c r="L2377" s="1" t="n">
        <v>27</v>
      </c>
      <c r="M2377" s="1" t="n">
        <f aca="false">(E2377+M2376)-N2377</f>
        <v>30.1499999999997</v>
      </c>
      <c r="N2377" s="1" t="n">
        <v>3.2</v>
      </c>
    </row>
    <row r="2378" customFormat="false" ht="15" hidden="false" customHeight="true" outlineLevel="0" collapsed="false">
      <c r="D2378" s="11" t="n">
        <v>45975</v>
      </c>
      <c r="H2378" s="1" t="s">
        <v>34</v>
      </c>
      <c r="I2378" s="1" t="s">
        <v>85</v>
      </c>
      <c r="J2378" s="1" t="n">
        <f aca="false">K2377</f>
        <v>45764</v>
      </c>
      <c r="K2378" s="1" t="n">
        <f aca="false">J2378+L2378</f>
        <v>45808</v>
      </c>
      <c r="L2378" s="1" t="n">
        <v>44</v>
      </c>
      <c r="M2378" s="1" t="n">
        <f aca="false">(E2378+M2377)-N2378</f>
        <v>25.1499999999997</v>
      </c>
      <c r="N2378" s="1" t="n">
        <v>5</v>
      </c>
    </row>
    <row r="2379" customFormat="false" ht="15" hidden="false" customHeight="true" outlineLevel="0" collapsed="false">
      <c r="D2379" s="11"/>
      <c r="H2379" s="1" t="s">
        <v>85</v>
      </c>
      <c r="I2379" s="1" t="s">
        <v>34</v>
      </c>
      <c r="J2379" s="1" t="n">
        <f aca="false">K2378</f>
        <v>45808</v>
      </c>
      <c r="K2379" s="1" t="n">
        <f aca="false">J2379+L2379</f>
        <v>45852</v>
      </c>
      <c r="L2379" s="1" t="n">
        <v>44</v>
      </c>
      <c r="M2379" s="1" t="n">
        <f aca="false">(E2379+M2378)-N2379</f>
        <v>20.1499999999997</v>
      </c>
      <c r="N2379" s="1" t="n">
        <v>5</v>
      </c>
    </row>
    <row r="2380" customFormat="false" ht="15" hidden="false" customHeight="true" outlineLevel="0" collapsed="false">
      <c r="D2380" s="11" t="n">
        <v>45978</v>
      </c>
      <c r="H2380" s="1" t="s">
        <v>34</v>
      </c>
      <c r="I2380" s="1" t="s">
        <v>85</v>
      </c>
      <c r="J2380" s="1" t="n">
        <f aca="false">K2379</f>
        <v>45852</v>
      </c>
      <c r="K2380" s="1" t="n">
        <f aca="false">J2380+L2380</f>
        <v>45896</v>
      </c>
      <c r="L2380" s="1" t="n">
        <v>44</v>
      </c>
      <c r="M2380" s="1" t="n">
        <f aca="false">(E2380+M2379)-N2380</f>
        <v>15.1499999999997</v>
      </c>
      <c r="N2380" s="1" t="n">
        <v>5</v>
      </c>
    </row>
    <row r="2381" customFormat="false" ht="15" hidden="false" customHeight="true" outlineLevel="0" collapsed="false">
      <c r="D2381" s="11"/>
      <c r="H2381" s="1" t="s">
        <v>85</v>
      </c>
      <c r="I2381" s="1" t="s">
        <v>34</v>
      </c>
      <c r="J2381" s="1" t="n">
        <f aca="false">K2380</f>
        <v>45896</v>
      </c>
      <c r="K2381" s="1" t="n">
        <f aca="false">J2381+L2381</f>
        <v>45940</v>
      </c>
      <c r="L2381" s="1" t="n">
        <v>44</v>
      </c>
      <c r="M2381" s="1" t="n">
        <f aca="false">(E2381+M2380)-N2381</f>
        <v>10.1499999999997</v>
      </c>
      <c r="N2381" s="1" t="n">
        <v>5</v>
      </c>
    </row>
    <row r="2382" customFormat="false" ht="15" hidden="false" customHeight="true" outlineLevel="0" collapsed="false">
      <c r="D2382" s="11"/>
      <c r="H2382" s="1" t="s">
        <v>34</v>
      </c>
      <c r="I2382" s="1" t="s">
        <v>54</v>
      </c>
      <c r="J2382" s="1" t="n">
        <f aca="false">K2381</f>
        <v>45940</v>
      </c>
      <c r="K2382" s="1" t="n">
        <f aca="false">J2382+L2382</f>
        <v>45967</v>
      </c>
      <c r="L2382" s="1" t="n">
        <v>27</v>
      </c>
      <c r="M2382" s="1" t="n">
        <f aca="false">(E2382+M2381)-N2382</f>
        <v>6.94999999999965</v>
      </c>
      <c r="N2382" s="1" t="n">
        <v>3.2</v>
      </c>
    </row>
    <row r="2383" customFormat="false" ht="15" hidden="false" customHeight="true" outlineLevel="0" collapsed="false">
      <c r="D2383" s="11"/>
      <c r="H2383" s="1" t="s">
        <v>54</v>
      </c>
      <c r="I2383" s="1" t="s">
        <v>34</v>
      </c>
      <c r="J2383" s="1" t="n">
        <f aca="false">K2382</f>
        <v>45967</v>
      </c>
      <c r="K2383" s="1" t="n">
        <f aca="false">J2383+L2383</f>
        <v>45994</v>
      </c>
      <c r="L2383" s="1" t="n">
        <v>27</v>
      </c>
      <c r="M2383" s="1" t="n">
        <f aca="false">(E2383+M2382)-N2383</f>
        <v>3.74999999999965</v>
      </c>
      <c r="N2383" s="1" t="n">
        <v>3.2</v>
      </c>
    </row>
    <row r="2384" customFormat="false" ht="15" hidden="false" customHeight="true" outlineLevel="0" collapsed="false">
      <c r="D2384" s="11" t="n">
        <v>45979</v>
      </c>
      <c r="E2384" s="0" t="n">
        <v>46.79</v>
      </c>
      <c r="F2384" s="1" t="n">
        <v>65.76</v>
      </c>
      <c r="G2384" s="6" t="n">
        <f aca="false">E2384*F2384</f>
        <v>3076.9104</v>
      </c>
      <c r="H2384" s="1" t="s">
        <v>34</v>
      </c>
      <c r="I2384" s="1" t="s">
        <v>102</v>
      </c>
      <c r="J2384" s="1" t="n">
        <f aca="false">K2383</f>
        <v>45994</v>
      </c>
      <c r="K2384" s="1" t="n">
        <f aca="false">J2384+L2384</f>
        <v>46019</v>
      </c>
      <c r="L2384" s="1" t="n">
        <v>25</v>
      </c>
      <c r="M2384" s="1" t="n">
        <f aca="false">(E2384+M2383)-N2384</f>
        <v>47.5399999999997</v>
      </c>
      <c r="N2384" s="1" t="n">
        <v>3</v>
      </c>
    </row>
    <row r="2385" customFormat="false" ht="15" hidden="false" customHeight="true" outlineLevel="0" collapsed="false">
      <c r="D2385" s="11"/>
      <c r="H2385" s="1" t="s">
        <v>102</v>
      </c>
      <c r="I2385" s="1" t="s">
        <v>34</v>
      </c>
      <c r="J2385" s="1" t="n">
        <f aca="false">K2384</f>
        <v>46019</v>
      </c>
      <c r="K2385" s="1" t="n">
        <f aca="false">J2385+L2385</f>
        <v>46044</v>
      </c>
      <c r="L2385" s="1" t="n">
        <v>25</v>
      </c>
      <c r="M2385" s="1" t="n">
        <f aca="false">(E2385+M2384)-N2385</f>
        <v>44.5399999999997</v>
      </c>
      <c r="N2385" s="1" t="n">
        <v>3</v>
      </c>
    </row>
    <row r="2386" customFormat="false" ht="15" hidden="false" customHeight="true" outlineLevel="0" collapsed="false">
      <c r="D2386" s="11" t="n">
        <v>45980</v>
      </c>
      <c r="H2386" s="1" t="s">
        <v>34</v>
      </c>
      <c r="I2386" s="1" t="s">
        <v>54</v>
      </c>
      <c r="J2386" s="1" t="n">
        <f aca="false">K2385</f>
        <v>46044</v>
      </c>
      <c r="K2386" s="1" t="n">
        <f aca="false">J2386+L2386</f>
        <v>46071</v>
      </c>
      <c r="L2386" s="1" t="n">
        <v>27</v>
      </c>
      <c r="M2386" s="1" t="n">
        <f aca="false">(E2386+M2385)-N2386</f>
        <v>41.3399999999997</v>
      </c>
      <c r="N2386" s="1" t="n">
        <v>3.2</v>
      </c>
    </row>
    <row r="2387" customFormat="false" ht="15" hidden="false" customHeight="true" outlineLevel="0" collapsed="false">
      <c r="D2387" s="11"/>
      <c r="H2387" s="1" t="s">
        <v>54</v>
      </c>
      <c r="I2387" s="1" t="s">
        <v>34</v>
      </c>
      <c r="J2387" s="1" t="n">
        <f aca="false">K2386</f>
        <v>46071</v>
      </c>
      <c r="K2387" s="1" t="n">
        <f aca="false">J2387+L2387</f>
        <v>46098</v>
      </c>
      <c r="L2387" s="1" t="n">
        <v>27</v>
      </c>
      <c r="M2387" s="1" t="n">
        <f aca="false">(E2387+M2386)-N2387</f>
        <v>38.1399999999996</v>
      </c>
      <c r="N2387" s="1" t="n">
        <v>3.2</v>
      </c>
    </row>
    <row r="2388" customFormat="false" ht="15" hidden="false" customHeight="true" outlineLevel="0" collapsed="false">
      <c r="D2388" s="11" t="n">
        <v>45981</v>
      </c>
      <c r="H2388" s="1" t="s">
        <v>34</v>
      </c>
      <c r="I2388" s="1" t="s">
        <v>54</v>
      </c>
      <c r="J2388" s="1" t="n">
        <f aca="false">K2387</f>
        <v>46098</v>
      </c>
      <c r="K2388" s="1" t="n">
        <f aca="false">J2388+L2388</f>
        <v>46125</v>
      </c>
      <c r="L2388" s="1" t="n">
        <v>27</v>
      </c>
      <c r="M2388" s="1" t="n">
        <f aca="false">(E2388+M2387)-N2388</f>
        <v>34.9399999999996</v>
      </c>
      <c r="N2388" s="1" t="n">
        <v>3.2</v>
      </c>
    </row>
    <row r="2389" customFormat="false" ht="15" hidden="false" customHeight="true" outlineLevel="0" collapsed="false">
      <c r="D2389" s="11"/>
      <c r="H2389" s="1" t="s">
        <v>54</v>
      </c>
      <c r="I2389" s="1" t="s">
        <v>34</v>
      </c>
      <c r="J2389" s="1" t="n">
        <f aca="false">K2388</f>
        <v>46125</v>
      </c>
      <c r="K2389" s="1" t="n">
        <f aca="false">J2389+L2389</f>
        <v>46152</v>
      </c>
      <c r="L2389" s="1" t="n">
        <v>27</v>
      </c>
      <c r="M2389" s="1" t="n">
        <f aca="false">(E2389+M2388)-N2389</f>
        <v>31.7399999999996</v>
      </c>
      <c r="N2389" s="1" t="n">
        <v>3.2</v>
      </c>
    </row>
    <row r="2390" customFormat="false" ht="15" hidden="false" customHeight="true" outlineLevel="0" collapsed="false">
      <c r="D2390" s="11" t="n">
        <v>45982</v>
      </c>
      <c r="H2390" s="1" t="s">
        <v>34</v>
      </c>
      <c r="I2390" s="1" t="s">
        <v>43</v>
      </c>
      <c r="J2390" s="1" t="n">
        <f aca="false">K2389</f>
        <v>46152</v>
      </c>
      <c r="K2390" s="1" t="n">
        <f aca="false">J2390+L2390</f>
        <v>46164</v>
      </c>
      <c r="L2390" s="1" t="n">
        <v>12</v>
      </c>
      <c r="M2390" s="1" t="n">
        <f aca="false">(E2390+M2389)-N2390</f>
        <v>30.4899999999996</v>
      </c>
      <c r="N2390" s="1" t="n">
        <v>1.25</v>
      </c>
    </row>
    <row r="2391" customFormat="false" ht="15" hidden="false" customHeight="true" outlineLevel="0" collapsed="false">
      <c r="D2391" s="11"/>
      <c r="H2391" s="1" t="s">
        <v>43</v>
      </c>
      <c r="I2391" s="1" t="s">
        <v>34</v>
      </c>
      <c r="J2391" s="1" t="n">
        <f aca="false">K2390</f>
        <v>46164</v>
      </c>
      <c r="K2391" s="1" t="n">
        <f aca="false">J2391+L2391</f>
        <v>46176</v>
      </c>
      <c r="L2391" s="1" t="n">
        <v>12</v>
      </c>
      <c r="M2391" s="1" t="n">
        <f aca="false">(E2391+M2390)-N2391</f>
        <v>29.2399999999996</v>
      </c>
      <c r="N2391" s="1" t="n">
        <v>1.25</v>
      </c>
    </row>
    <row r="2392" customFormat="false" ht="15" hidden="false" customHeight="true" outlineLevel="0" collapsed="false">
      <c r="D2392" s="11" t="n">
        <v>45985</v>
      </c>
      <c r="H2392" s="1" t="s">
        <v>34</v>
      </c>
      <c r="I2392" s="1" t="s">
        <v>44</v>
      </c>
      <c r="J2392" s="1" t="n">
        <f aca="false">K2391</f>
        <v>46176</v>
      </c>
      <c r="K2392" s="1" t="n">
        <f aca="false">J2392+L2392</f>
        <v>46216</v>
      </c>
      <c r="L2392" s="1" t="n">
        <v>40</v>
      </c>
      <c r="M2392" s="1" t="n">
        <f aca="false">(E2392+M2391)-N2392</f>
        <v>24.4399999999996</v>
      </c>
      <c r="N2392" s="1" t="n">
        <v>4.8</v>
      </c>
    </row>
    <row r="2393" customFormat="false" ht="15" hidden="false" customHeight="true" outlineLevel="0" collapsed="false">
      <c r="D2393" s="11"/>
      <c r="H2393" s="1" t="s">
        <v>44</v>
      </c>
      <c r="I2393" s="1" t="s">
        <v>34</v>
      </c>
      <c r="J2393" s="1" t="n">
        <f aca="false">K2392</f>
        <v>46216</v>
      </c>
      <c r="K2393" s="1" t="n">
        <f aca="false">J2393+L2393</f>
        <v>46256</v>
      </c>
      <c r="L2393" s="1" t="n">
        <v>40</v>
      </c>
      <c r="M2393" s="1" t="n">
        <f aca="false">(E2393+M2392)-N2393</f>
        <v>19.6399999999996</v>
      </c>
      <c r="N2393" s="1" t="n">
        <v>4.8</v>
      </c>
    </row>
    <row r="2394" customFormat="false" ht="15" hidden="false" customHeight="true" outlineLevel="0" collapsed="false">
      <c r="D2394" s="11" t="n">
        <v>45986</v>
      </c>
      <c r="H2394" s="1" t="s">
        <v>34</v>
      </c>
      <c r="I2394" s="1" t="s">
        <v>35</v>
      </c>
      <c r="J2394" s="1" t="n">
        <f aca="false">K2393</f>
        <v>46256</v>
      </c>
      <c r="K2394" s="1" t="n">
        <f aca="false">J2394+L2394</f>
        <v>46268</v>
      </c>
      <c r="L2394" s="1" t="n">
        <v>12</v>
      </c>
      <c r="M2394" s="1" t="n">
        <f aca="false">(E2394+M2393)-N2394</f>
        <v>18.3899999999996</v>
      </c>
      <c r="N2394" s="1" t="n">
        <v>1.25</v>
      </c>
    </row>
    <row r="2395" customFormat="false" ht="15" hidden="false" customHeight="true" outlineLevel="0" collapsed="false">
      <c r="D2395" s="11"/>
      <c r="H2395" s="1" t="s">
        <v>35</v>
      </c>
      <c r="I2395" s="1" t="s">
        <v>34</v>
      </c>
      <c r="J2395" s="1" t="n">
        <f aca="false">K2394</f>
        <v>46268</v>
      </c>
      <c r="K2395" s="1" t="n">
        <f aca="false">J2395+L2395</f>
        <v>46280</v>
      </c>
      <c r="L2395" s="1" t="n">
        <v>12</v>
      </c>
      <c r="M2395" s="1" t="n">
        <f aca="false">(E2395+M2394)-N2395</f>
        <v>17.1399999999996</v>
      </c>
      <c r="N2395" s="1" t="n">
        <v>1.25</v>
      </c>
    </row>
    <row r="2396" customFormat="false" ht="15" hidden="false" customHeight="true" outlineLevel="0" collapsed="false">
      <c r="D2396" s="11" t="n">
        <v>45987</v>
      </c>
      <c r="H2396" s="1" t="s">
        <v>34</v>
      </c>
      <c r="I2396" s="1" t="s">
        <v>54</v>
      </c>
      <c r="J2396" s="1" t="n">
        <f aca="false">K2395</f>
        <v>46280</v>
      </c>
      <c r="K2396" s="1" t="n">
        <f aca="false">J2396+L2396</f>
        <v>46307</v>
      </c>
      <c r="L2396" s="1" t="n">
        <v>27</v>
      </c>
      <c r="M2396" s="1" t="n">
        <f aca="false">(E2396+M2395)-N2396</f>
        <v>13.9399999999996</v>
      </c>
      <c r="N2396" s="1" t="n">
        <v>3.2</v>
      </c>
    </row>
    <row r="2397" customFormat="false" ht="15" hidden="false" customHeight="true" outlineLevel="0" collapsed="false">
      <c r="D2397" s="11"/>
      <c r="H2397" s="1" t="s">
        <v>54</v>
      </c>
      <c r="I2397" s="1" t="s">
        <v>34</v>
      </c>
      <c r="J2397" s="1" t="n">
        <f aca="false">K2396</f>
        <v>46307</v>
      </c>
      <c r="K2397" s="1" t="n">
        <f aca="false">J2397+L2397</f>
        <v>46334</v>
      </c>
      <c r="L2397" s="1" t="n">
        <v>27</v>
      </c>
      <c r="M2397" s="1" t="n">
        <f aca="false">(E2397+M2396)-N2397</f>
        <v>10.7399999999996</v>
      </c>
      <c r="N2397" s="1" t="n">
        <v>3.2</v>
      </c>
    </row>
    <row r="2398" customFormat="false" ht="15" hidden="false" customHeight="true" outlineLevel="0" collapsed="false">
      <c r="D2398" s="11" t="n">
        <v>45988</v>
      </c>
      <c r="H2398" s="1" t="s">
        <v>34</v>
      </c>
      <c r="I2398" s="1" t="s">
        <v>102</v>
      </c>
      <c r="J2398" s="1" t="n">
        <f aca="false">K2397</f>
        <v>46334</v>
      </c>
      <c r="K2398" s="1" t="n">
        <f aca="false">J2398+L2398</f>
        <v>46359</v>
      </c>
      <c r="L2398" s="1" t="n">
        <v>25</v>
      </c>
      <c r="M2398" s="1" t="n">
        <f aca="false">(E2398+M2397)-N2398</f>
        <v>7.73999999999964</v>
      </c>
      <c r="N2398" s="1" t="n">
        <v>3</v>
      </c>
    </row>
    <row r="2399" customFormat="false" ht="15" hidden="false" customHeight="true" outlineLevel="0" collapsed="false">
      <c r="D2399" s="11"/>
      <c r="H2399" s="1" t="s">
        <v>102</v>
      </c>
      <c r="I2399" s="1" t="s">
        <v>34</v>
      </c>
      <c r="J2399" s="1" t="n">
        <f aca="false">K2398</f>
        <v>46359</v>
      </c>
      <c r="K2399" s="1" t="n">
        <f aca="false">J2399+L2399</f>
        <v>46384</v>
      </c>
      <c r="L2399" s="1" t="n">
        <v>25</v>
      </c>
      <c r="M2399" s="1" t="n">
        <f aca="false">(E2399+M2398)-N2399</f>
        <v>4.73999999999964</v>
      </c>
      <c r="N2399" s="1" t="n">
        <v>3</v>
      </c>
    </row>
    <row r="2400" customFormat="false" ht="15" hidden="false" customHeight="true" outlineLevel="0" collapsed="false">
      <c r="D2400" s="11" t="n">
        <v>45989</v>
      </c>
      <c r="H2400" s="1" t="s">
        <v>34</v>
      </c>
      <c r="I2400" s="1" t="s">
        <v>43</v>
      </c>
      <c r="J2400" s="1" t="n">
        <f aca="false">K2399</f>
        <v>46384</v>
      </c>
      <c r="K2400" s="1" t="n">
        <f aca="false">J2400+L2400</f>
        <v>46396</v>
      </c>
      <c r="L2400" s="1" t="n">
        <v>12</v>
      </c>
      <c r="M2400" s="1" t="n">
        <f aca="false">(E2400+M2399)-N2400</f>
        <v>3.48999999999964</v>
      </c>
      <c r="N2400" s="1" t="n">
        <v>1.25</v>
      </c>
    </row>
    <row r="2401" customFormat="false" ht="15" hidden="false" customHeight="true" outlineLevel="0" collapsed="false">
      <c r="H2401" s="1" t="s">
        <v>43</v>
      </c>
      <c r="I2401" s="1" t="s">
        <v>34</v>
      </c>
      <c r="J2401" s="1" t="n">
        <f aca="false">K2400</f>
        <v>46396</v>
      </c>
      <c r="K2401" s="1" t="n">
        <f aca="false">J2401+L2401</f>
        <v>46408</v>
      </c>
      <c r="L2401" s="1" t="n">
        <v>12</v>
      </c>
      <c r="M2401" s="1" t="n">
        <f aca="false">(E2401+M2400)-N2401</f>
        <v>2.23999999999964</v>
      </c>
      <c r="N2401" s="1" t="n">
        <v>1.25</v>
      </c>
    </row>
    <row r="2404" customFormat="false" ht="15" hidden="false" customHeight="true" outlineLevel="0" collapsed="false">
      <c r="D2404" s="4" t="s">
        <v>103</v>
      </c>
      <c r="E2404" s="4"/>
      <c r="F2404" s="4"/>
      <c r="G2404" s="4"/>
    </row>
    <row r="2406" customFormat="false" ht="15" hidden="false" customHeight="true" outlineLevel="0" collapsed="false">
      <c r="D2406" s="11" t="n">
        <v>45992</v>
      </c>
      <c r="E2406" s="0" t="n">
        <v>50.12</v>
      </c>
      <c r="F2406" s="1" t="n">
        <v>66.16</v>
      </c>
      <c r="G2406" s="6" t="n">
        <f aca="false">E2406*F2406</f>
        <v>3315.9392</v>
      </c>
      <c r="H2406" s="1" t="s">
        <v>34</v>
      </c>
      <c r="I2406" s="1" t="s">
        <v>102</v>
      </c>
      <c r="J2406" s="1" t="n">
        <f aca="false">K2401</f>
        <v>46408</v>
      </c>
      <c r="K2406" s="1" t="n">
        <f aca="false">J2406+L2406</f>
        <v>46433</v>
      </c>
      <c r="L2406" s="1" t="n">
        <v>25</v>
      </c>
      <c r="M2406" s="1" t="n">
        <f aca="false">(E2406+M2401)-N2406</f>
        <v>49.3599999999996</v>
      </c>
      <c r="N2406" s="1" t="n">
        <v>3</v>
      </c>
    </row>
    <row r="2407" customFormat="false" ht="15" hidden="false" customHeight="true" outlineLevel="0" collapsed="false">
      <c r="D2407" s="11"/>
      <c r="H2407" s="1" t="s">
        <v>102</v>
      </c>
      <c r="I2407" s="1" t="s">
        <v>34</v>
      </c>
      <c r="J2407" s="1" t="n">
        <f aca="false">K2406</f>
        <v>46433</v>
      </c>
      <c r="K2407" s="1" t="n">
        <f aca="false">J2407+L2407</f>
        <v>46458</v>
      </c>
      <c r="L2407" s="1" t="n">
        <v>25</v>
      </c>
      <c r="M2407" s="1" t="n">
        <f aca="false">(E2407+M2406)-N2407</f>
        <v>46.3599999999996</v>
      </c>
      <c r="N2407" s="1" t="n">
        <v>3</v>
      </c>
    </row>
    <row r="2408" customFormat="false" ht="15" hidden="false" customHeight="true" outlineLevel="0" collapsed="false">
      <c r="D2408" s="11" t="n">
        <v>45993</v>
      </c>
      <c r="H2408" s="1" t="s">
        <v>34</v>
      </c>
      <c r="I2408" s="1" t="s">
        <v>54</v>
      </c>
      <c r="J2408" s="1" t="n">
        <f aca="false">K2407</f>
        <v>46458</v>
      </c>
      <c r="K2408" s="1" t="n">
        <f aca="false">J2408+L2408</f>
        <v>46485</v>
      </c>
      <c r="L2408" s="1" t="n">
        <v>27</v>
      </c>
      <c r="M2408" s="1" t="n">
        <f aca="false">(E2408+M2407)-N2408</f>
        <v>43.1599999999996</v>
      </c>
      <c r="N2408" s="1" t="n">
        <v>3.2</v>
      </c>
    </row>
    <row r="2409" customFormat="false" ht="15" hidden="false" customHeight="true" outlineLevel="0" collapsed="false">
      <c r="D2409" s="11"/>
      <c r="H2409" s="1" t="s">
        <v>54</v>
      </c>
      <c r="I2409" s="1" t="s">
        <v>34</v>
      </c>
      <c r="J2409" s="1" t="n">
        <f aca="false">K2408</f>
        <v>46485</v>
      </c>
      <c r="K2409" s="1" t="n">
        <f aca="false">J2409+L2409</f>
        <v>46512</v>
      </c>
      <c r="L2409" s="1" t="n">
        <v>27</v>
      </c>
      <c r="M2409" s="1" t="n">
        <f aca="false">(E2409+M2408)-N2409</f>
        <v>39.9599999999996</v>
      </c>
      <c r="N2409" s="1" t="n">
        <v>3.2</v>
      </c>
    </row>
    <row r="2410" customFormat="false" ht="15" hidden="false" customHeight="true" outlineLevel="0" collapsed="false">
      <c r="D2410" s="11" t="n">
        <v>45994</v>
      </c>
      <c r="H2410" s="1" t="s">
        <v>34</v>
      </c>
      <c r="I2410" s="1" t="s">
        <v>102</v>
      </c>
      <c r="J2410" s="1" t="n">
        <f aca="false">K2409</f>
        <v>46512</v>
      </c>
      <c r="K2410" s="1" t="n">
        <f aca="false">J2410+L2410</f>
        <v>46537</v>
      </c>
      <c r="L2410" s="1" t="n">
        <v>25</v>
      </c>
      <c r="M2410" s="1" t="n">
        <f aca="false">(E2410+M2409)-N2410</f>
        <v>36.9599999999996</v>
      </c>
      <c r="N2410" s="1" t="n">
        <v>3</v>
      </c>
    </row>
    <row r="2411" customFormat="false" ht="15" hidden="false" customHeight="true" outlineLevel="0" collapsed="false">
      <c r="D2411" s="11"/>
      <c r="H2411" s="1" t="s">
        <v>102</v>
      </c>
      <c r="I2411" s="1" t="s">
        <v>34</v>
      </c>
      <c r="J2411" s="1" t="n">
        <f aca="false">K2410</f>
        <v>46537</v>
      </c>
      <c r="K2411" s="1" t="n">
        <f aca="false">J2411+L2411</f>
        <v>46562</v>
      </c>
      <c r="L2411" s="1" t="n">
        <v>25</v>
      </c>
      <c r="M2411" s="1" t="n">
        <f aca="false">(E2411+M2410)-N2411</f>
        <v>33.9599999999996</v>
      </c>
      <c r="N2411" s="1" t="n">
        <v>3</v>
      </c>
    </row>
    <row r="2412" customFormat="false" ht="15" hidden="false" customHeight="true" outlineLevel="0" collapsed="false">
      <c r="D2412" s="11" t="n">
        <v>45995</v>
      </c>
      <c r="H2412" s="1" t="s">
        <v>34</v>
      </c>
      <c r="I2412" s="1" t="s">
        <v>100</v>
      </c>
      <c r="J2412" s="1" t="n">
        <f aca="false">K2411</f>
        <v>46562</v>
      </c>
      <c r="K2412" s="1" t="n">
        <f aca="false">J2412+L2412</f>
        <v>46597</v>
      </c>
      <c r="L2412" s="1" t="n">
        <v>35</v>
      </c>
      <c r="M2412" s="1" t="n">
        <f aca="false">(E2412+M2411)-N2412</f>
        <v>29.7599999999996</v>
      </c>
      <c r="N2412" s="1" t="n">
        <v>4.2</v>
      </c>
    </row>
    <row r="2413" customFormat="false" ht="15" hidden="false" customHeight="true" outlineLevel="0" collapsed="false">
      <c r="D2413" s="11"/>
      <c r="H2413" s="1" t="s">
        <v>100</v>
      </c>
      <c r="I2413" s="1" t="s">
        <v>34</v>
      </c>
      <c r="J2413" s="1" t="n">
        <f aca="false">K2412</f>
        <v>46597</v>
      </c>
      <c r="K2413" s="1" t="n">
        <f aca="false">J2413+L2413</f>
        <v>46632</v>
      </c>
      <c r="L2413" s="1" t="n">
        <v>35</v>
      </c>
      <c r="M2413" s="1" t="n">
        <f aca="false">(E2413+M2412)-N2413</f>
        <v>25.5599999999996</v>
      </c>
      <c r="N2413" s="1" t="n">
        <v>4.2</v>
      </c>
    </row>
    <row r="2414" customFormat="false" ht="15" hidden="false" customHeight="true" outlineLevel="0" collapsed="false">
      <c r="D2414" s="11" t="n">
        <v>45996</v>
      </c>
      <c r="H2414" s="1" t="s">
        <v>34</v>
      </c>
      <c r="I2414" s="1" t="s">
        <v>85</v>
      </c>
      <c r="J2414" s="1" t="n">
        <f aca="false">K2413</f>
        <v>46632</v>
      </c>
      <c r="K2414" s="1" t="n">
        <f aca="false">J2414+L2414</f>
        <v>46676</v>
      </c>
      <c r="L2414" s="1" t="n">
        <v>44</v>
      </c>
      <c r="M2414" s="1" t="n">
        <f aca="false">(E2414+M2413)-N2414</f>
        <v>20.5599999999996</v>
      </c>
      <c r="N2414" s="1" t="n">
        <v>5</v>
      </c>
    </row>
    <row r="2415" customFormat="false" ht="15" hidden="false" customHeight="true" outlineLevel="0" collapsed="false">
      <c r="D2415" s="11"/>
      <c r="H2415" s="1" t="s">
        <v>85</v>
      </c>
      <c r="I2415" s="1" t="s">
        <v>34</v>
      </c>
      <c r="J2415" s="1" t="n">
        <f aca="false">K2414</f>
        <v>46676</v>
      </c>
      <c r="K2415" s="1" t="n">
        <f aca="false">J2415+L2415</f>
        <v>46720</v>
      </c>
      <c r="L2415" s="1" t="n">
        <v>44</v>
      </c>
      <c r="M2415" s="1" t="n">
        <f aca="false">(E2415+M2414)-N2415</f>
        <v>15.5599999999996</v>
      </c>
      <c r="N2415" s="1" t="n">
        <v>5</v>
      </c>
    </row>
    <row r="2416" customFormat="false" ht="15" hidden="false" customHeight="true" outlineLevel="0" collapsed="false">
      <c r="D2416" s="11" t="n">
        <v>45999</v>
      </c>
      <c r="E2416" s="0" t="n">
        <v>45.09</v>
      </c>
      <c r="F2416" s="1" t="n">
        <v>65.76</v>
      </c>
      <c r="G2416" s="6" t="n">
        <f aca="false">E2416*F2416</f>
        <v>2965.1184</v>
      </c>
      <c r="H2416" s="1" t="s">
        <v>34</v>
      </c>
      <c r="I2416" s="1" t="s">
        <v>44</v>
      </c>
      <c r="J2416" s="1" t="n">
        <f aca="false">K2415</f>
        <v>46720</v>
      </c>
      <c r="K2416" s="1" t="n">
        <f aca="false">J2416+L2416</f>
        <v>46760</v>
      </c>
      <c r="L2416" s="1" t="n">
        <v>40</v>
      </c>
      <c r="M2416" s="1" t="n">
        <f aca="false">(E2416+M2415)-N2416</f>
        <v>55.8499999999996</v>
      </c>
      <c r="N2416" s="1" t="n">
        <v>4.8</v>
      </c>
    </row>
    <row r="2417" customFormat="false" ht="15" hidden="false" customHeight="true" outlineLevel="0" collapsed="false">
      <c r="D2417" s="11"/>
      <c r="H2417" s="1" t="s">
        <v>44</v>
      </c>
      <c r="I2417" s="1" t="s">
        <v>34</v>
      </c>
      <c r="J2417" s="1" t="n">
        <f aca="false">K2416</f>
        <v>46760</v>
      </c>
      <c r="K2417" s="1" t="n">
        <f aca="false">J2417+L2417</f>
        <v>46800</v>
      </c>
      <c r="L2417" s="1" t="n">
        <v>40</v>
      </c>
      <c r="M2417" s="1" t="n">
        <f aca="false">(E2417+M2416)-N2417</f>
        <v>51.0499999999997</v>
      </c>
      <c r="N2417" s="1" t="n">
        <v>4.8</v>
      </c>
    </row>
    <row r="2418" customFormat="false" ht="15" hidden="false" customHeight="true" outlineLevel="0" collapsed="false">
      <c r="D2418" s="11" t="n">
        <v>46000</v>
      </c>
      <c r="H2418" s="1" t="s">
        <v>34</v>
      </c>
      <c r="I2418" s="1" t="s">
        <v>85</v>
      </c>
      <c r="J2418" s="1" t="n">
        <f aca="false">K2417</f>
        <v>46800</v>
      </c>
      <c r="K2418" s="1" t="n">
        <f aca="false">J2418+L2418</f>
        <v>46844</v>
      </c>
      <c r="L2418" s="1" t="n">
        <v>44</v>
      </c>
      <c r="M2418" s="1" t="n">
        <f aca="false">(E2418+M2417)-N2418</f>
        <v>46.0499999999997</v>
      </c>
      <c r="N2418" s="1" t="n">
        <v>5</v>
      </c>
    </row>
    <row r="2419" customFormat="false" ht="15" hidden="false" customHeight="true" outlineLevel="0" collapsed="false">
      <c r="D2419" s="11"/>
      <c r="H2419" s="1" t="s">
        <v>85</v>
      </c>
      <c r="I2419" s="1" t="s">
        <v>34</v>
      </c>
      <c r="J2419" s="1" t="n">
        <f aca="false">K2418</f>
        <v>46844</v>
      </c>
      <c r="K2419" s="1" t="n">
        <f aca="false">J2419+L2419</f>
        <v>46888</v>
      </c>
      <c r="L2419" s="1" t="n">
        <v>44</v>
      </c>
      <c r="M2419" s="1" t="n">
        <f aca="false">(E2419+M2418)-N2419</f>
        <v>41.0499999999997</v>
      </c>
      <c r="N2419" s="1" t="n">
        <v>5</v>
      </c>
    </row>
    <row r="2420" customFormat="false" ht="15" hidden="false" customHeight="true" outlineLevel="0" collapsed="false">
      <c r="D2420" s="11" t="n">
        <v>46001</v>
      </c>
      <c r="H2420" s="1" t="s">
        <v>34</v>
      </c>
      <c r="I2420" s="1" t="s">
        <v>100</v>
      </c>
      <c r="J2420" s="1" t="n">
        <f aca="false">K2419</f>
        <v>46888</v>
      </c>
      <c r="K2420" s="1" t="n">
        <f aca="false">J2420+L2420</f>
        <v>46923</v>
      </c>
      <c r="L2420" s="1" t="n">
        <v>35</v>
      </c>
      <c r="M2420" s="1" t="n">
        <f aca="false">(E2420+M2419)-N2420</f>
        <v>36.8499999999996</v>
      </c>
      <c r="N2420" s="1" t="n">
        <v>4.2</v>
      </c>
    </row>
    <row r="2421" customFormat="false" ht="15" hidden="false" customHeight="true" outlineLevel="0" collapsed="false">
      <c r="D2421" s="11"/>
      <c r="H2421" s="1" t="s">
        <v>100</v>
      </c>
      <c r="I2421" s="1" t="s">
        <v>34</v>
      </c>
      <c r="J2421" s="1" t="n">
        <f aca="false">K2420</f>
        <v>46923</v>
      </c>
      <c r="K2421" s="1" t="n">
        <f aca="false">J2421+L2421</f>
        <v>46958</v>
      </c>
      <c r="L2421" s="1" t="n">
        <v>35</v>
      </c>
      <c r="M2421" s="1" t="n">
        <f aca="false">(E2421+M2420)-N2421</f>
        <v>32.6499999999996</v>
      </c>
      <c r="N2421" s="1" t="n">
        <v>4.2</v>
      </c>
    </row>
    <row r="2422" customFormat="false" ht="15" hidden="false" customHeight="true" outlineLevel="0" collapsed="false">
      <c r="D2422" s="11" t="n">
        <v>46002</v>
      </c>
      <c r="H2422" s="1" t="s">
        <v>34</v>
      </c>
      <c r="I2422" s="1" t="s">
        <v>54</v>
      </c>
      <c r="J2422" s="1" t="n">
        <f aca="false">K2421</f>
        <v>46958</v>
      </c>
      <c r="K2422" s="1" t="n">
        <f aca="false">J2422+L2422</f>
        <v>46985</v>
      </c>
      <c r="L2422" s="1" t="n">
        <v>27</v>
      </c>
      <c r="M2422" s="1" t="n">
        <f aca="false">(E2422+M2421)-N2422</f>
        <v>29.4499999999996</v>
      </c>
      <c r="N2422" s="1" t="n">
        <v>3.2</v>
      </c>
    </row>
    <row r="2423" customFormat="false" ht="15" hidden="false" customHeight="true" outlineLevel="0" collapsed="false">
      <c r="D2423" s="11"/>
      <c r="H2423" s="1" t="s">
        <v>54</v>
      </c>
      <c r="I2423" s="1" t="s">
        <v>34</v>
      </c>
      <c r="J2423" s="1" t="n">
        <f aca="false">K2422</f>
        <v>46985</v>
      </c>
      <c r="K2423" s="1" t="n">
        <f aca="false">J2423+L2423</f>
        <v>47012</v>
      </c>
      <c r="L2423" s="1" t="n">
        <v>27</v>
      </c>
      <c r="M2423" s="1" t="n">
        <f aca="false">(E2423+M2422)-N2423</f>
        <v>26.2499999999996</v>
      </c>
      <c r="N2423" s="1" t="n">
        <v>3.2</v>
      </c>
    </row>
    <row r="2424" customFormat="false" ht="15" hidden="false" customHeight="true" outlineLevel="0" collapsed="false">
      <c r="D2424" s="11" t="n">
        <v>46003</v>
      </c>
      <c r="H2424" s="1" t="s">
        <v>34</v>
      </c>
      <c r="I2424" s="1" t="s">
        <v>35</v>
      </c>
      <c r="J2424" s="1" t="n">
        <f aca="false">K2423</f>
        <v>47012</v>
      </c>
      <c r="K2424" s="1" t="n">
        <f aca="false">J2424+L2424</f>
        <v>47024</v>
      </c>
      <c r="L2424" s="1" t="n">
        <v>12</v>
      </c>
      <c r="M2424" s="1" t="n">
        <f aca="false">(E2424+M2423)-N2424</f>
        <v>24.9999999999996</v>
      </c>
      <c r="N2424" s="1" t="n">
        <v>1.25</v>
      </c>
    </row>
    <row r="2425" customFormat="false" ht="15" hidden="false" customHeight="true" outlineLevel="0" collapsed="false">
      <c r="D2425" s="11"/>
      <c r="H2425" s="1" t="s">
        <v>35</v>
      </c>
      <c r="I2425" s="1" t="s">
        <v>34</v>
      </c>
      <c r="J2425" s="1" t="n">
        <f aca="false">K2424</f>
        <v>47024</v>
      </c>
      <c r="K2425" s="1" t="n">
        <f aca="false">J2425+L2425</f>
        <v>47036</v>
      </c>
      <c r="L2425" s="1" t="n">
        <v>12</v>
      </c>
      <c r="M2425" s="1" t="n">
        <f aca="false">(E2425+M2424)-N2425</f>
        <v>23.7499999999996</v>
      </c>
      <c r="N2425" s="1" t="n">
        <v>1.25</v>
      </c>
    </row>
    <row r="2426" customFormat="false" ht="15" hidden="false" customHeight="true" outlineLevel="0" collapsed="false">
      <c r="D2426" s="11" t="n">
        <v>46006</v>
      </c>
      <c r="H2426" s="1" t="s">
        <v>34</v>
      </c>
      <c r="I2426" s="1" t="s">
        <v>43</v>
      </c>
      <c r="J2426" s="1" t="n">
        <f aca="false">K2425</f>
        <v>47036</v>
      </c>
      <c r="K2426" s="1" t="n">
        <f aca="false">J2426+L2426</f>
        <v>47048</v>
      </c>
      <c r="L2426" s="1" t="n">
        <v>12</v>
      </c>
      <c r="M2426" s="1" t="n">
        <f aca="false">(E2426+M2425)-N2426</f>
        <v>22.4999999999996</v>
      </c>
      <c r="N2426" s="1" t="n">
        <v>1.25</v>
      </c>
    </row>
    <row r="2427" customFormat="false" ht="15" hidden="false" customHeight="true" outlineLevel="0" collapsed="false">
      <c r="D2427" s="11"/>
      <c r="H2427" s="1" t="s">
        <v>43</v>
      </c>
      <c r="I2427" s="1" t="s">
        <v>34</v>
      </c>
      <c r="J2427" s="1" t="n">
        <f aca="false">K2426</f>
        <v>47048</v>
      </c>
      <c r="K2427" s="1" t="n">
        <f aca="false">J2427+L2427</f>
        <v>47060</v>
      </c>
      <c r="L2427" s="1" t="n">
        <v>12</v>
      </c>
      <c r="M2427" s="1" t="n">
        <f aca="false">(E2427+M2426)-N2427</f>
        <v>21.2499999999996</v>
      </c>
      <c r="N2427" s="1" t="n">
        <v>1.25</v>
      </c>
    </row>
    <row r="2428" customFormat="false" ht="15" hidden="false" customHeight="true" outlineLevel="0" collapsed="false">
      <c r="D2428" s="11" t="n">
        <v>46007</v>
      </c>
      <c r="H2428" s="1" t="s">
        <v>34</v>
      </c>
      <c r="I2428" s="1" t="s">
        <v>102</v>
      </c>
      <c r="J2428" s="1" t="n">
        <f aca="false">K2427</f>
        <v>47060</v>
      </c>
      <c r="K2428" s="1" t="n">
        <f aca="false">J2428+L2428</f>
        <v>47085</v>
      </c>
      <c r="L2428" s="1" t="n">
        <v>25</v>
      </c>
      <c r="M2428" s="1" t="n">
        <f aca="false">(E2428+M2427)-N2428</f>
        <v>18.2499999999996</v>
      </c>
      <c r="N2428" s="1" t="n">
        <v>3</v>
      </c>
    </row>
    <row r="2429" customFormat="false" ht="15" hidden="false" customHeight="true" outlineLevel="0" collapsed="false">
      <c r="D2429" s="11"/>
      <c r="H2429" s="1" t="s">
        <v>102</v>
      </c>
      <c r="I2429" s="1" t="s">
        <v>34</v>
      </c>
      <c r="J2429" s="1" t="n">
        <f aca="false">K2428</f>
        <v>47085</v>
      </c>
      <c r="K2429" s="1" t="n">
        <f aca="false">J2429+L2429</f>
        <v>47110</v>
      </c>
      <c r="L2429" s="1" t="n">
        <v>25</v>
      </c>
      <c r="M2429" s="1" t="n">
        <f aca="false">(E2429+M2428)-N2429</f>
        <v>15.2499999999996</v>
      </c>
      <c r="N2429" s="1" t="n">
        <v>3</v>
      </c>
    </row>
    <row r="2430" customFormat="false" ht="15" hidden="false" customHeight="true" outlineLevel="0" collapsed="false">
      <c r="D2430" s="11" t="n">
        <v>46008</v>
      </c>
      <c r="H2430" s="1" t="s">
        <v>34</v>
      </c>
      <c r="I2430" s="1" t="s">
        <v>85</v>
      </c>
      <c r="J2430" s="1" t="n">
        <f aca="false">K2429</f>
        <v>47110</v>
      </c>
      <c r="K2430" s="1" t="n">
        <f aca="false">J2430+L2430</f>
        <v>47154</v>
      </c>
      <c r="L2430" s="1" t="n">
        <v>44</v>
      </c>
      <c r="M2430" s="1" t="n">
        <f aca="false">(E2430+M2429)-N2430</f>
        <v>10.2499999999996</v>
      </c>
      <c r="N2430" s="1" t="n">
        <v>5</v>
      </c>
    </row>
    <row r="2431" customFormat="false" ht="15" hidden="false" customHeight="true" outlineLevel="0" collapsed="false">
      <c r="D2431" s="11"/>
      <c r="H2431" s="1" t="s">
        <v>85</v>
      </c>
      <c r="I2431" s="1" t="s">
        <v>34</v>
      </c>
      <c r="J2431" s="1" t="n">
        <f aca="false">K2430</f>
        <v>47154</v>
      </c>
      <c r="K2431" s="1" t="n">
        <f aca="false">J2431+L2431</f>
        <v>47198</v>
      </c>
      <c r="L2431" s="1" t="n">
        <v>44</v>
      </c>
      <c r="M2431" s="1" t="n">
        <f aca="false">(E2431+M2430)-N2431</f>
        <v>5.24999999999965</v>
      </c>
      <c r="N2431" s="1" t="n">
        <v>5</v>
      </c>
    </row>
    <row r="2432" customFormat="false" ht="15" hidden="false" customHeight="true" outlineLevel="0" collapsed="false">
      <c r="D2432" s="11" t="n">
        <v>46009</v>
      </c>
      <c r="E2432" s="0" t="n">
        <v>47.95</v>
      </c>
      <c r="F2432" s="1" t="n">
        <v>66.16</v>
      </c>
      <c r="G2432" s="6" t="n">
        <f aca="false">E2432*F2432</f>
        <v>3172.372</v>
      </c>
      <c r="H2432" s="1" t="s">
        <v>34</v>
      </c>
      <c r="I2432" s="1" t="s">
        <v>100</v>
      </c>
      <c r="J2432" s="1" t="n">
        <f aca="false">K2431</f>
        <v>47198</v>
      </c>
      <c r="K2432" s="1" t="n">
        <f aca="false">J2432+L2432</f>
        <v>47233</v>
      </c>
      <c r="L2432" s="1" t="n">
        <v>35</v>
      </c>
      <c r="M2432" s="1" t="n">
        <f aca="false">(E2432+M2431)-N2432</f>
        <v>48.9999999999996</v>
      </c>
      <c r="N2432" s="1" t="n">
        <v>4.2</v>
      </c>
    </row>
    <row r="2433" customFormat="false" ht="15" hidden="false" customHeight="true" outlineLevel="0" collapsed="false">
      <c r="D2433" s="11"/>
      <c r="H2433" s="1" t="s">
        <v>100</v>
      </c>
      <c r="I2433" s="1" t="s">
        <v>34</v>
      </c>
      <c r="J2433" s="1" t="n">
        <f aca="false">K2432</f>
        <v>47233</v>
      </c>
      <c r="K2433" s="1" t="n">
        <f aca="false">J2433+L2433</f>
        <v>47268</v>
      </c>
      <c r="L2433" s="1" t="n">
        <v>35</v>
      </c>
      <c r="M2433" s="1" t="n">
        <f aca="false">(E2433+M2432)-N2433</f>
        <v>44.7999999999996</v>
      </c>
      <c r="N2433" s="1" t="n">
        <v>4.2</v>
      </c>
    </row>
    <row r="2434" customFormat="false" ht="15" hidden="false" customHeight="true" outlineLevel="0" collapsed="false">
      <c r="D2434" s="11" t="n">
        <v>46010</v>
      </c>
      <c r="H2434" s="1" t="s">
        <v>34</v>
      </c>
      <c r="I2434" s="1" t="s">
        <v>102</v>
      </c>
      <c r="J2434" s="1" t="n">
        <f aca="false">K2433</f>
        <v>47268</v>
      </c>
      <c r="K2434" s="1" t="n">
        <f aca="false">J2434+L2434</f>
        <v>47293</v>
      </c>
      <c r="L2434" s="1" t="n">
        <v>25</v>
      </c>
      <c r="M2434" s="1" t="n">
        <f aca="false">(E2434+M2433)-N2434</f>
        <v>41.7999999999996</v>
      </c>
      <c r="N2434" s="1" t="n">
        <v>3</v>
      </c>
    </row>
    <row r="2435" customFormat="false" ht="15" hidden="false" customHeight="true" outlineLevel="0" collapsed="false">
      <c r="D2435" s="11"/>
      <c r="H2435" s="1" t="s">
        <v>102</v>
      </c>
      <c r="I2435" s="1" t="s">
        <v>34</v>
      </c>
      <c r="J2435" s="1" t="n">
        <f aca="false">K2434</f>
        <v>47293</v>
      </c>
      <c r="K2435" s="1" t="n">
        <f aca="false">J2435+L2435</f>
        <v>47318</v>
      </c>
      <c r="L2435" s="1" t="n">
        <v>25</v>
      </c>
      <c r="M2435" s="1" t="n">
        <f aca="false">(E2435+M2434)-N2435</f>
        <v>38.7999999999996</v>
      </c>
      <c r="N2435" s="1" t="n">
        <v>3</v>
      </c>
    </row>
    <row r="2436" customFormat="false" ht="15" hidden="false" customHeight="true" outlineLevel="0" collapsed="false">
      <c r="D2436" s="11" t="n">
        <v>46013</v>
      </c>
      <c r="H2436" s="1" t="s">
        <v>34</v>
      </c>
      <c r="I2436" s="1" t="s">
        <v>85</v>
      </c>
      <c r="J2436" s="1" t="n">
        <f aca="false">K2435</f>
        <v>47318</v>
      </c>
      <c r="K2436" s="1" t="n">
        <f aca="false">J2436+L2436</f>
        <v>47362</v>
      </c>
      <c r="L2436" s="1" t="n">
        <v>44</v>
      </c>
      <c r="M2436" s="1" t="n">
        <f aca="false">(E2436+M2435)-N2436</f>
        <v>33.7999999999996</v>
      </c>
      <c r="N2436" s="1" t="n">
        <v>5</v>
      </c>
    </row>
    <row r="2437" customFormat="false" ht="15" hidden="false" customHeight="true" outlineLevel="0" collapsed="false">
      <c r="D2437" s="11"/>
      <c r="H2437" s="1" t="s">
        <v>85</v>
      </c>
      <c r="I2437" s="1" t="s">
        <v>34</v>
      </c>
      <c r="J2437" s="1" t="n">
        <f aca="false">K2436</f>
        <v>47362</v>
      </c>
      <c r="K2437" s="1" t="n">
        <f aca="false">J2437+L2437</f>
        <v>47406</v>
      </c>
      <c r="L2437" s="1" t="n">
        <v>44</v>
      </c>
      <c r="M2437" s="1" t="n">
        <f aca="false">(E2437+M2436)-N2437</f>
        <v>28.7999999999996</v>
      </c>
      <c r="N2437" s="1" t="n">
        <v>5</v>
      </c>
    </row>
    <row r="2438" customFormat="false" ht="15" hidden="false" customHeight="true" outlineLevel="0" collapsed="false">
      <c r="D2438" s="11" t="n">
        <v>46014</v>
      </c>
      <c r="H2438" s="1" t="s">
        <v>34</v>
      </c>
      <c r="I2438" s="1" t="s">
        <v>54</v>
      </c>
      <c r="J2438" s="1" t="n">
        <f aca="false">K2437</f>
        <v>47406</v>
      </c>
      <c r="K2438" s="1" t="n">
        <f aca="false">J2438+L2438</f>
        <v>47433</v>
      </c>
      <c r="L2438" s="1" t="n">
        <v>27</v>
      </c>
      <c r="M2438" s="1" t="n">
        <f aca="false">(E2438+M2437)-N2438</f>
        <v>25.5999999999996</v>
      </c>
      <c r="N2438" s="1" t="n">
        <v>3.2</v>
      </c>
    </row>
    <row r="2439" customFormat="false" ht="15" hidden="false" customHeight="true" outlineLevel="0" collapsed="false">
      <c r="D2439" s="11"/>
      <c r="H2439" s="1" t="s">
        <v>54</v>
      </c>
      <c r="I2439" s="1" t="s">
        <v>34</v>
      </c>
      <c r="J2439" s="1" t="n">
        <f aca="false">K2438</f>
        <v>47433</v>
      </c>
      <c r="K2439" s="1" t="n">
        <f aca="false">J2439+L2439</f>
        <v>47460</v>
      </c>
      <c r="L2439" s="1" t="n">
        <v>27</v>
      </c>
      <c r="M2439" s="1" t="n">
        <f aca="false">(E2439+M2438)-N2439</f>
        <v>22.3999999999996</v>
      </c>
      <c r="N2439" s="1" t="n">
        <v>3.2</v>
      </c>
    </row>
    <row r="2440" customFormat="false" ht="15" hidden="false" customHeight="true" outlineLevel="0" collapsed="false">
      <c r="D2440" s="11" t="n">
        <v>46015</v>
      </c>
      <c r="H2440" s="1" t="s">
        <v>34</v>
      </c>
      <c r="I2440" s="1" t="s">
        <v>54</v>
      </c>
      <c r="J2440" s="1" t="n">
        <f aca="false">K2439</f>
        <v>47460</v>
      </c>
      <c r="K2440" s="1" t="n">
        <f aca="false">J2440+L2440</f>
        <v>47487</v>
      </c>
      <c r="L2440" s="1" t="n">
        <v>27</v>
      </c>
      <c r="M2440" s="1" t="n">
        <f aca="false">(E2440+M2439)-N2440</f>
        <v>19.1999999999996</v>
      </c>
      <c r="N2440" s="1" t="n">
        <v>3.2</v>
      </c>
    </row>
    <row r="2441" customFormat="false" ht="15" hidden="false" customHeight="true" outlineLevel="0" collapsed="false">
      <c r="D2441" s="11"/>
      <c r="H2441" s="1" t="s">
        <v>54</v>
      </c>
      <c r="I2441" s="1" t="s">
        <v>34</v>
      </c>
      <c r="J2441" s="1" t="n">
        <f aca="false">K2440</f>
        <v>47487</v>
      </c>
      <c r="K2441" s="1" t="n">
        <f aca="false">J2441+L2441</f>
        <v>47514</v>
      </c>
      <c r="L2441" s="1" t="n">
        <v>27</v>
      </c>
      <c r="M2441" s="1" t="n">
        <f aca="false">(E2441+M2440)-N2441</f>
        <v>15.9999999999996</v>
      </c>
      <c r="N2441" s="1" t="n">
        <v>3.2</v>
      </c>
    </row>
    <row r="2442" customFormat="false" ht="15" hidden="false" customHeight="true" outlineLevel="0" collapsed="false">
      <c r="D2442" s="11" t="n">
        <v>46016</v>
      </c>
      <c r="H2442" s="1" t="s">
        <v>34</v>
      </c>
      <c r="I2442" s="1" t="s">
        <v>85</v>
      </c>
      <c r="J2442" s="1" t="n">
        <f aca="false">K2441</f>
        <v>47514</v>
      </c>
      <c r="K2442" s="1" t="n">
        <f aca="false">J2442+L2442</f>
        <v>47558</v>
      </c>
      <c r="L2442" s="1" t="n">
        <v>44</v>
      </c>
      <c r="M2442" s="1" t="n">
        <f aca="false">(E2442+M2441)-N2442</f>
        <v>10.9999999999996</v>
      </c>
      <c r="N2442" s="1" t="n">
        <v>5</v>
      </c>
    </row>
    <row r="2443" customFormat="false" ht="15" hidden="false" customHeight="true" outlineLevel="0" collapsed="false">
      <c r="D2443" s="11"/>
      <c r="H2443" s="1" t="s">
        <v>85</v>
      </c>
      <c r="I2443" s="1" t="s">
        <v>34</v>
      </c>
      <c r="J2443" s="1" t="n">
        <f aca="false">K2442</f>
        <v>47558</v>
      </c>
      <c r="K2443" s="1" t="n">
        <f aca="false">J2443+L2443</f>
        <v>47602</v>
      </c>
      <c r="L2443" s="1" t="n">
        <v>44</v>
      </c>
      <c r="M2443" s="1" t="n">
        <f aca="false">(E2443+M2442)-N2443</f>
        <v>5.99999999999965</v>
      </c>
      <c r="N2443" s="1" t="n">
        <v>5</v>
      </c>
    </row>
    <row r="2444" customFormat="false" ht="15" hidden="false" customHeight="true" outlineLevel="0" collapsed="false">
      <c r="D2444" s="11" t="n">
        <v>46017</v>
      </c>
      <c r="E2444" s="0" t="n">
        <v>40.62</v>
      </c>
      <c r="F2444" s="1" t="n">
        <v>66.16</v>
      </c>
      <c r="G2444" s="6" t="n">
        <f aca="false">E2444*F2444</f>
        <v>2687.4192</v>
      </c>
      <c r="H2444" s="1" t="s">
        <v>34</v>
      </c>
      <c r="I2444" s="1" t="s">
        <v>102</v>
      </c>
      <c r="J2444" s="1" t="n">
        <f aca="false">K2443</f>
        <v>47602</v>
      </c>
      <c r="K2444" s="1" t="n">
        <f aca="false">J2444+L2444</f>
        <v>47627</v>
      </c>
      <c r="L2444" s="1" t="n">
        <v>25</v>
      </c>
      <c r="M2444" s="1" t="n">
        <f aca="false">(E2444+M2443)-N2444</f>
        <v>43.6199999999996</v>
      </c>
      <c r="N2444" s="1" t="n">
        <v>3</v>
      </c>
    </row>
    <row r="2445" customFormat="false" ht="15" hidden="false" customHeight="true" outlineLevel="0" collapsed="false">
      <c r="D2445" s="11"/>
      <c r="H2445" s="1" t="s">
        <v>102</v>
      </c>
      <c r="I2445" s="1" t="s">
        <v>34</v>
      </c>
      <c r="J2445" s="1" t="n">
        <f aca="false">K2444</f>
        <v>47627</v>
      </c>
      <c r="K2445" s="1" t="n">
        <f aca="false">J2445+L2445</f>
        <v>47652</v>
      </c>
      <c r="L2445" s="1" t="n">
        <v>25</v>
      </c>
      <c r="M2445" s="1" t="n">
        <f aca="false">(E2445+M2444)-N2445</f>
        <v>40.6199999999996</v>
      </c>
      <c r="N2445" s="1" t="n">
        <v>3</v>
      </c>
    </row>
    <row r="2446" customFormat="false" ht="15" hidden="false" customHeight="true" outlineLevel="0" collapsed="false">
      <c r="D2446" s="11" t="n">
        <v>46020</v>
      </c>
      <c r="H2446" s="1" t="s">
        <v>34</v>
      </c>
      <c r="I2446" s="1" t="s">
        <v>85</v>
      </c>
      <c r="J2446" s="1" t="n">
        <f aca="false">K2445</f>
        <v>47652</v>
      </c>
      <c r="K2446" s="1" t="n">
        <f aca="false">J2446+L2446</f>
        <v>47696</v>
      </c>
      <c r="L2446" s="1" t="n">
        <v>44</v>
      </c>
      <c r="M2446" s="1" t="n">
        <f aca="false">(E2446+M2445)-N2446</f>
        <v>35.6199999999996</v>
      </c>
      <c r="N2446" s="1" t="n">
        <v>5</v>
      </c>
    </row>
    <row r="2447" customFormat="false" ht="15" hidden="false" customHeight="true" outlineLevel="0" collapsed="false">
      <c r="D2447" s="11"/>
      <c r="H2447" s="1" t="s">
        <v>85</v>
      </c>
      <c r="I2447" s="1" t="s">
        <v>34</v>
      </c>
      <c r="J2447" s="1" t="n">
        <f aca="false">K2446</f>
        <v>47696</v>
      </c>
      <c r="K2447" s="1" t="n">
        <f aca="false">J2447+L2447</f>
        <v>47740</v>
      </c>
      <c r="L2447" s="1" t="n">
        <v>44</v>
      </c>
      <c r="M2447" s="1" t="n">
        <f aca="false">(E2447+M2446)-N2447</f>
        <v>30.6199999999996</v>
      </c>
      <c r="N2447" s="1" t="n">
        <v>5</v>
      </c>
    </row>
    <row r="2448" customFormat="false" ht="15" hidden="false" customHeight="true" outlineLevel="0" collapsed="false">
      <c r="D2448" s="11" t="n">
        <v>46021</v>
      </c>
      <c r="H2448" s="1" t="s">
        <v>34</v>
      </c>
      <c r="I2448" s="1" t="s">
        <v>100</v>
      </c>
      <c r="J2448" s="1" t="n">
        <f aca="false">K2447</f>
        <v>47740</v>
      </c>
      <c r="K2448" s="1" t="n">
        <f aca="false">J2448+L2448</f>
        <v>47775</v>
      </c>
      <c r="L2448" s="1" t="n">
        <v>35</v>
      </c>
      <c r="M2448" s="1" t="n">
        <f aca="false">(E2448+M2447)-N2448</f>
        <v>26.4199999999996</v>
      </c>
      <c r="N2448" s="1" t="n">
        <v>4.2</v>
      </c>
    </row>
    <row r="2449" customFormat="false" ht="15" hidden="false" customHeight="true" outlineLevel="0" collapsed="false">
      <c r="D2449" s="11"/>
      <c r="H2449" s="1" t="s">
        <v>100</v>
      </c>
      <c r="I2449" s="1" t="s">
        <v>34</v>
      </c>
      <c r="J2449" s="1" t="n">
        <f aca="false">K2448</f>
        <v>47775</v>
      </c>
      <c r="K2449" s="1" t="n">
        <f aca="false">J2449+L2449</f>
        <v>47810</v>
      </c>
      <c r="L2449" s="1" t="n">
        <v>35</v>
      </c>
      <c r="M2449" s="1" t="n">
        <f aca="false">(E2449+M2448)-N2449</f>
        <v>22.2199999999996</v>
      </c>
      <c r="N2449" s="1" t="n">
        <v>4.2</v>
      </c>
    </row>
    <row r="2450" customFormat="false" ht="15" hidden="false" customHeight="true" outlineLevel="0" collapsed="false">
      <c r="D2450" s="11"/>
    </row>
    <row r="2451" customFormat="false" ht="15" hidden="false" customHeight="true" outlineLevel="0" collapsed="false">
      <c r="D2451" s="0" t="s">
        <v>104</v>
      </c>
    </row>
    <row r="2453" customFormat="false" ht="15" hidden="false" customHeight="true" outlineLevel="0" collapsed="false">
      <c r="D2453" s="17" t="n">
        <v>46055</v>
      </c>
      <c r="E2453" s="0" t="n">
        <v>49.84</v>
      </c>
      <c r="F2453" s="1" t="n">
        <v>68.06</v>
      </c>
      <c r="G2453" s="15" t="n">
        <f aca="false">E2453*F2453</f>
        <v>3392.1104</v>
      </c>
      <c r="H2453" s="15" t="s">
        <v>34</v>
      </c>
      <c r="I2453" s="15" t="s">
        <v>85</v>
      </c>
      <c r="J2453" s="1" t="n">
        <v>47810</v>
      </c>
      <c r="K2453" s="1" t="n">
        <f aca="false">J2453+L2453</f>
        <v>47854</v>
      </c>
      <c r="L2453" s="1" t="n">
        <v>44</v>
      </c>
      <c r="M2453" s="15" t="n">
        <f aca="false">(E2453+22.22)-N2453</f>
        <v>67.06</v>
      </c>
      <c r="N2453" s="1" t="n">
        <v>5</v>
      </c>
    </row>
    <row r="2454" customFormat="false" ht="15" hidden="false" customHeight="true" outlineLevel="0" collapsed="false">
      <c r="H2454" s="15" t="s">
        <v>85</v>
      </c>
      <c r="I2454" s="15" t="s">
        <v>34</v>
      </c>
      <c r="J2454" s="1" t="n">
        <f aca="false">K2453</f>
        <v>47854</v>
      </c>
      <c r="K2454" s="1" t="n">
        <f aca="false">J2454+L2454</f>
        <v>47898</v>
      </c>
      <c r="L2454" s="1" t="n">
        <v>44</v>
      </c>
      <c r="M2454" s="15" t="n">
        <f aca="false">(E2454+M2453)-N2454</f>
        <v>62.06</v>
      </c>
      <c r="N2454" s="1" t="n">
        <v>5</v>
      </c>
    </row>
    <row r="2455" customFormat="false" ht="15" hidden="false" customHeight="true" outlineLevel="0" collapsed="false">
      <c r="H2455" s="15" t="s">
        <v>34</v>
      </c>
      <c r="I2455" s="15" t="s">
        <v>54</v>
      </c>
      <c r="J2455" s="1" t="n">
        <f aca="false">K2454</f>
        <v>47898</v>
      </c>
      <c r="K2455" s="1" t="n">
        <f aca="false">J2455+L2455</f>
        <v>47925</v>
      </c>
      <c r="L2455" s="1" t="n">
        <v>27</v>
      </c>
      <c r="M2455" s="15" t="n">
        <f aca="false">(E2455+M2454)-N2455</f>
        <v>58.86</v>
      </c>
      <c r="N2455" s="1" t="n">
        <v>3.2</v>
      </c>
    </row>
    <row r="2456" customFormat="false" ht="15" hidden="false" customHeight="true" outlineLevel="0" collapsed="false">
      <c r="H2456" s="15" t="s">
        <v>54</v>
      </c>
      <c r="I2456" s="15" t="s">
        <v>34</v>
      </c>
      <c r="J2456" s="1" t="n">
        <f aca="false">K2455</f>
        <v>47925</v>
      </c>
      <c r="K2456" s="1" t="n">
        <f aca="false">J2456+L2456</f>
        <v>47952</v>
      </c>
      <c r="L2456" s="1" t="n">
        <v>27</v>
      </c>
      <c r="M2456" s="15" t="n">
        <f aca="false">(E2456+M2455)-N2456</f>
        <v>55.66</v>
      </c>
      <c r="N2456" s="1" t="n">
        <v>3.2</v>
      </c>
    </row>
    <row r="2457" customFormat="false" ht="15" hidden="false" customHeight="true" outlineLevel="0" collapsed="false">
      <c r="H2457" s="15" t="s">
        <v>34</v>
      </c>
      <c r="I2457" s="15" t="s">
        <v>102</v>
      </c>
      <c r="J2457" s="1" t="n">
        <f aca="false">K2456</f>
        <v>47952</v>
      </c>
      <c r="K2457" s="1" t="n">
        <f aca="false">J2457+L2457</f>
        <v>47977</v>
      </c>
      <c r="L2457" s="1" t="n">
        <v>25</v>
      </c>
      <c r="M2457" s="15" t="n">
        <f aca="false">(E2457+M2456)-N2457</f>
        <v>52.66</v>
      </c>
      <c r="N2457" s="1" t="n">
        <v>3</v>
      </c>
    </row>
    <row r="2458" customFormat="false" ht="15" hidden="false" customHeight="true" outlineLevel="0" collapsed="false">
      <c r="H2458" s="15" t="s">
        <v>102</v>
      </c>
      <c r="I2458" s="15" t="s">
        <v>34</v>
      </c>
      <c r="J2458" s="1" t="n">
        <f aca="false">K2457</f>
        <v>47977</v>
      </c>
      <c r="K2458" s="1" t="n">
        <f aca="false">J2458+L2458</f>
        <v>48002</v>
      </c>
      <c r="L2458" s="1" t="n">
        <v>25</v>
      </c>
      <c r="M2458" s="15" t="n">
        <f aca="false">(E2458+M2457)-N2458</f>
        <v>49.66</v>
      </c>
      <c r="N2458" s="1" t="n">
        <v>3</v>
      </c>
    </row>
    <row r="2459" customFormat="false" ht="15" hidden="false" customHeight="true" outlineLevel="0" collapsed="false">
      <c r="D2459" s="17" t="n">
        <v>46056</v>
      </c>
      <c r="H2459" s="15" t="s">
        <v>34</v>
      </c>
      <c r="I2459" s="15" t="s">
        <v>54</v>
      </c>
      <c r="J2459" s="1" t="n">
        <f aca="false">K2458</f>
        <v>48002</v>
      </c>
      <c r="K2459" s="1" t="n">
        <f aca="false">J2459+L2459</f>
        <v>48029</v>
      </c>
      <c r="L2459" s="1" t="n">
        <v>27</v>
      </c>
      <c r="M2459" s="15" t="n">
        <f aca="false">(E2459+M2458)-N2459</f>
        <v>46.46</v>
      </c>
      <c r="N2459" s="1" t="n">
        <v>3.2</v>
      </c>
    </row>
    <row r="2460" customFormat="false" ht="15" hidden="false" customHeight="true" outlineLevel="0" collapsed="false">
      <c r="H2460" s="15" t="s">
        <v>54</v>
      </c>
      <c r="I2460" s="15" t="s">
        <v>34</v>
      </c>
      <c r="J2460" s="1" t="n">
        <f aca="false">K2459</f>
        <v>48029</v>
      </c>
      <c r="K2460" s="1" t="n">
        <f aca="false">J2460+L2460</f>
        <v>48056</v>
      </c>
      <c r="L2460" s="1" t="n">
        <v>27</v>
      </c>
      <c r="M2460" s="15" t="n">
        <f aca="false">(E2460+M2459)-N2460</f>
        <v>43.26</v>
      </c>
      <c r="N2460" s="1" t="n">
        <v>3.2</v>
      </c>
    </row>
    <row r="2461" customFormat="false" ht="15" hidden="false" customHeight="true" outlineLevel="0" collapsed="false">
      <c r="D2461" s="17" t="n">
        <v>46057</v>
      </c>
      <c r="H2461" s="15" t="s">
        <v>34</v>
      </c>
      <c r="I2461" s="15" t="s">
        <v>44</v>
      </c>
      <c r="J2461" s="1" t="n">
        <f aca="false">K2460</f>
        <v>48056</v>
      </c>
      <c r="K2461" s="1" t="n">
        <f aca="false">J2461+L2461</f>
        <v>48096</v>
      </c>
      <c r="L2461" s="1" t="n">
        <v>40</v>
      </c>
      <c r="M2461" s="15" t="n">
        <f aca="false">(E2461+M2460)-N2461</f>
        <v>38.46</v>
      </c>
      <c r="N2461" s="1" t="n">
        <v>4.8</v>
      </c>
    </row>
    <row r="2462" customFormat="false" ht="15" hidden="false" customHeight="true" outlineLevel="0" collapsed="false">
      <c r="H2462" s="15" t="s">
        <v>44</v>
      </c>
      <c r="I2462" s="15" t="s">
        <v>34</v>
      </c>
      <c r="J2462" s="1" t="n">
        <f aca="false">K2461</f>
        <v>48096</v>
      </c>
      <c r="K2462" s="1" t="n">
        <f aca="false">J2462+L2462</f>
        <v>48136</v>
      </c>
      <c r="L2462" s="1" t="n">
        <v>40</v>
      </c>
      <c r="M2462" s="15" t="n">
        <f aca="false">(E2462+M2461)-N2462</f>
        <v>33.66</v>
      </c>
      <c r="N2462" s="1" t="n">
        <v>4.8</v>
      </c>
    </row>
    <row r="2463" customFormat="false" ht="15" hidden="false" customHeight="true" outlineLevel="0" collapsed="false">
      <c r="D2463" s="17" t="n">
        <v>46058</v>
      </c>
      <c r="H2463" s="15" t="s">
        <v>34</v>
      </c>
      <c r="I2463" s="15" t="s">
        <v>102</v>
      </c>
      <c r="J2463" s="1" t="n">
        <f aca="false">K2462</f>
        <v>48136</v>
      </c>
      <c r="K2463" s="1" t="n">
        <f aca="false">J2463+L2463</f>
        <v>48161</v>
      </c>
      <c r="L2463" s="1" t="n">
        <v>25</v>
      </c>
      <c r="M2463" s="15" t="n">
        <f aca="false">(E2463+M2462)-N2463</f>
        <v>30.66</v>
      </c>
      <c r="N2463" s="1" t="n">
        <v>3</v>
      </c>
    </row>
    <row r="2464" customFormat="false" ht="15" hidden="false" customHeight="true" outlineLevel="0" collapsed="false">
      <c r="H2464" s="15" t="s">
        <v>102</v>
      </c>
      <c r="I2464" s="15" t="s">
        <v>34</v>
      </c>
      <c r="J2464" s="1" t="n">
        <f aca="false">K2463</f>
        <v>48161</v>
      </c>
      <c r="K2464" s="1" t="n">
        <f aca="false">J2464+L2464</f>
        <v>48186</v>
      </c>
      <c r="L2464" s="1" t="n">
        <v>25</v>
      </c>
      <c r="M2464" s="15" t="n">
        <f aca="false">(E2464+M2463)-N2464</f>
        <v>27.66</v>
      </c>
      <c r="N2464" s="1" t="n">
        <v>3</v>
      </c>
    </row>
    <row r="2465" customFormat="false" ht="15" hidden="false" customHeight="true" outlineLevel="0" collapsed="false">
      <c r="D2465" s="17" t="n">
        <v>46059</v>
      </c>
      <c r="H2465" s="15" t="s">
        <v>34</v>
      </c>
      <c r="I2465" s="15" t="s">
        <v>102</v>
      </c>
      <c r="J2465" s="1" t="n">
        <f aca="false">K2464</f>
        <v>48186</v>
      </c>
      <c r="K2465" s="1" t="n">
        <f aca="false">J2465+L2465</f>
        <v>48211</v>
      </c>
      <c r="L2465" s="1" t="n">
        <v>25</v>
      </c>
      <c r="M2465" s="15" t="n">
        <f aca="false">(E2465+M2464)-N2465</f>
        <v>24.66</v>
      </c>
      <c r="N2465" s="1" t="n">
        <v>3</v>
      </c>
    </row>
    <row r="2466" customFormat="false" ht="15" hidden="false" customHeight="true" outlineLevel="0" collapsed="false">
      <c r="H2466" s="15" t="s">
        <v>102</v>
      </c>
      <c r="I2466" s="15" t="s">
        <v>34</v>
      </c>
      <c r="J2466" s="1" t="n">
        <f aca="false">K2465</f>
        <v>48211</v>
      </c>
      <c r="K2466" s="1" t="n">
        <f aca="false">J2466+L2466</f>
        <v>48236</v>
      </c>
      <c r="L2466" s="1" t="n">
        <v>25</v>
      </c>
      <c r="M2466" s="15" t="n">
        <f aca="false">(E2466+M2465)-N2466</f>
        <v>21.66</v>
      </c>
      <c r="N2466" s="1" t="n">
        <v>3</v>
      </c>
    </row>
    <row r="2467" customFormat="false" ht="15" hidden="false" customHeight="true" outlineLevel="0" collapsed="false">
      <c r="D2467" s="17" t="n">
        <v>46062</v>
      </c>
      <c r="E2467" s="0" t="n">
        <v>45.18</v>
      </c>
      <c r="F2467" s="1" t="n">
        <v>68.06</v>
      </c>
      <c r="G2467" s="15" t="n">
        <f aca="false">E2467*F2467</f>
        <v>3074.9508</v>
      </c>
      <c r="H2467" s="15" t="s">
        <v>34</v>
      </c>
      <c r="I2467" s="15" t="s">
        <v>100</v>
      </c>
      <c r="J2467" s="1" t="n">
        <f aca="false">K2466</f>
        <v>48236</v>
      </c>
      <c r="K2467" s="1" t="n">
        <f aca="false">J2467+L2467</f>
        <v>48271</v>
      </c>
      <c r="L2467" s="1" t="n">
        <v>35</v>
      </c>
      <c r="M2467" s="15" t="n">
        <f aca="false">(E2467+M2466)-N2467</f>
        <v>62.64</v>
      </c>
      <c r="N2467" s="1" t="n">
        <v>4.2</v>
      </c>
    </row>
    <row r="2468" customFormat="false" ht="15" hidden="false" customHeight="true" outlineLevel="0" collapsed="false">
      <c r="H2468" s="15" t="s">
        <v>100</v>
      </c>
      <c r="I2468" s="15" t="s">
        <v>34</v>
      </c>
      <c r="J2468" s="1" t="n">
        <f aca="false">K2467</f>
        <v>48271</v>
      </c>
      <c r="K2468" s="1" t="n">
        <f aca="false">J2468+L2468</f>
        <v>48306</v>
      </c>
      <c r="L2468" s="1" t="n">
        <v>35</v>
      </c>
      <c r="M2468" s="15" t="n">
        <f aca="false">(E2468+M2467)-N2468</f>
        <v>58.44</v>
      </c>
      <c r="N2468" s="1" t="n">
        <v>4.2</v>
      </c>
    </row>
    <row r="2469" customFormat="false" ht="15" hidden="false" customHeight="true" outlineLevel="0" collapsed="false">
      <c r="H2469" s="15" t="s">
        <v>34</v>
      </c>
      <c r="I2469" s="15" t="s">
        <v>85</v>
      </c>
      <c r="J2469" s="1" t="n">
        <f aca="false">K2468</f>
        <v>48306</v>
      </c>
      <c r="K2469" s="1" t="n">
        <f aca="false">J2469+L2469</f>
        <v>48350</v>
      </c>
      <c r="L2469" s="1" t="n">
        <v>44</v>
      </c>
      <c r="M2469" s="15" t="n">
        <f aca="false">(E2469+M2468)-N2469</f>
        <v>53.44</v>
      </c>
      <c r="N2469" s="1" t="n">
        <v>5</v>
      </c>
    </row>
    <row r="2470" customFormat="false" ht="15" hidden="false" customHeight="true" outlineLevel="0" collapsed="false">
      <c r="H2470" s="15" t="s">
        <v>85</v>
      </c>
      <c r="I2470" s="15" t="s">
        <v>34</v>
      </c>
      <c r="J2470" s="1" t="n">
        <f aca="false">K2469</f>
        <v>48350</v>
      </c>
      <c r="K2470" s="1" t="n">
        <f aca="false">J2470+L2470</f>
        <v>48394</v>
      </c>
      <c r="L2470" s="1" t="n">
        <v>44</v>
      </c>
      <c r="M2470" s="15" t="n">
        <f aca="false">(E2470+M2469)-N2470</f>
        <v>48.44</v>
      </c>
      <c r="N2470" s="1" t="n">
        <v>5</v>
      </c>
    </row>
    <row r="2471" customFormat="false" ht="15" hidden="false" customHeight="true" outlineLevel="0" collapsed="false">
      <c r="D2471" s="17" t="n">
        <v>46063</v>
      </c>
      <c r="H2471" s="15" t="s">
        <v>34</v>
      </c>
      <c r="I2471" s="15" t="s">
        <v>85</v>
      </c>
      <c r="J2471" s="1" t="n">
        <f aca="false">K2470</f>
        <v>48394</v>
      </c>
      <c r="K2471" s="1" t="n">
        <f aca="false">J2471+L2471</f>
        <v>48438</v>
      </c>
      <c r="L2471" s="1" t="n">
        <v>44</v>
      </c>
      <c r="M2471" s="15" t="n">
        <f aca="false">(E2471+M2470)-N2471</f>
        <v>43.44</v>
      </c>
      <c r="N2471" s="1" t="n">
        <v>5</v>
      </c>
    </row>
    <row r="2472" customFormat="false" ht="15" hidden="false" customHeight="true" outlineLevel="0" collapsed="false">
      <c r="H2472" s="15" t="s">
        <v>85</v>
      </c>
      <c r="I2472" s="15" t="s">
        <v>34</v>
      </c>
      <c r="J2472" s="1" t="n">
        <f aca="false">K2471</f>
        <v>48438</v>
      </c>
      <c r="K2472" s="1" t="n">
        <f aca="false">J2472+L2472</f>
        <v>48482</v>
      </c>
      <c r="L2472" s="1" t="n">
        <v>44</v>
      </c>
      <c r="M2472" s="15" t="n">
        <f aca="false">(E2472+M2471)-N2472</f>
        <v>38.44</v>
      </c>
      <c r="N2472" s="1" t="n">
        <v>5</v>
      </c>
    </row>
    <row r="2473" customFormat="false" ht="15" hidden="false" customHeight="true" outlineLevel="0" collapsed="false">
      <c r="D2473" s="17" t="n">
        <v>46064</v>
      </c>
      <c r="H2473" s="15" t="s">
        <v>34</v>
      </c>
      <c r="I2473" s="15" t="s">
        <v>99</v>
      </c>
      <c r="J2473" s="1" t="n">
        <f aca="false">K2472</f>
        <v>48482</v>
      </c>
      <c r="K2473" s="1" t="n">
        <f aca="false">J2473+L2473</f>
        <v>48517</v>
      </c>
      <c r="L2473" s="1" t="n">
        <v>35</v>
      </c>
      <c r="M2473" s="15" t="n">
        <f aca="false">(E2473+M2472)-N2473</f>
        <v>34.24</v>
      </c>
      <c r="N2473" s="1" t="n">
        <v>4.2</v>
      </c>
    </row>
    <row r="2474" customFormat="false" ht="15" hidden="false" customHeight="true" outlineLevel="0" collapsed="false">
      <c r="H2474" s="15" t="s">
        <v>99</v>
      </c>
      <c r="I2474" s="15" t="s">
        <v>34</v>
      </c>
      <c r="J2474" s="1" t="n">
        <f aca="false">K2473</f>
        <v>48517</v>
      </c>
      <c r="K2474" s="1" t="n">
        <f aca="false">J2474+L2474</f>
        <v>48552</v>
      </c>
      <c r="L2474" s="1" t="n">
        <v>35</v>
      </c>
      <c r="M2474" s="15" t="n">
        <f aca="false">(E2474+M2473)-N2474</f>
        <v>30.04</v>
      </c>
      <c r="N2474" s="1" t="n">
        <v>4.2</v>
      </c>
    </row>
    <row r="2475" customFormat="false" ht="15" hidden="false" customHeight="true" outlineLevel="0" collapsed="false">
      <c r="D2475" s="17" t="n">
        <v>46065</v>
      </c>
      <c r="H2475" s="15" t="s">
        <v>34</v>
      </c>
      <c r="I2475" s="15" t="s">
        <v>85</v>
      </c>
      <c r="J2475" s="1" t="n">
        <f aca="false">K2474</f>
        <v>48552</v>
      </c>
      <c r="K2475" s="1" t="n">
        <f aca="false">J2475+L2475</f>
        <v>48596</v>
      </c>
      <c r="L2475" s="1" t="n">
        <v>44</v>
      </c>
      <c r="M2475" s="15" t="n">
        <f aca="false">(E2475+M2474)-N2475</f>
        <v>25.04</v>
      </c>
      <c r="N2475" s="1" t="n">
        <v>5</v>
      </c>
    </row>
    <row r="2476" customFormat="false" ht="15" hidden="false" customHeight="true" outlineLevel="0" collapsed="false">
      <c r="H2476" s="15" t="s">
        <v>85</v>
      </c>
      <c r="I2476" s="15" t="s">
        <v>34</v>
      </c>
      <c r="J2476" s="1" t="n">
        <f aca="false">K2475</f>
        <v>48596</v>
      </c>
      <c r="K2476" s="1" t="n">
        <f aca="false">J2476+L2476</f>
        <v>48640</v>
      </c>
      <c r="L2476" s="1" t="n">
        <v>44</v>
      </c>
      <c r="M2476" s="15" t="n">
        <f aca="false">(E2476+M2475)-N2476</f>
        <v>20.04</v>
      </c>
      <c r="N2476" s="1" t="n">
        <v>5</v>
      </c>
    </row>
    <row r="2477" customFormat="false" ht="15" hidden="false" customHeight="true" outlineLevel="0" collapsed="false">
      <c r="D2477" s="17" t="n">
        <v>46066</v>
      </c>
      <c r="H2477" s="15" t="s">
        <v>34</v>
      </c>
      <c r="I2477" s="15" t="s">
        <v>43</v>
      </c>
      <c r="J2477" s="1" t="n">
        <f aca="false">K2476</f>
        <v>48640</v>
      </c>
      <c r="K2477" s="1" t="n">
        <f aca="false">J2477+L2477</f>
        <v>48652</v>
      </c>
      <c r="L2477" s="1" t="n">
        <v>12</v>
      </c>
      <c r="M2477" s="15" t="n">
        <f aca="false">(E2477+M2476)-N2477</f>
        <v>18.79</v>
      </c>
      <c r="N2477" s="1" t="n">
        <v>1.25</v>
      </c>
    </row>
    <row r="2478" customFormat="false" ht="15" hidden="false" customHeight="true" outlineLevel="0" collapsed="false">
      <c r="H2478" s="15" t="s">
        <v>43</v>
      </c>
      <c r="I2478" s="15" t="s">
        <v>34</v>
      </c>
      <c r="J2478" s="1" t="n">
        <f aca="false">K2477</f>
        <v>48652</v>
      </c>
      <c r="K2478" s="1" t="n">
        <f aca="false">J2478+L2478</f>
        <v>48664</v>
      </c>
      <c r="L2478" s="1" t="n">
        <v>12</v>
      </c>
      <c r="M2478" s="15" t="n">
        <f aca="false">(E2478+M2477)-N2478</f>
        <v>17.54</v>
      </c>
      <c r="N2478" s="1" t="n">
        <v>1.25</v>
      </c>
    </row>
    <row r="2479" customFormat="false" ht="15" hidden="false" customHeight="true" outlineLevel="0" collapsed="false">
      <c r="D2479" s="17" t="n">
        <v>46069</v>
      </c>
      <c r="E2479" s="0" t="n">
        <v>44.53</v>
      </c>
      <c r="F2479" s="1" t="n">
        <v>68.06</v>
      </c>
      <c r="G2479" s="15" t="n">
        <f aca="false">E2479*F2479</f>
        <v>3030.7118</v>
      </c>
      <c r="H2479" s="15" t="s">
        <v>34</v>
      </c>
      <c r="I2479" s="15" t="s">
        <v>54</v>
      </c>
      <c r="J2479" s="1" t="n">
        <f aca="false">K2478</f>
        <v>48664</v>
      </c>
      <c r="K2479" s="1" t="n">
        <f aca="false">J2479+L2479</f>
        <v>48691</v>
      </c>
      <c r="L2479" s="1" t="n">
        <v>27</v>
      </c>
      <c r="M2479" s="15" t="n">
        <f aca="false">(E2479+M2478)-N2479</f>
        <v>58.87</v>
      </c>
      <c r="N2479" s="1" t="n">
        <v>3.2</v>
      </c>
    </row>
    <row r="2480" customFormat="false" ht="15" hidden="false" customHeight="true" outlineLevel="0" collapsed="false">
      <c r="H2480" s="15" t="s">
        <v>54</v>
      </c>
      <c r="I2480" s="15" t="s">
        <v>34</v>
      </c>
      <c r="J2480" s="1" t="n">
        <f aca="false">K2479</f>
        <v>48691</v>
      </c>
      <c r="K2480" s="1" t="n">
        <f aca="false">J2480+L2480</f>
        <v>48718</v>
      </c>
      <c r="L2480" s="1" t="n">
        <v>27</v>
      </c>
      <c r="M2480" s="15" t="n">
        <f aca="false">(E2480+M2479)-N2480</f>
        <v>55.67</v>
      </c>
      <c r="N2480" s="1" t="n">
        <v>3.2</v>
      </c>
    </row>
    <row r="2481" customFormat="false" ht="15" hidden="false" customHeight="true" outlineLevel="0" collapsed="false">
      <c r="H2481" s="15" t="s">
        <v>34</v>
      </c>
      <c r="I2481" s="15" t="s">
        <v>102</v>
      </c>
      <c r="J2481" s="1" t="n">
        <f aca="false">K2480</f>
        <v>48718</v>
      </c>
      <c r="K2481" s="1" t="n">
        <f aca="false">J2481+L2481</f>
        <v>48743</v>
      </c>
      <c r="L2481" s="1" t="n">
        <v>25</v>
      </c>
      <c r="M2481" s="15" t="n">
        <f aca="false">(E2481+M2480)-N2481</f>
        <v>52.67</v>
      </c>
      <c r="N2481" s="1" t="n">
        <v>3</v>
      </c>
    </row>
    <row r="2482" customFormat="false" ht="15" hidden="false" customHeight="true" outlineLevel="0" collapsed="false">
      <c r="H2482" s="15" t="s">
        <v>102</v>
      </c>
      <c r="I2482" s="15" t="s">
        <v>34</v>
      </c>
      <c r="J2482" s="1" t="n">
        <f aca="false">K2481</f>
        <v>48743</v>
      </c>
      <c r="K2482" s="1" t="n">
        <f aca="false">J2482+L2482</f>
        <v>48768</v>
      </c>
      <c r="L2482" s="1" t="n">
        <v>25</v>
      </c>
      <c r="M2482" s="15" t="n">
        <f aca="false">(E2482+M2481)-N2482</f>
        <v>49.67</v>
      </c>
      <c r="N2482" s="1" t="n">
        <v>3</v>
      </c>
    </row>
    <row r="2483" customFormat="false" ht="15" hidden="false" customHeight="true" outlineLevel="0" collapsed="false">
      <c r="D2483" s="17" t="n">
        <v>46070</v>
      </c>
      <c r="H2483" s="15" t="s">
        <v>34</v>
      </c>
      <c r="I2483" s="15" t="s">
        <v>54</v>
      </c>
      <c r="J2483" s="1" t="n">
        <f aca="false">K2482</f>
        <v>48768</v>
      </c>
      <c r="K2483" s="1" t="n">
        <f aca="false">J2483+L2483</f>
        <v>48795</v>
      </c>
      <c r="L2483" s="1" t="n">
        <v>27</v>
      </c>
      <c r="M2483" s="15" t="n">
        <f aca="false">(E2483+M2482)-N2483</f>
        <v>46.47</v>
      </c>
      <c r="N2483" s="1" t="n">
        <v>3.2</v>
      </c>
    </row>
    <row r="2484" customFormat="false" ht="15" hidden="false" customHeight="true" outlineLevel="0" collapsed="false">
      <c r="H2484" s="15" t="s">
        <v>54</v>
      </c>
      <c r="I2484" s="15" t="s">
        <v>34</v>
      </c>
      <c r="J2484" s="1" t="n">
        <f aca="false">K2483</f>
        <v>48795</v>
      </c>
      <c r="K2484" s="1" t="n">
        <f aca="false">J2484+L2484</f>
        <v>48822</v>
      </c>
      <c r="L2484" s="1" t="n">
        <v>27</v>
      </c>
      <c r="M2484" s="15" t="n">
        <f aca="false">(E2484+M2483)-N2484</f>
        <v>43.27</v>
      </c>
      <c r="N2484" s="1" t="n">
        <v>3.2</v>
      </c>
    </row>
    <row r="2485" customFormat="false" ht="15" hidden="false" customHeight="true" outlineLevel="0" collapsed="false">
      <c r="D2485" s="17" t="n">
        <v>46071</v>
      </c>
      <c r="H2485" s="15" t="s">
        <v>34</v>
      </c>
      <c r="I2485" s="15" t="s">
        <v>85</v>
      </c>
      <c r="J2485" s="1" t="n">
        <f aca="false">K2484</f>
        <v>48822</v>
      </c>
      <c r="K2485" s="1" t="n">
        <f aca="false">J2485+L2485</f>
        <v>48866</v>
      </c>
      <c r="L2485" s="1" t="n">
        <v>44</v>
      </c>
      <c r="M2485" s="15" t="n">
        <f aca="false">(E2485+M2484)-N2485</f>
        <v>38.27</v>
      </c>
      <c r="N2485" s="1" t="n">
        <v>5</v>
      </c>
    </row>
    <row r="2486" customFormat="false" ht="15" hidden="false" customHeight="true" outlineLevel="0" collapsed="false">
      <c r="H2486" s="15" t="s">
        <v>85</v>
      </c>
      <c r="I2486" s="15" t="s">
        <v>34</v>
      </c>
      <c r="J2486" s="1" t="n">
        <f aca="false">K2485</f>
        <v>48866</v>
      </c>
      <c r="K2486" s="1" t="n">
        <f aca="false">J2486+L2486</f>
        <v>48910</v>
      </c>
      <c r="L2486" s="1" t="n">
        <v>44</v>
      </c>
      <c r="M2486" s="15" t="n">
        <f aca="false">(E2486+M2485)-N2486</f>
        <v>33.27</v>
      </c>
      <c r="N2486" s="1" t="n">
        <v>5</v>
      </c>
    </row>
    <row r="2487" customFormat="false" ht="15" hidden="false" customHeight="true" outlineLevel="0" collapsed="false">
      <c r="D2487" s="17" t="n">
        <v>46072</v>
      </c>
      <c r="H2487" s="15" t="s">
        <v>34</v>
      </c>
      <c r="I2487" s="15" t="s">
        <v>102</v>
      </c>
      <c r="J2487" s="1" t="n">
        <f aca="false">K2486</f>
        <v>48910</v>
      </c>
      <c r="K2487" s="1" t="n">
        <f aca="false">J2487+L2487</f>
        <v>48935</v>
      </c>
      <c r="L2487" s="1" t="n">
        <v>25</v>
      </c>
      <c r="M2487" s="15" t="n">
        <f aca="false">(E2487+M2486)-N2487</f>
        <v>30.27</v>
      </c>
      <c r="N2487" s="1" t="n">
        <v>3</v>
      </c>
    </row>
    <row r="2488" customFormat="false" ht="15" hidden="false" customHeight="true" outlineLevel="0" collapsed="false">
      <c r="H2488" s="15" t="s">
        <v>102</v>
      </c>
      <c r="I2488" s="15" t="s">
        <v>34</v>
      </c>
      <c r="J2488" s="1" t="n">
        <f aca="false">K2487</f>
        <v>48935</v>
      </c>
      <c r="K2488" s="1" t="n">
        <f aca="false">J2488+L2488</f>
        <v>48960</v>
      </c>
      <c r="L2488" s="1" t="n">
        <v>25</v>
      </c>
      <c r="M2488" s="15" t="n">
        <f aca="false">(E2488+M2487)-N2488</f>
        <v>27.27</v>
      </c>
      <c r="N2488" s="1" t="n">
        <v>3</v>
      </c>
    </row>
    <row r="2489" customFormat="false" ht="15" hidden="false" customHeight="true" outlineLevel="0" collapsed="false">
      <c r="D2489" s="17" t="n">
        <v>46073</v>
      </c>
      <c r="H2489" s="15" t="s">
        <v>34</v>
      </c>
      <c r="I2489" s="15" t="s">
        <v>102</v>
      </c>
      <c r="J2489" s="1" t="n">
        <f aca="false">K2488</f>
        <v>48960</v>
      </c>
      <c r="K2489" s="1" t="n">
        <f aca="false">J2489+L2489</f>
        <v>48985</v>
      </c>
      <c r="L2489" s="1" t="n">
        <v>25</v>
      </c>
      <c r="M2489" s="15" t="n">
        <f aca="false">(E2489+M2488)-N2489</f>
        <v>24.27</v>
      </c>
      <c r="N2489" s="1" t="n">
        <v>3</v>
      </c>
    </row>
    <row r="2490" customFormat="false" ht="15" hidden="false" customHeight="true" outlineLevel="0" collapsed="false">
      <c r="H2490" s="15" t="s">
        <v>102</v>
      </c>
      <c r="I2490" s="15" t="s">
        <v>34</v>
      </c>
      <c r="J2490" s="1" t="n">
        <f aca="false">K2489</f>
        <v>48985</v>
      </c>
      <c r="K2490" s="1" t="n">
        <f aca="false">J2490+L2490</f>
        <v>49010</v>
      </c>
      <c r="L2490" s="1" t="n">
        <v>25</v>
      </c>
      <c r="M2490" s="15" t="n">
        <f aca="false">(E2490+M2489)-N2490</f>
        <v>21.27</v>
      </c>
      <c r="N2490" s="1" t="n">
        <v>3</v>
      </c>
    </row>
    <row r="2491" customFormat="false" ht="15" hidden="false" customHeight="true" outlineLevel="0" collapsed="false">
      <c r="D2491" s="17" t="n">
        <v>46077</v>
      </c>
      <c r="H2491" s="15" t="s">
        <v>34</v>
      </c>
      <c r="I2491" s="15" t="s">
        <v>99</v>
      </c>
      <c r="J2491" s="1" t="n">
        <f aca="false">K2490</f>
        <v>49010</v>
      </c>
      <c r="K2491" s="1" t="n">
        <f aca="false">J2491+L2491</f>
        <v>49045</v>
      </c>
      <c r="L2491" s="1" t="n">
        <v>35</v>
      </c>
      <c r="M2491" s="15" t="n">
        <f aca="false">(E2491+M2490)-N2491</f>
        <v>17.07</v>
      </c>
      <c r="N2491" s="1" t="n">
        <v>4.2</v>
      </c>
    </row>
    <row r="2492" customFormat="false" ht="15" hidden="false" customHeight="true" outlineLevel="0" collapsed="false">
      <c r="H2492" s="15" t="s">
        <v>99</v>
      </c>
      <c r="I2492" s="15" t="s">
        <v>34</v>
      </c>
      <c r="J2492" s="1" t="n">
        <f aca="false">K2491</f>
        <v>49045</v>
      </c>
      <c r="K2492" s="1" t="n">
        <f aca="false">J2492+L2492</f>
        <v>49080</v>
      </c>
      <c r="L2492" s="1" t="n">
        <v>35</v>
      </c>
      <c r="M2492" s="15" t="n">
        <f aca="false">(E2492+M2491)-N2492</f>
        <v>12.87</v>
      </c>
      <c r="N2492" s="1" t="n">
        <v>4.2</v>
      </c>
    </row>
    <row r="2493" customFormat="false" ht="15" hidden="false" customHeight="true" outlineLevel="0" collapsed="false">
      <c r="D2493" s="17" t="n">
        <v>46078</v>
      </c>
      <c r="H2493" s="15" t="s">
        <v>34</v>
      </c>
      <c r="I2493" s="15" t="s">
        <v>35</v>
      </c>
      <c r="J2493" s="1" t="n">
        <f aca="false">K2492</f>
        <v>49080</v>
      </c>
      <c r="K2493" s="1" t="n">
        <f aca="false">J2493+L2493</f>
        <v>49092</v>
      </c>
      <c r="L2493" s="1" t="n">
        <v>12</v>
      </c>
      <c r="M2493" s="15" t="n">
        <f aca="false">(E2493+M2492)-N2493</f>
        <v>11.62</v>
      </c>
      <c r="N2493" s="1" t="n">
        <v>1.25</v>
      </c>
    </row>
    <row r="2494" customFormat="false" ht="15" hidden="false" customHeight="true" outlineLevel="0" collapsed="false">
      <c r="H2494" s="15" t="s">
        <v>35</v>
      </c>
      <c r="I2494" s="15" t="s">
        <v>34</v>
      </c>
      <c r="J2494" s="1" t="n">
        <f aca="false">K2493</f>
        <v>49092</v>
      </c>
      <c r="K2494" s="1" t="n">
        <f aca="false">J2494+L2494</f>
        <v>49104</v>
      </c>
      <c r="L2494" s="1" t="n">
        <v>12</v>
      </c>
      <c r="M2494" s="15" t="n">
        <f aca="false">(E2494+M2493)-N2494</f>
        <v>10.37</v>
      </c>
      <c r="N2494" s="1" t="n">
        <v>1.25</v>
      </c>
    </row>
    <row r="2495" customFormat="false" ht="15" hidden="false" customHeight="true" outlineLevel="0" collapsed="false">
      <c r="D2495" s="17" t="n">
        <v>46079</v>
      </c>
      <c r="H2495" s="15" t="s">
        <v>34</v>
      </c>
      <c r="I2495" s="15" t="s">
        <v>43</v>
      </c>
      <c r="J2495" s="1" t="n">
        <f aca="false">K2494</f>
        <v>49104</v>
      </c>
      <c r="K2495" s="1" t="n">
        <f aca="false">J2495+L2495</f>
        <v>49116</v>
      </c>
      <c r="L2495" s="1" t="n">
        <v>12</v>
      </c>
      <c r="M2495" s="15" t="n">
        <f aca="false">(E2495+M2494)-N2495</f>
        <v>9.11999999999998</v>
      </c>
      <c r="N2495" s="1" t="n">
        <v>1.25</v>
      </c>
    </row>
    <row r="2496" customFormat="false" ht="15" hidden="false" customHeight="true" outlineLevel="0" collapsed="false">
      <c r="H2496" s="15" t="s">
        <v>43</v>
      </c>
      <c r="I2496" s="15" t="s">
        <v>34</v>
      </c>
      <c r="J2496" s="1" t="n">
        <f aca="false">K2495</f>
        <v>49116</v>
      </c>
      <c r="K2496" s="1" t="n">
        <f aca="false">J2496+L2496</f>
        <v>49128</v>
      </c>
      <c r="L2496" s="1" t="n">
        <v>12</v>
      </c>
      <c r="M2496" s="15" t="n">
        <f aca="false">(E2496+M2495)-N2496</f>
        <v>7.86999999999998</v>
      </c>
      <c r="N2496" s="1" t="n">
        <v>1.25</v>
      </c>
    </row>
    <row r="2497" customFormat="false" ht="15" hidden="false" customHeight="true" outlineLevel="0" collapsed="false">
      <c r="D2497" s="17" t="n">
        <v>46080</v>
      </c>
      <c r="H2497" s="15" t="s">
        <v>34</v>
      </c>
      <c r="I2497" s="15" t="s">
        <v>35</v>
      </c>
      <c r="J2497" s="1" t="n">
        <f aca="false">K2496</f>
        <v>49128</v>
      </c>
      <c r="K2497" s="1" t="n">
        <f aca="false">J2497+L2497</f>
        <v>49140</v>
      </c>
      <c r="L2497" s="1" t="n">
        <v>12</v>
      </c>
      <c r="M2497" s="15" t="n">
        <f aca="false">(E2497+M2496)-N2497</f>
        <v>6.61999999999998</v>
      </c>
      <c r="N2497" s="1" t="n">
        <v>1.25</v>
      </c>
    </row>
    <row r="2498" customFormat="false" ht="15" hidden="false" customHeight="true" outlineLevel="0" collapsed="false">
      <c r="H2498" s="15" t="s">
        <v>35</v>
      </c>
      <c r="I2498" s="15" t="s">
        <v>34</v>
      </c>
      <c r="J2498" s="1" t="n">
        <f aca="false">K2497</f>
        <v>49140</v>
      </c>
      <c r="K2498" s="1" t="n">
        <f aca="false">J2498+L2498</f>
        <v>49152</v>
      </c>
      <c r="L2498" s="1" t="n">
        <v>12</v>
      </c>
      <c r="M2498" s="15" t="n">
        <f aca="false">(E2498+M2497)-N2498</f>
        <v>5.36999999999998</v>
      </c>
      <c r="N2498" s="1" t="n">
        <v>1.25</v>
      </c>
    </row>
    <row r="2499" customFormat="false" ht="15" hidden="false" customHeight="true" outlineLevel="0" collapsed="false">
      <c r="D2499" s="0" t="s">
        <v>17</v>
      </c>
      <c r="L2499" s="1" t="n">
        <f aca="false">SUM(L2453:L2498)</f>
        <v>1342</v>
      </c>
    </row>
    <row r="2501" customFormat="false" ht="15" hidden="false" customHeight="false" outlineLevel="0" collapsed="false">
      <c r="D2501" s="18" t="s">
        <v>105</v>
      </c>
    </row>
    <row r="2503" customFormat="false" ht="15" hidden="false" customHeight="false" outlineLevel="0" collapsed="false">
      <c r="D2503" s="17" t="n">
        <v>46083</v>
      </c>
      <c r="E2503" s="0" t="n">
        <v>47.55</v>
      </c>
      <c r="F2503" s="1" t="n">
        <v>68.77</v>
      </c>
      <c r="G2503" s="15" t="n">
        <f aca="false">E2503*F2503</f>
        <v>3270.0135</v>
      </c>
      <c r="H2503" s="15" t="s">
        <v>34</v>
      </c>
      <c r="I2503" s="15" t="s">
        <v>44</v>
      </c>
      <c r="J2503" s="1" t="n">
        <f aca="false">K2498</f>
        <v>49152</v>
      </c>
      <c r="K2503" s="1" t="n">
        <f aca="false">J2503+L2503</f>
        <v>49192</v>
      </c>
      <c r="L2503" s="1" t="n">
        <v>40</v>
      </c>
      <c r="M2503" s="15" t="n">
        <f aca="false">(E2503+M2498)-N2503</f>
        <v>48.12</v>
      </c>
      <c r="N2503" s="1" t="n">
        <v>4.8</v>
      </c>
    </row>
    <row r="2504" customFormat="false" ht="15" hidden="false" customHeight="false" outlineLevel="0" collapsed="false">
      <c r="H2504" s="15" t="s">
        <v>44</v>
      </c>
      <c r="I2504" s="15" t="s">
        <v>34</v>
      </c>
      <c r="J2504" s="1" t="n">
        <f aca="false">K2503</f>
        <v>49192</v>
      </c>
      <c r="K2504" s="1" t="n">
        <f aca="false">J2504+L2504</f>
        <v>49232</v>
      </c>
      <c r="L2504" s="1" t="n">
        <v>40</v>
      </c>
      <c r="M2504" s="15" t="n">
        <f aca="false">(E2504+M2503)-N2504</f>
        <v>43.32</v>
      </c>
      <c r="N2504" s="1" t="n">
        <v>4.8</v>
      </c>
    </row>
    <row r="2505" customFormat="false" ht="15" hidden="false" customHeight="false" outlineLevel="0" collapsed="false">
      <c r="D2505" s="17" t="n">
        <v>46084</v>
      </c>
      <c r="H2505" s="15" t="s">
        <v>34</v>
      </c>
      <c r="I2505" s="15" t="s">
        <v>35</v>
      </c>
      <c r="J2505" s="1" t="n">
        <f aca="false">K2504</f>
        <v>49232</v>
      </c>
      <c r="K2505" s="1" t="n">
        <f aca="false">J2505+L2505</f>
        <v>49244</v>
      </c>
      <c r="L2505" s="1" t="n">
        <v>12</v>
      </c>
      <c r="M2505" s="15" t="n">
        <f aca="false">(E2505+M2504)-N2505</f>
        <v>42.07</v>
      </c>
      <c r="N2505" s="1" t="n">
        <v>1.25</v>
      </c>
    </row>
    <row r="2506" customFormat="false" ht="15" hidden="false" customHeight="false" outlineLevel="0" collapsed="false">
      <c r="H2506" s="15" t="s">
        <v>35</v>
      </c>
      <c r="I2506" s="15" t="s">
        <v>34</v>
      </c>
      <c r="J2506" s="1" t="n">
        <f aca="false">K2505</f>
        <v>49244</v>
      </c>
      <c r="K2506" s="1" t="n">
        <f aca="false">J2506+L2506</f>
        <v>49256</v>
      </c>
      <c r="L2506" s="1" t="n">
        <v>12</v>
      </c>
      <c r="M2506" s="15" t="n">
        <f aca="false">(E2506+M2505)-N2506</f>
        <v>40.82</v>
      </c>
      <c r="N2506" s="1" t="n">
        <v>1.25</v>
      </c>
    </row>
    <row r="2507" customFormat="false" ht="15" hidden="false" customHeight="false" outlineLevel="0" collapsed="false">
      <c r="D2507" s="17" t="n">
        <v>46085</v>
      </c>
      <c r="H2507" s="15" t="s">
        <v>34</v>
      </c>
      <c r="I2507" s="15" t="s">
        <v>43</v>
      </c>
      <c r="J2507" s="1" t="n">
        <f aca="false">K2506</f>
        <v>49256</v>
      </c>
      <c r="K2507" s="1" t="n">
        <f aca="false">J2507+L2507</f>
        <v>49268</v>
      </c>
      <c r="L2507" s="1" t="n">
        <v>12</v>
      </c>
      <c r="M2507" s="15" t="n">
        <f aca="false">(E2507+M2506)-N2507</f>
        <v>39.57</v>
      </c>
      <c r="N2507" s="1" t="n">
        <v>1.25</v>
      </c>
    </row>
    <row r="2508" customFormat="false" ht="15" hidden="false" customHeight="false" outlineLevel="0" collapsed="false">
      <c r="H2508" s="15" t="s">
        <v>43</v>
      </c>
      <c r="I2508" s="15" t="s">
        <v>34</v>
      </c>
      <c r="J2508" s="1" t="n">
        <f aca="false">K2507</f>
        <v>49268</v>
      </c>
      <c r="K2508" s="1" t="n">
        <f aca="false">J2508+L2508</f>
        <v>49280</v>
      </c>
      <c r="L2508" s="1" t="n">
        <v>12</v>
      </c>
      <c r="M2508" s="15" t="n">
        <f aca="false">(E2508+M2507)-N2508</f>
        <v>38.32</v>
      </c>
      <c r="N2508" s="1" t="n">
        <v>1.25</v>
      </c>
    </row>
    <row r="2509" customFormat="false" ht="15" hidden="false" customHeight="false" outlineLevel="0" collapsed="false">
      <c r="D2509" s="17" t="n">
        <v>46086</v>
      </c>
      <c r="H2509" s="15" t="s">
        <v>34</v>
      </c>
      <c r="I2509" s="15" t="s">
        <v>35</v>
      </c>
      <c r="J2509" s="1" t="n">
        <f aca="false">K2508</f>
        <v>49280</v>
      </c>
      <c r="K2509" s="1" t="n">
        <f aca="false">J2509+L2509</f>
        <v>49292</v>
      </c>
      <c r="L2509" s="1" t="n">
        <v>12</v>
      </c>
      <c r="M2509" s="15" t="n">
        <f aca="false">(E2509+M2508)-N2509</f>
        <v>37.07</v>
      </c>
      <c r="N2509" s="1" t="n">
        <v>1.25</v>
      </c>
    </row>
    <row r="2510" customFormat="false" ht="15" hidden="false" customHeight="false" outlineLevel="0" collapsed="false">
      <c r="H2510" s="15" t="s">
        <v>35</v>
      </c>
      <c r="I2510" s="15" t="s">
        <v>34</v>
      </c>
      <c r="J2510" s="1" t="n">
        <f aca="false">K2509</f>
        <v>49292</v>
      </c>
      <c r="K2510" s="1" t="n">
        <f aca="false">J2510+L2510</f>
        <v>49304</v>
      </c>
      <c r="L2510" s="1" t="n">
        <v>12</v>
      </c>
      <c r="M2510" s="15" t="n">
        <f aca="false">(E2510+M2509)-N2510</f>
        <v>35.82</v>
      </c>
      <c r="N2510" s="1" t="n">
        <v>1.25</v>
      </c>
    </row>
    <row r="2511" customFormat="false" ht="15" hidden="false" customHeight="false" outlineLevel="0" collapsed="false">
      <c r="D2511" s="17" t="n">
        <v>46087</v>
      </c>
      <c r="H2511" s="15" t="s">
        <v>34</v>
      </c>
      <c r="I2511" s="15" t="s">
        <v>43</v>
      </c>
      <c r="J2511" s="1" t="n">
        <f aca="false">K2510</f>
        <v>49304</v>
      </c>
      <c r="K2511" s="1" t="n">
        <f aca="false">J2511+L2511</f>
        <v>49316</v>
      </c>
      <c r="L2511" s="1" t="n">
        <v>12</v>
      </c>
      <c r="M2511" s="15" t="n">
        <f aca="false">(E2511+M2510)-N2511</f>
        <v>34.57</v>
      </c>
      <c r="N2511" s="1" t="n">
        <v>1.25</v>
      </c>
    </row>
    <row r="2512" customFormat="false" ht="15" hidden="false" customHeight="false" outlineLevel="0" collapsed="false">
      <c r="H2512" s="15" t="s">
        <v>43</v>
      </c>
      <c r="I2512" s="15" t="s">
        <v>34</v>
      </c>
      <c r="J2512" s="1" t="n">
        <f aca="false">K2511</f>
        <v>49316</v>
      </c>
      <c r="K2512" s="1" t="n">
        <f aca="false">J2512+L2512</f>
        <v>49328</v>
      </c>
      <c r="L2512" s="1" t="n">
        <v>12</v>
      </c>
      <c r="M2512" s="15" t="n">
        <f aca="false">(E2512+M2511)-N2512</f>
        <v>33.32</v>
      </c>
      <c r="N2512" s="1" t="n">
        <v>1.25</v>
      </c>
    </row>
    <row r="2513" customFormat="false" ht="15" hidden="false" customHeight="false" outlineLevel="0" collapsed="false">
      <c r="D2513" s="17" t="n">
        <v>46091</v>
      </c>
      <c r="H2513" s="15" t="s">
        <v>34</v>
      </c>
      <c r="I2513" s="15" t="s">
        <v>35</v>
      </c>
      <c r="J2513" s="1" t="n">
        <f aca="false">K2512</f>
        <v>49328</v>
      </c>
      <c r="K2513" s="1" t="n">
        <f aca="false">J2513+L2513</f>
        <v>49340</v>
      </c>
      <c r="L2513" s="1" t="n">
        <v>12</v>
      </c>
      <c r="M2513" s="15" t="n">
        <f aca="false">(E2513+M2512)-N2513</f>
        <v>32.07</v>
      </c>
      <c r="N2513" s="1" t="n">
        <v>1.25</v>
      </c>
    </row>
    <row r="2514" customFormat="false" ht="15" hidden="false" customHeight="false" outlineLevel="0" collapsed="false">
      <c r="H2514" s="15" t="s">
        <v>35</v>
      </c>
      <c r="I2514" s="15" t="s">
        <v>34</v>
      </c>
      <c r="J2514" s="1" t="n">
        <f aca="false">K2513</f>
        <v>49340</v>
      </c>
      <c r="K2514" s="1" t="n">
        <f aca="false">J2514+L2514</f>
        <v>49352</v>
      </c>
      <c r="L2514" s="1" t="n">
        <v>12</v>
      </c>
      <c r="M2514" s="15" t="n">
        <f aca="false">(E2514+M2513)-N2514</f>
        <v>30.82</v>
      </c>
      <c r="N2514" s="1" t="n">
        <v>1.25</v>
      </c>
    </row>
    <row r="2515" customFormat="false" ht="15" hidden="false" customHeight="false" outlineLevel="0" collapsed="false">
      <c r="D2515" s="17" t="n">
        <v>46092</v>
      </c>
      <c r="H2515" s="15" t="s">
        <v>34</v>
      </c>
      <c r="I2515" s="15" t="s">
        <v>43</v>
      </c>
      <c r="J2515" s="1" t="n">
        <f aca="false">K2514</f>
        <v>49352</v>
      </c>
      <c r="K2515" s="1" t="n">
        <f aca="false">J2515+L2515</f>
        <v>49364</v>
      </c>
      <c r="L2515" s="1" t="n">
        <v>12</v>
      </c>
      <c r="M2515" s="15" t="n">
        <f aca="false">(E2515+M2514)-N2515</f>
        <v>29.57</v>
      </c>
      <c r="N2515" s="1" t="n">
        <v>1.25</v>
      </c>
    </row>
    <row r="2516" customFormat="false" ht="15" hidden="false" customHeight="false" outlineLevel="0" collapsed="false">
      <c r="H2516" s="15" t="s">
        <v>43</v>
      </c>
      <c r="I2516" s="15" t="s">
        <v>34</v>
      </c>
      <c r="J2516" s="1" t="n">
        <f aca="false">K2515</f>
        <v>49364</v>
      </c>
      <c r="K2516" s="1" t="n">
        <f aca="false">J2516+L2516</f>
        <v>49376</v>
      </c>
      <c r="L2516" s="1" t="n">
        <v>12</v>
      </c>
      <c r="M2516" s="15" t="n">
        <f aca="false">(E2516+M2515)-N2516</f>
        <v>28.32</v>
      </c>
      <c r="N2516" s="1" t="n">
        <v>1.25</v>
      </c>
    </row>
    <row r="2517" customFormat="false" ht="15" hidden="false" customHeight="false" outlineLevel="0" collapsed="false">
      <c r="D2517" s="17" t="n">
        <v>46093</v>
      </c>
      <c r="H2517" s="15" t="s">
        <v>34</v>
      </c>
      <c r="I2517" s="15" t="s">
        <v>35</v>
      </c>
      <c r="J2517" s="1" t="n">
        <f aca="false">K2516</f>
        <v>49376</v>
      </c>
      <c r="K2517" s="1" t="n">
        <f aca="false">J2517+L2517</f>
        <v>49388</v>
      </c>
      <c r="L2517" s="1" t="n">
        <v>12</v>
      </c>
      <c r="M2517" s="15" t="n">
        <f aca="false">(E2517+M2516)-N2517</f>
        <v>27.07</v>
      </c>
      <c r="N2517" s="1" t="n">
        <v>1.25</v>
      </c>
    </row>
    <row r="2518" customFormat="false" ht="15" hidden="false" customHeight="false" outlineLevel="0" collapsed="false">
      <c r="H2518" s="15" t="s">
        <v>35</v>
      </c>
      <c r="I2518" s="15" t="s">
        <v>34</v>
      </c>
      <c r="J2518" s="1" t="n">
        <f aca="false">K2517</f>
        <v>49388</v>
      </c>
      <c r="K2518" s="1" t="n">
        <f aca="false">J2518+L2518</f>
        <v>49400</v>
      </c>
      <c r="L2518" s="1" t="n">
        <v>12</v>
      </c>
      <c r="M2518" s="15" t="n">
        <f aca="false">(E2518+M2517)-N2518</f>
        <v>25.82</v>
      </c>
      <c r="N2518" s="1" t="n">
        <v>1.25</v>
      </c>
    </row>
    <row r="2519" customFormat="false" ht="15" hidden="false" customHeight="false" outlineLevel="0" collapsed="false">
      <c r="D2519" s="17" t="n">
        <v>46094</v>
      </c>
      <c r="H2519" s="15" t="s">
        <v>34</v>
      </c>
      <c r="I2519" s="15" t="s">
        <v>43</v>
      </c>
      <c r="J2519" s="1" t="n">
        <f aca="false">K2518</f>
        <v>49400</v>
      </c>
      <c r="K2519" s="1" t="n">
        <f aca="false">J2519+L2519</f>
        <v>49412</v>
      </c>
      <c r="L2519" s="1" t="n">
        <v>12</v>
      </c>
      <c r="M2519" s="15" t="n">
        <f aca="false">(E2519+M2518)-N2519</f>
        <v>24.57</v>
      </c>
      <c r="N2519" s="1" t="n">
        <v>1.25</v>
      </c>
    </row>
    <row r="2520" customFormat="false" ht="15" hidden="false" customHeight="false" outlineLevel="0" collapsed="false">
      <c r="H2520" s="15" t="s">
        <v>43</v>
      </c>
      <c r="I2520" s="15" t="s">
        <v>34</v>
      </c>
      <c r="J2520" s="1" t="n">
        <f aca="false">K2519</f>
        <v>49412</v>
      </c>
      <c r="K2520" s="1" t="n">
        <f aca="false">J2520+L2520</f>
        <v>49424</v>
      </c>
      <c r="L2520" s="1" t="n">
        <v>12</v>
      </c>
      <c r="M2520" s="15" t="n">
        <f aca="false">(E2520+M2519)-N2520</f>
        <v>23.32</v>
      </c>
      <c r="N2520" s="1" t="n">
        <v>1.25</v>
      </c>
    </row>
    <row r="2521" customFormat="false" ht="15" hidden="false" customHeight="false" outlineLevel="0" collapsed="false">
      <c r="D2521" s="17" t="n">
        <v>46097</v>
      </c>
      <c r="H2521" s="15" t="s">
        <v>34</v>
      </c>
      <c r="I2521" s="15" t="s">
        <v>35</v>
      </c>
      <c r="J2521" s="1" t="n">
        <f aca="false">K2520</f>
        <v>49424</v>
      </c>
      <c r="K2521" s="1" t="n">
        <f aca="false">J2521+L2521</f>
        <v>49436</v>
      </c>
      <c r="L2521" s="1" t="n">
        <v>12</v>
      </c>
      <c r="M2521" s="15" t="n">
        <f aca="false">(E2521+M2520)-N2521</f>
        <v>22.07</v>
      </c>
      <c r="N2521" s="1" t="n">
        <v>1.25</v>
      </c>
    </row>
    <row r="2522" customFormat="false" ht="15" hidden="false" customHeight="false" outlineLevel="0" collapsed="false">
      <c r="H2522" s="15" t="s">
        <v>35</v>
      </c>
      <c r="I2522" s="15" t="s">
        <v>34</v>
      </c>
      <c r="J2522" s="1" t="n">
        <f aca="false">K2521</f>
        <v>49436</v>
      </c>
      <c r="K2522" s="1" t="n">
        <f aca="false">J2522+L2522</f>
        <v>49448</v>
      </c>
      <c r="L2522" s="1" t="n">
        <v>12</v>
      </c>
      <c r="M2522" s="15" t="n">
        <f aca="false">(E2522+M2521)-N2522</f>
        <v>20.82</v>
      </c>
      <c r="N2522" s="1" t="n">
        <v>1.25</v>
      </c>
    </row>
    <row r="2523" customFormat="false" ht="15" hidden="false" customHeight="false" outlineLevel="0" collapsed="false">
      <c r="D2523" s="17" t="n">
        <v>46098</v>
      </c>
      <c r="H2523" s="15" t="s">
        <v>34</v>
      </c>
      <c r="I2523" s="15" t="s">
        <v>43</v>
      </c>
      <c r="J2523" s="1" t="n">
        <f aca="false">K2522</f>
        <v>49448</v>
      </c>
      <c r="K2523" s="1" t="n">
        <f aca="false">J2523+L2523</f>
        <v>49460</v>
      </c>
      <c r="L2523" s="1" t="n">
        <v>12</v>
      </c>
      <c r="M2523" s="15" t="n">
        <f aca="false">(E2523+M2522)-N2523</f>
        <v>19.57</v>
      </c>
      <c r="N2523" s="1" t="n">
        <v>1.25</v>
      </c>
    </row>
    <row r="2524" customFormat="false" ht="15" hidden="false" customHeight="false" outlineLevel="0" collapsed="false">
      <c r="H2524" s="15" t="s">
        <v>43</v>
      </c>
      <c r="I2524" s="15" t="s">
        <v>34</v>
      </c>
      <c r="J2524" s="1" t="n">
        <f aca="false">K2523</f>
        <v>49460</v>
      </c>
      <c r="K2524" s="1" t="n">
        <f aca="false">J2524+L2524</f>
        <v>49472</v>
      </c>
      <c r="L2524" s="1" t="n">
        <v>12</v>
      </c>
      <c r="M2524" s="15" t="n">
        <f aca="false">(E2524+M2523)-N2524</f>
        <v>18.32</v>
      </c>
      <c r="N2524" s="1" t="n">
        <v>1.25</v>
      </c>
    </row>
    <row r="2525" customFormat="false" ht="15" hidden="false" customHeight="false" outlineLevel="0" collapsed="false">
      <c r="D2525" s="17" t="n">
        <v>46099</v>
      </c>
      <c r="H2525" s="15" t="s">
        <v>34</v>
      </c>
      <c r="I2525" s="15" t="s">
        <v>35</v>
      </c>
      <c r="J2525" s="1" t="n">
        <f aca="false">K2524</f>
        <v>49472</v>
      </c>
      <c r="K2525" s="1" t="n">
        <f aca="false">J2525+L2525</f>
        <v>49484</v>
      </c>
      <c r="L2525" s="1" t="n">
        <v>12</v>
      </c>
      <c r="M2525" s="15" t="n">
        <f aca="false">(E2525+M2524)-N2525</f>
        <v>17.07</v>
      </c>
      <c r="N2525" s="1" t="n">
        <v>1.25</v>
      </c>
    </row>
    <row r="2526" customFormat="false" ht="15" hidden="false" customHeight="false" outlineLevel="0" collapsed="false">
      <c r="H2526" s="15" t="s">
        <v>35</v>
      </c>
      <c r="I2526" s="15" t="s">
        <v>34</v>
      </c>
      <c r="J2526" s="1" t="n">
        <f aca="false">K2525</f>
        <v>49484</v>
      </c>
      <c r="K2526" s="1" t="n">
        <f aca="false">J2526+L2526</f>
        <v>49496</v>
      </c>
      <c r="L2526" s="1" t="n">
        <v>12</v>
      </c>
      <c r="M2526" s="15" t="n">
        <f aca="false">(E2526+M2525)-N2526</f>
        <v>15.82</v>
      </c>
      <c r="N2526" s="1" t="n">
        <v>1.25</v>
      </c>
    </row>
    <row r="2527" customFormat="false" ht="15" hidden="false" customHeight="false" outlineLevel="0" collapsed="false">
      <c r="D2527" s="17" t="n">
        <v>46100</v>
      </c>
      <c r="H2527" s="15" t="s">
        <v>34</v>
      </c>
      <c r="I2527" s="15" t="s">
        <v>43</v>
      </c>
      <c r="J2527" s="1" t="n">
        <f aca="false">K2526</f>
        <v>49496</v>
      </c>
      <c r="K2527" s="1" t="n">
        <f aca="false">J2527+L2527</f>
        <v>49508</v>
      </c>
      <c r="L2527" s="1" t="n">
        <v>12</v>
      </c>
      <c r="M2527" s="15" t="n">
        <f aca="false">(E2527+M2526)-N2527</f>
        <v>14.57</v>
      </c>
      <c r="N2527" s="1" t="n">
        <v>1.25</v>
      </c>
    </row>
    <row r="2528" customFormat="false" ht="15" hidden="false" customHeight="false" outlineLevel="0" collapsed="false">
      <c r="H2528" s="15" t="s">
        <v>43</v>
      </c>
      <c r="I2528" s="15" t="s">
        <v>34</v>
      </c>
      <c r="J2528" s="1" t="n">
        <f aca="false">K2527</f>
        <v>49508</v>
      </c>
      <c r="K2528" s="1" t="n">
        <f aca="false">J2528+L2528</f>
        <v>49520</v>
      </c>
      <c r="L2528" s="1" t="n">
        <v>12</v>
      </c>
      <c r="M2528" s="15" t="n">
        <f aca="false">(E2528+M2527)-N2528</f>
        <v>13.32</v>
      </c>
      <c r="N2528" s="1" t="n">
        <v>1.25</v>
      </c>
    </row>
    <row r="2529" customFormat="false" ht="15" hidden="false" customHeight="false" outlineLevel="0" collapsed="false">
      <c r="D2529" s="17" t="n">
        <v>46101</v>
      </c>
      <c r="H2529" s="15" t="s">
        <v>34</v>
      </c>
      <c r="I2529" s="15" t="s">
        <v>35</v>
      </c>
      <c r="J2529" s="1" t="n">
        <f aca="false">K2528</f>
        <v>49520</v>
      </c>
      <c r="K2529" s="1" t="n">
        <f aca="false">J2529+L2529</f>
        <v>49532</v>
      </c>
      <c r="L2529" s="1" t="n">
        <v>12</v>
      </c>
      <c r="M2529" s="15" t="n">
        <f aca="false">(E2529+M2528)-N2529</f>
        <v>12.07</v>
      </c>
      <c r="N2529" s="1" t="n">
        <v>1.25</v>
      </c>
    </row>
    <row r="2530" customFormat="false" ht="15" hidden="false" customHeight="false" outlineLevel="0" collapsed="false">
      <c r="H2530" s="15" t="s">
        <v>35</v>
      </c>
      <c r="I2530" s="15" t="s">
        <v>34</v>
      </c>
      <c r="J2530" s="1" t="n">
        <f aca="false">K2529</f>
        <v>49532</v>
      </c>
      <c r="K2530" s="1" t="n">
        <f aca="false">J2530+L2530</f>
        <v>49544</v>
      </c>
      <c r="L2530" s="1" t="n">
        <v>12</v>
      </c>
      <c r="M2530" s="15" t="n">
        <f aca="false">(E2530+M2529)-N2530</f>
        <v>10.82</v>
      </c>
      <c r="N2530" s="1" t="n">
        <v>1.25</v>
      </c>
    </row>
    <row r="2531" customFormat="false" ht="15" hidden="false" customHeight="false" outlineLevel="0" collapsed="false">
      <c r="D2531" s="17" t="n">
        <v>46104</v>
      </c>
      <c r="H2531" s="15" t="s">
        <v>34</v>
      </c>
      <c r="I2531" s="15" t="s">
        <v>43</v>
      </c>
      <c r="J2531" s="1" t="n">
        <f aca="false">K2530</f>
        <v>49544</v>
      </c>
      <c r="K2531" s="1" t="n">
        <f aca="false">J2531+L2531</f>
        <v>49556</v>
      </c>
      <c r="L2531" s="1" t="n">
        <v>12</v>
      </c>
      <c r="M2531" s="15" t="n">
        <f aca="false">(E2531+M2530)-N2531</f>
        <v>9.56999999999999</v>
      </c>
      <c r="N2531" s="1" t="n">
        <v>1.25</v>
      </c>
    </row>
    <row r="2532" customFormat="false" ht="15" hidden="false" customHeight="false" outlineLevel="0" collapsed="false">
      <c r="H2532" s="15" t="s">
        <v>43</v>
      </c>
      <c r="I2532" s="15" t="s">
        <v>34</v>
      </c>
      <c r="J2532" s="1" t="n">
        <f aca="false">K2531</f>
        <v>49556</v>
      </c>
      <c r="K2532" s="1" t="n">
        <f aca="false">J2532+L2532</f>
        <v>49568</v>
      </c>
      <c r="L2532" s="1" t="n">
        <v>12</v>
      </c>
      <c r="M2532" s="15" t="n">
        <f aca="false">(E2532+M2531)-N2532</f>
        <v>8.31999999999999</v>
      </c>
      <c r="N2532" s="1" t="n">
        <v>1.25</v>
      </c>
    </row>
    <row r="2533" customFormat="false" ht="15" hidden="false" customHeight="false" outlineLevel="0" collapsed="false">
      <c r="D2533" s="17" t="n">
        <v>46105</v>
      </c>
      <c r="H2533" s="15" t="s">
        <v>34</v>
      </c>
      <c r="I2533" s="15" t="s">
        <v>35</v>
      </c>
      <c r="J2533" s="1" t="n">
        <f aca="false">K2532</f>
        <v>49568</v>
      </c>
      <c r="K2533" s="1" t="n">
        <f aca="false">J2533+L2533</f>
        <v>49580</v>
      </c>
      <c r="L2533" s="1" t="n">
        <v>12</v>
      </c>
      <c r="M2533" s="15" t="n">
        <f aca="false">(E2533+M2532)-N2533</f>
        <v>7.06999999999999</v>
      </c>
      <c r="N2533" s="1" t="n">
        <v>1.25</v>
      </c>
    </row>
    <row r="2534" customFormat="false" ht="15" hidden="false" customHeight="false" outlineLevel="0" collapsed="false">
      <c r="H2534" s="15" t="s">
        <v>35</v>
      </c>
      <c r="I2534" s="15" t="s">
        <v>34</v>
      </c>
      <c r="J2534" s="1" t="n">
        <f aca="false">K2533</f>
        <v>49580</v>
      </c>
      <c r="K2534" s="1" t="n">
        <f aca="false">J2534+L2534</f>
        <v>49592</v>
      </c>
      <c r="L2534" s="1" t="n">
        <v>12</v>
      </c>
      <c r="M2534" s="15" t="n">
        <f aca="false">(E2534+M2533)-N2534</f>
        <v>5.81999999999999</v>
      </c>
      <c r="N2534" s="1" t="n">
        <v>1.25</v>
      </c>
    </row>
    <row r="2535" customFormat="false" ht="15" hidden="false" customHeight="false" outlineLevel="0" collapsed="false">
      <c r="D2535" s="17" t="n">
        <v>46106</v>
      </c>
      <c r="H2535" s="15" t="s">
        <v>34</v>
      </c>
      <c r="I2535" s="15" t="s">
        <v>43</v>
      </c>
      <c r="J2535" s="1" t="n">
        <f aca="false">K2534</f>
        <v>49592</v>
      </c>
      <c r="K2535" s="1" t="n">
        <f aca="false">J2535+L2535</f>
        <v>49604</v>
      </c>
      <c r="L2535" s="1" t="n">
        <v>12</v>
      </c>
      <c r="M2535" s="15" t="n">
        <f aca="false">(E2535+M2534)-N2535</f>
        <v>4.56999999999999</v>
      </c>
      <c r="N2535" s="1" t="n">
        <v>1.25</v>
      </c>
    </row>
    <row r="2536" customFormat="false" ht="15" hidden="false" customHeight="false" outlineLevel="0" collapsed="false">
      <c r="H2536" s="15" t="s">
        <v>43</v>
      </c>
      <c r="I2536" s="15" t="s">
        <v>34</v>
      </c>
      <c r="J2536" s="1" t="n">
        <f aca="false">K2535</f>
        <v>49604</v>
      </c>
      <c r="K2536" s="1" t="n">
        <f aca="false">J2536+L2536</f>
        <v>49616</v>
      </c>
      <c r="L2536" s="1" t="n">
        <v>12</v>
      </c>
      <c r="M2536" s="15" t="n">
        <f aca="false">(E2536+M2535)-N2536</f>
        <v>3.31999999999999</v>
      </c>
      <c r="N2536" s="1" t="n">
        <v>1.25</v>
      </c>
    </row>
    <row r="2537" customFormat="false" ht="15" hidden="false" customHeight="false" outlineLevel="0" collapsed="false">
      <c r="D2537" s="17" t="n">
        <v>46107</v>
      </c>
      <c r="E2537" s="0" t="n">
        <v>14.7</v>
      </c>
      <c r="F2537" s="1" t="n">
        <v>69.37</v>
      </c>
      <c r="G2537" s="15" t="n">
        <f aca="false">E2537*F2537</f>
        <v>1019.739</v>
      </c>
      <c r="H2537" s="15" t="s">
        <v>34</v>
      </c>
      <c r="I2537" s="15" t="s">
        <v>54</v>
      </c>
      <c r="J2537" s="1" t="n">
        <f aca="false">K2536</f>
        <v>49616</v>
      </c>
      <c r="K2537" s="1" t="n">
        <f aca="false">J2537+L2537</f>
        <v>49643</v>
      </c>
      <c r="L2537" s="1" t="n">
        <v>27</v>
      </c>
      <c r="M2537" s="15" t="n">
        <f aca="false">(E2537+M2536)-N2537</f>
        <v>14.82</v>
      </c>
      <c r="N2537" s="1" t="n">
        <v>3.2</v>
      </c>
    </row>
    <row r="2538" customFormat="false" ht="15" hidden="false" customHeight="false" outlineLevel="0" collapsed="false">
      <c r="H2538" s="15" t="s">
        <v>54</v>
      </c>
      <c r="I2538" s="15" t="s">
        <v>34</v>
      </c>
      <c r="J2538" s="1" t="n">
        <f aca="false">K2537</f>
        <v>49643</v>
      </c>
      <c r="K2538" s="1" t="n">
        <f aca="false">J2538+L2538</f>
        <v>49670</v>
      </c>
      <c r="L2538" s="1" t="n">
        <v>27</v>
      </c>
      <c r="M2538" s="15" t="n">
        <f aca="false">(E2538+M2537)-N2538</f>
        <v>11.62</v>
      </c>
      <c r="N2538" s="1" t="n">
        <v>3.2</v>
      </c>
    </row>
    <row r="2539" customFormat="false" ht="15" hidden="false" customHeight="false" outlineLevel="0" collapsed="false">
      <c r="D2539" s="17" t="n">
        <v>46108</v>
      </c>
      <c r="H2539" s="15" t="s">
        <v>34</v>
      </c>
      <c r="I2539" s="15" t="s">
        <v>99</v>
      </c>
      <c r="J2539" s="1" t="n">
        <f aca="false">K2538</f>
        <v>49670</v>
      </c>
      <c r="K2539" s="1" t="n">
        <f aca="false">J2539+L2539</f>
        <v>49705</v>
      </c>
      <c r="L2539" s="1" t="n">
        <v>35</v>
      </c>
      <c r="M2539" s="15" t="n">
        <f aca="false">(E2539+M2538)-N2539</f>
        <v>7.41999999999999</v>
      </c>
      <c r="N2539" s="1" t="n">
        <v>4.2</v>
      </c>
    </row>
    <row r="2540" customFormat="false" ht="15" hidden="false" customHeight="false" outlineLevel="0" collapsed="false">
      <c r="H2540" s="15" t="s">
        <v>99</v>
      </c>
      <c r="I2540" s="15" t="s">
        <v>34</v>
      </c>
      <c r="J2540" s="1" t="n">
        <f aca="false">K2539</f>
        <v>49705</v>
      </c>
      <c r="K2540" s="1" t="n">
        <f aca="false">J2540+L2540</f>
        <v>49740</v>
      </c>
      <c r="L2540" s="1" t="n">
        <v>35</v>
      </c>
      <c r="M2540" s="15" t="n">
        <f aca="false">(E2540+M2539)-N2540</f>
        <v>3.21999999999999</v>
      </c>
      <c r="N2540" s="1" t="n">
        <v>4.2</v>
      </c>
    </row>
    <row r="2541" customFormat="false" ht="15" hidden="false" customHeight="false" outlineLevel="0" collapsed="false">
      <c r="D2541" s="17" t="n">
        <v>46111</v>
      </c>
      <c r="E2541" s="0" t="n">
        <v>46.55</v>
      </c>
      <c r="F2541" s="1" t="n">
        <v>69.37</v>
      </c>
      <c r="G2541" s="15" t="n">
        <f aca="false">E2541*F2541</f>
        <v>3229.1735</v>
      </c>
      <c r="H2541" s="15" t="s">
        <v>34</v>
      </c>
      <c r="I2541" s="15" t="s">
        <v>85</v>
      </c>
      <c r="J2541" s="1" t="n">
        <f aca="false">K2540</f>
        <v>49740</v>
      </c>
      <c r="K2541" s="1" t="n">
        <f aca="false">J2541+L2541</f>
        <v>49784</v>
      </c>
      <c r="L2541" s="1" t="n">
        <v>44</v>
      </c>
      <c r="M2541" s="15" t="n">
        <f aca="false">(E2541+M2540)-N2541</f>
        <v>44.77</v>
      </c>
      <c r="N2541" s="1" t="n">
        <v>5</v>
      </c>
    </row>
    <row r="2542" customFormat="false" ht="15" hidden="false" customHeight="false" outlineLevel="0" collapsed="false">
      <c r="H2542" s="15" t="s">
        <v>85</v>
      </c>
      <c r="I2542" s="15" t="s">
        <v>34</v>
      </c>
      <c r="J2542" s="1" t="n">
        <f aca="false">K2541</f>
        <v>49784</v>
      </c>
      <c r="K2542" s="1" t="n">
        <f aca="false">J2542+L2542</f>
        <v>49828</v>
      </c>
      <c r="L2542" s="1" t="n">
        <v>44</v>
      </c>
      <c r="M2542" s="15" t="n">
        <f aca="false">(E2542+M2541)-N2542</f>
        <v>39.77</v>
      </c>
      <c r="N2542" s="1" t="n">
        <v>5</v>
      </c>
    </row>
    <row r="2543" customFormat="false" ht="15" hidden="false" customHeight="false" outlineLevel="0" collapsed="false">
      <c r="D2543" s="17" t="n">
        <v>46112</v>
      </c>
      <c r="H2543" s="15" t="s">
        <v>34</v>
      </c>
      <c r="I2543" s="15" t="s">
        <v>99</v>
      </c>
      <c r="J2543" s="1" t="n">
        <f aca="false">K2542</f>
        <v>49828</v>
      </c>
      <c r="K2543" s="1" t="n">
        <f aca="false">J2543+L2543</f>
        <v>49863</v>
      </c>
      <c r="L2543" s="1" t="n">
        <v>35</v>
      </c>
      <c r="M2543" s="15" t="n">
        <f aca="false">(E2543+M2542)-N2543</f>
        <v>35.57</v>
      </c>
      <c r="N2543" s="1" t="n">
        <v>4.2</v>
      </c>
    </row>
    <row r="2544" customFormat="false" ht="15" hidden="false" customHeight="false" outlineLevel="0" collapsed="false">
      <c r="H2544" s="15" t="s">
        <v>99</v>
      </c>
      <c r="I2544" s="15" t="s">
        <v>34</v>
      </c>
      <c r="J2544" s="1" t="n">
        <f aca="false">K2543</f>
        <v>49863</v>
      </c>
      <c r="K2544" s="1" t="n">
        <f aca="false">J2544+L2544</f>
        <v>49898</v>
      </c>
      <c r="L2544" s="1" t="n">
        <v>35</v>
      </c>
      <c r="M2544" s="15" t="n">
        <f aca="false">(E2544+M2543)-N2544</f>
        <v>31.37</v>
      </c>
      <c r="N2544" s="1" t="n">
        <v>4.2</v>
      </c>
    </row>
    <row r="2545" customFormat="false" ht="15" hidden="false" customHeight="false" outlineLevel="0" collapsed="false">
      <c r="D2545" s="0" t="s">
        <v>17</v>
      </c>
      <c r="L2545" s="1" t="n">
        <f aca="false">SUM(L2503:L2544)</f>
        <v>746</v>
      </c>
    </row>
    <row r="2547" customFormat="false" ht="15" hidden="false" customHeight="false" outlineLevel="0" collapsed="false">
      <c r="D2547" s="0" t="s">
        <v>106</v>
      </c>
    </row>
    <row r="2549" customFormat="false" ht="15" hidden="false" customHeight="false" outlineLevel="0" collapsed="false">
      <c r="D2549" s="17" t="n">
        <v>46113</v>
      </c>
      <c r="H2549" s="15" t="s">
        <v>34</v>
      </c>
      <c r="I2549" s="15" t="s">
        <v>35</v>
      </c>
      <c r="J2549" s="1" t="n">
        <f aca="false">K2544</f>
        <v>49898</v>
      </c>
      <c r="K2549" s="1" t="n">
        <f aca="false">J2549+L2549</f>
        <v>49910</v>
      </c>
      <c r="L2549" s="1" t="n">
        <v>12</v>
      </c>
      <c r="M2549" s="15" t="n">
        <f aca="false">(E2549+M2544)-N2549</f>
        <v>30.12</v>
      </c>
      <c r="N2549" s="1" t="n">
        <v>1.25</v>
      </c>
    </row>
    <row r="2550" customFormat="false" ht="15" hidden="false" customHeight="false" outlineLevel="0" collapsed="false">
      <c r="H2550" s="15" t="s">
        <v>35</v>
      </c>
      <c r="I2550" s="15" t="s">
        <v>34</v>
      </c>
      <c r="J2550" s="1" t="n">
        <f aca="false">K2549</f>
        <v>49910</v>
      </c>
      <c r="K2550" s="1" t="n">
        <f aca="false">J2550+L2550</f>
        <v>49922</v>
      </c>
      <c r="L2550" s="1" t="n">
        <v>12</v>
      </c>
      <c r="M2550" s="15" t="n">
        <f aca="false">(E2550+M2549)-N2550</f>
        <v>28.87</v>
      </c>
      <c r="N2550" s="1" t="n">
        <v>1.25</v>
      </c>
    </row>
    <row r="2551" customFormat="false" ht="15" hidden="false" customHeight="false" outlineLevel="0" collapsed="false">
      <c r="D2551" s="17" t="n">
        <v>46114</v>
      </c>
      <c r="H2551" s="15" t="s">
        <v>34</v>
      </c>
      <c r="I2551" s="15" t="s">
        <v>43</v>
      </c>
      <c r="J2551" s="1" t="n">
        <f aca="false">K2550</f>
        <v>49922</v>
      </c>
      <c r="K2551" s="1" t="n">
        <f aca="false">J2551+L2551</f>
        <v>49934</v>
      </c>
      <c r="L2551" s="1" t="n">
        <v>12</v>
      </c>
      <c r="M2551" s="15" t="n">
        <f aca="false">(E2551+M2550)-N2551</f>
        <v>27.62</v>
      </c>
      <c r="N2551" s="1" t="n">
        <v>1.25</v>
      </c>
    </row>
    <row r="2552" customFormat="false" ht="15" hidden="false" customHeight="false" outlineLevel="0" collapsed="false">
      <c r="H2552" s="15" t="s">
        <v>43</v>
      </c>
      <c r="I2552" s="15" t="s">
        <v>34</v>
      </c>
      <c r="J2552" s="1" t="n">
        <f aca="false">K2551</f>
        <v>49934</v>
      </c>
      <c r="K2552" s="1" t="n">
        <f aca="false">J2552+L2552</f>
        <v>49946</v>
      </c>
      <c r="L2552" s="1" t="n">
        <v>12</v>
      </c>
      <c r="M2552" s="15" t="n">
        <f aca="false">(E2552+M2551)-N2552</f>
        <v>26.37</v>
      </c>
      <c r="N2552" s="1" t="n">
        <v>1.25</v>
      </c>
    </row>
    <row r="2553" customFormat="false" ht="15" hidden="false" customHeight="false" outlineLevel="0" collapsed="false">
      <c r="D2553" s="17" t="n">
        <v>46115</v>
      </c>
      <c r="H2553" s="15" t="s">
        <v>34</v>
      </c>
      <c r="I2553" s="15" t="s">
        <v>35</v>
      </c>
      <c r="J2553" s="1" t="n">
        <f aca="false">K2552</f>
        <v>49946</v>
      </c>
      <c r="K2553" s="1" t="n">
        <f aca="false">J2553+L2553</f>
        <v>49958</v>
      </c>
      <c r="L2553" s="1" t="n">
        <v>12</v>
      </c>
      <c r="M2553" s="15" t="n">
        <f aca="false">(E2553+M2552)-N2553</f>
        <v>25.12</v>
      </c>
      <c r="N2553" s="1" t="n">
        <v>1.25</v>
      </c>
    </row>
    <row r="2554" customFormat="false" ht="15" hidden="false" customHeight="false" outlineLevel="0" collapsed="false">
      <c r="H2554" s="15" t="s">
        <v>35</v>
      </c>
      <c r="I2554" s="15" t="s">
        <v>34</v>
      </c>
      <c r="J2554" s="1" t="n">
        <f aca="false">K2553</f>
        <v>49958</v>
      </c>
      <c r="K2554" s="1" t="n">
        <f aca="false">J2554+L2554</f>
        <v>49970</v>
      </c>
      <c r="L2554" s="1" t="n">
        <v>12</v>
      </c>
      <c r="M2554" s="15" t="n">
        <f aca="false">(E2554+M2553)-N2554</f>
        <v>23.87</v>
      </c>
      <c r="N2554" s="1" t="n">
        <v>1.25</v>
      </c>
    </row>
    <row r="2555" customFormat="false" ht="15" hidden="false" customHeight="false" outlineLevel="0" collapsed="false">
      <c r="D2555" s="17" t="n">
        <v>46118</v>
      </c>
      <c r="H2555" s="15" t="s">
        <v>34</v>
      </c>
      <c r="I2555" s="15" t="s">
        <v>43</v>
      </c>
      <c r="J2555" s="1" t="n">
        <f aca="false">K2554</f>
        <v>49970</v>
      </c>
      <c r="K2555" s="1" t="n">
        <f aca="false">J2555+L2555</f>
        <v>49982</v>
      </c>
      <c r="L2555" s="1" t="n">
        <v>12</v>
      </c>
      <c r="M2555" s="15" t="n">
        <f aca="false">(E2555+M2554)-N2555</f>
        <v>22.62</v>
      </c>
      <c r="N2555" s="1" t="n">
        <v>1.25</v>
      </c>
    </row>
    <row r="2556" customFormat="false" ht="15" hidden="false" customHeight="false" outlineLevel="0" collapsed="false">
      <c r="H2556" s="15" t="s">
        <v>43</v>
      </c>
      <c r="I2556" s="15" t="s">
        <v>34</v>
      </c>
      <c r="J2556" s="1" t="n">
        <f aca="false">K2555</f>
        <v>49982</v>
      </c>
      <c r="K2556" s="1" t="n">
        <f aca="false">J2556+L2556</f>
        <v>49994</v>
      </c>
      <c r="L2556" s="1" t="n">
        <v>12</v>
      </c>
      <c r="M2556" s="15" t="n">
        <f aca="false">(E2556+M2555)-N2556</f>
        <v>21.37</v>
      </c>
      <c r="N2556" s="1" t="n">
        <v>1.25</v>
      </c>
    </row>
    <row r="2557" customFormat="false" ht="15" hidden="false" customHeight="false" outlineLevel="0" collapsed="false">
      <c r="D2557" s="17" t="n">
        <v>46119</v>
      </c>
      <c r="H2557" s="15" t="s">
        <v>34</v>
      </c>
      <c r="I2557" s="15" t="s">
        <v>99</v>
      </c>
      <c r="J2557" s="1" t="n">
        <f aca="false">K2556</f>
        <v>49994</v>
      </c>
      <c r="K2557" s="1" t="n">
        <f aca="false">J2557+L2557</f>
        <v>50029</v>
      </c>
      <c r="L2557" s="1" t="n">
        <v>35</v>
      </c>
      <c r="M2557" s="15" t="n">
        <f aca="false">(E2557+M2556)-N2557</f>
        <v>17.17</v>
      </c>
      <c r="N2557" s="1" t="n">
        <v>4.2</v>
      </c>
    </row>
    <row r="2558" customFormat="false" ht="15" hidden="false" customHeight="false" outlineLevel="0" collapsed="false">
      <c r="H2558" s="15" t="s">
        <v>99</v>
      </c>
      <c r="I2558" s="15" t="s">
        <v>34</v>
      </c>
      <c r="J2558" s="1" t="n">
        <f aca="false">K2557</f>
        <v>50029</v>
      </c>
      <c r="K2558" s="1" t="n">
        <f aca="false">J2558+L2558</f>
        <v>50064</v>
      </c>
      <c r="L2558" s="1" t="n">
        <v>35</v>
      </c>
      <c r="M2558" s="15" t="n">
        <f aca="false">(E2558+M2557)-N2558</f>
        <v>12.97</v>
      </c>
      <c r="N2558" s="1" t="n">
        <v>4.2</v>
      </c>
    </row>
    <row r="2559" customFormat="false" ht="15" hidden="false" customHeight="false" outlineLevel="0" collapsed="false">
      <c r="D2559" s="17" t="n">
        <v>46120</v>
      </c>
      <c r="H2559" s="15" t="s">
        <v>34</v>
      </c>
      <c r="I2559" s="15" t="s">
        <v>35</v>
      </c>
      <c r="J2559" s="1" t="n">
        <f aca="false">K2558</f>
        <v>50064</v>
      </c>
      <c r="K2559" s="1" t="n">
        <f aca="false">J2559+L2559</f>
        <v>50076</v>
      </c>
      <c r="L2559" s="1" t="n">
        <v>12</v>
      </c>
      <c r="M2559" s="15" t="n">
        <f aca="false">(E2559+M2558)-N2559</f>
        <v>11.72</v>
      </c>
      <c r="N2559" s="1" t="n">
        <v>1.25</v>
      </c>
    </row>
    <row r="2560" customFormat="false" ht="15" hidden="false" customHeight="false" outlineLevel="0" collapsed="false">
      <c r="H2560" s="15" t="s">
        <v>35</v>
      </c>
      <c r="I2560" s="15" t="s">
        <v>34</v>
      </c>
      <c r="J2560" s="1" t="n">
        <f aca="false">K2559</f>
        <v>50076</v>
      </c>
      <c r="K2560" s="1" t="n">
        <f aca="false">J2560+L2560</f>
        <v>50088</v>
      </c>
      <c r="L2560" s="1" t="n">
        <v>12</v>
      </c>
      <c r="M2560" s="15" t="n">
        <f aca="false">(E2560+M2559)-N2560</f>
        <v>10.47</v>
      </c>
      <c r="N2560" s="1" t="n">
        <v>1.25</v>
      </c>
    </row>
    <row r="2561" customFormat="false" ht="15" hidden="false" customHeight="false" outlineLevel="0" collapsed="false">
      <c r="D2561" s="17" t="n">
        <v>46121</v>
      </c>
      <c r="H2561" s="15" t="s">
        <v>34</v>
      </c>
      <c r="I2561" s="15" t="s">
        <v>43</v>
      </c>
      <c r="J2561" s="1" t="n">
        <f aca="false">K2560</f>
        <v>50088</v>
      </c>
      <c r="K2561" s="1" t="n">
        <f aca="false">J2561+L2561</f>
        <v>50100</v>
      </c>
      <c r="L2561" s="1" t="n">
        <v>12</v>
      </c>
      <c r="M2561" s="15" t="n">
        <f aca="false">(E2561+M2560)-N2561</f>
        <v>9.21999999999998</v>
      </c>
      <c r="N2561" s="1" t="n">
        <v>1.25</v>
      </c>
    </row>
    <row r="2562" customFormat="false" ht="15" hidden="false" customHeight="false" outlineLevel="0" collapsed="false">
      <c r="H2562" s="15" t="s">
        <v>43</v>
      </c>
      <c r="I2562" s="15" t="s">
        <v>34</v>
      </c>
      <c r="J2562" s="1" t="n">
        <f aca="false">K2561</f>
        <v>50100</v>
      </c>
      <c r="K2562" s="1" t="n">
        <f aca="false">J2562+L2562</f>
        <v>50112</v>
      </c>
      <c r="L2562" s="1" t="n">
        <v>12</v>
      </c>
      <c r="M2562" s="15" t="n">
        <f aca="false">(E2562+M2561)-N2562</f>
        <v>7.96999999999998</v>
      </c>
      <c r="N2562" s="1" t="n">
        <v>1.25</v>
      </c>
    </row>
    <row r="2563" customFormat="false" ht="15" hidden="false" customHeight="false" outlineLevel="0" collapsed="false">
      <c r="D2563" s="17" t="n">
        <v>46122</v>
      </c>
      <c r="H2563" s="15" t="s">
        <v>34</v>
      </c>
      <c r="I2563" s="15" t="s">
        <v>35</v>
      </c>
      <c r="J2563" s="1" t="n">
        <f aca="false">K2562</f>
        <v>50112</v>
      </c>
      <c r="K2563" s="1" t="n">
        <f aca="false">J2563+L2563</f>
        <v>50124</v>
      </c>
      <c r="L2563" s="1" t="n">
        <v>12</v>
      </c>
      <c r="M2563" s="15" t="n">
        <f aca="false">(E2563+M2562)-N2563</f>
        <v>6.71999999999998</v>
      </c>
      <c r="N2563" s="1" t="n">
        <v>1.25</v>
      </c>
    </row>
    <row r="2564" customFormat="false" ht="15" hidden="false" customHeight="false" outlineLevel="0" collapsed="false">
      <c r="H2564" s="15" t="s">
        <v>35</v>
      </c>
      <c r="I2564" s="15" t="s">
        <v>34</v>
      </c>
      <c r="J2564" s="1" t="n">
        <f aca="false">K2563</f>
        <v>50124</v>
      </c>
      <c r="K2564" s="1" t="n">
        <f aca="false">J2564+L2564</f>
        <v>50136</v>
      </c>
      <c r="L2564" s="1" t="n">
        <v>12</v>
      </c>
      <c r="M2564" s="15" t="n">
        <f aca="false">(E2564+M2563)-N2564</f>
        <v>5.46999999999998</v>
      </c>
      <c r="N2564" s="1" t="n">
        <v>1.25</v>
      </c>
    </row>
    <row r="2565" customFormat="false" ht="15" hidden="false" customHeight="false" outlineLevel="0" collapsed="false">
      <c r="D2565" s="17" t="n">
        <v>46125</v>
      </c>
      <c r="H2565" s="15" t="s">
        <v>34</v>
      </c>
      <c r="I2565" s="15" t="s">
        <v>43</v>
      </c>
      <c r="J2565" s="1" t="n">
        <f aca="false">K2564</f>
        <v>50136</v>
      </c>
      <c r="K2565" s="1" t="n">
        <f aca="false">J2565+L2565</f>
        <v>50148</v>
      </c>
      <c r="L2565" s="1" t="n">
        <v>12</v>
      </c>
      <c r="M2565" s="15" t="n">
        <f aca="false">(E2565+M2564)-N2565</f>
        <v>4.21999999999998</v>
      </c>
      <c r="N2565" s="1" t="n">
        <v>1.25</v>
      </c>
    </row>
    <row r="2566" customFormat="false" ht="15" hidden="false" customHeight="false" outlineLevel="0" collapsed="false">
      <c r="H2566" s="15" t="s">
        <v>43</v>
      </c>
      <c r="I2566" s="15" t="s">
        <v>34</v>
      </c>
      <c r="J2566" s="1" t="n">
        <f aca="false">K2565</f>
        <v>50148</v>
      </c>
      <c r="K2566" s="1" t="n">
        <f aca="false">J2566+L2566</f>
        <v>50160</v>
      </c>
      <c r="L2566" s="1" t="n">
        <v>12</v>
      </c>
      <c r="M2566" s="15" t="n">
        <f aca="false">(E2566+M2565)-N2566</f>
        <v>2.96999999999998</v>
      </c>
      <c r="N2566" s="1" t="n">
        <v>1.25</v>
      </c>
    </row>
    <row r="2567" customFormat="false" ht="15" hidden="false" customHeight="false" outlineLevel="0" collapsed="false">
      <c r="D2567" s="17" t="n">
        <v>46126</v>
      </c>
      <c r="H2567" s="15" t="s">
        <v>34</v>
      </c>
      <c r="I2567" s="15" t="s">
        <v>35</v>
      </c>
      <c r="J2567" s="1" t="n">
        <f aca="false">K2566</f>
        <v>50160</v>
      </c>
      <c r="K2567" s="1" t="n">
        <f aca="false">J2567+L2567</f>
        <v>50172</v>
      </c>
      <c r="L2567" s="1" t="n">
        <v>12</v>
      </c>
      <c r="M2567" s="15" t="n">
        <f aca="false">(E2567+M2566)-N2567</f>
        <v>1.71999999999998</v>
      </c>
      <c r="N2567" s="1" t="n">
        <v>1.25</v>
      </c>
    </row>
    <row r="2568" customFormat="false" ht="15" hidden="false" customHeight="false" outlineLevel="0" collapsed="false">
      <c r="H2568" s="15" t="s">
        <v>35</v>
      </c>
      <c r="I2568" s="15" t="s">
        <v>34</v>
      </c>
      <c r="J2568" s="1" t="n">
        <f aca="false">K2567</f>
        <v>50172</v>
      </c>
      <c r="K2568" s="1" t="n">
        <f aca="false">J2568+L2568</f>
        <v>50184</v>
      </c>
      <c r="L2568" s="1" t="n">
        <v>12</v>
      </c>
      <c r="M2568" s="15" t="n">
        <f aca="false">(E2568+M2567)-N2568</f>
        <v>0.469999999999981</v>
      </c>
      <c r="N2568" s="1" t="n">
        <v>1.25</v>
      </c>
    </row>
    <row r="2569" customFormat="false" ht="15" hidden="false" customHeight="false" outlineLevel="0" collapsed="false">
      <c r="D2569" s="17" t="n">
        <v>46127</v>
      </c>
      <c r="E2569" s="0" t="n">
        <v>47.63</v>
      </c>
      <c r="F2569" s="1" t="n">
        <v>69.37</v>
      </c>
      <c r="G2569" s="15" t="n">
        <f aca="false">E2569*F2569</f>
        <v>3304.0931</v>
      </c>
      <c r="H2569" s="15" t="s">
        <v>34</v>
      </c>
      <c r="I2569" s="15" t="s">
        <v>85</v>
      </c>
      <c r="J2569" s="1" t="n">
        <f aca="false">K2568</f>
        <v>50184</v>
      </c>
      <c r="K2569" s="1" t="n">
        <f aca="false">J2569+L2569</f>
        <v>50228</v>
      </c>
      <c r="L2569" s="1" t="n">
        <v>44</v>
      </c>
      <c r="M2569" s="15" t="n">
        <f aca="false">(E2569+M2568)-N2569</f>
        <v>43.1</v>
      </c>
      <c r="N2569" s="1" t="n">
        <v>5</v>
      </c>
    </row>
    <row r="2570" customFormat="false" ht="15" hidden="false" customHeight="false" outlineLevel="0" collapsed="false">
      <c r="H2570" s="15" t="s">
        <v>85</v>
      </c>
      <c r="I2570" s="15" t="s">
        <v>34</v>
      </c>
      <c r="J2570" s="1" t="n">
        <f aca="false">K2569</f>
        <v>50228</v>
      </c>
      <c r="K2570" s="1" t="n">
        <f aca="false">J2570+L2570</f>
        <v>50272</v>
      </c>
      <c r="L2570" s="1" t="n">
        <v>44</v>
      </c>
      <c r="M2570" s="15" t="n">
        <f aca="false">(E2570+M2569)-N2570</f>
        <v>38.1</v>
      </c>
      <c r="N2570" s="1" t="n">
        <v>5</v>
      </c>
    </row>
    <row r="2571" customFormat="false" ht="15" hidden="false" customHeight="false" outlineLevel="0" collapsed="false">
      <c r="D2571" s="17" t="n">
        <v>46128</v>
      </c>
      <c r="H2571" s="15" t="s">
        <v>34</v>
      </c>
      <c r="I2571" s="15" t="s">
        <v>99</v>
      </c>
      <c r="J2571" s="1" t="n">
        <f aca="false">K2570</f>
        <v>50272</v>
      </c>
      <c r="K2571" s="1" t="n">
        <f aca="false">J2571+L2571</f>
        <v>50307</v>
      </c>
      <c r="L2571" s="1" t="n">
        <v>35</v>
      </c>
      <c r="M2571" s="15" t="n">
        <f aca="false">(E2571+M2570)-N2571</f>
        <v>33.9</v>
      </c>
      <c r="N2571" s="1" t="n">
        <v>4.2</v>
      </c>
    </row>
    <row r="2572" customFormat="false" ht="15" hidden="false" customHeight="false" outlineLevel="0" collapsed="false">
      <c r="H2572" s="15" t="s">
        <v>99</v>
      </c>
      <c r="I2572" s="15" t="s">
        <v>34</v>
      </c>
      <c r="J2572" s="1" t="n">
        <f aca="false">K2571</f>
        <v>50307</v>
      </c>
      <c r="K2572" s="1" t="n">
        <f aca="false">J2572+L2572</f>
        <v>50342</v>
      </c>
      <c r="L2572" s="1" t="n">
        <v>35</v>
      </c>
      <c r="M2572" s="15" t="n">
        <f aca="false">(E2572+M2571)-N2572</f>
        <v>29.7</v>
      </c>
      <c r="N2572" s="1" t="n">
        <v>4.2</v>
      </c>
    </row>
    <row r="2573" customFormat="false" ht="15" hidden="false" customHeight="false" outlineLevel="0" collapsed="false">
      <c r="D2573" s="17" t="n">
        <v>46129</v>
      </c>
      <c r="H2573" s="15" t="s">
        <v>34</v>
      </c>
      <c r="I2573" s="15" t="s">
        <v>85</v>
      </c>
      <c r="J2573" s="1" t="n">
        <f aca="false">K2572</f>
        <v>50342</v>
      </c>
      <c r="K2573" s="1" t="n">
        <f aca="false">J2573+L2573</f>
        <v>50386</v>
      </c>
      <c r="L2573" s="1" t="n">
        <v>44</v>
      </c>
      <c r="M2573" s="15" t="n">
        <f aca="false">(E2573+M2572)-N2573</f>
        <v>24.7</v>
      </c>
      <c r="N2573" s="1" t="n">
        <v>5</v>
      </c>
    </row>
    <row r="2574" customFormat="false" ht="15" hidden="false" customHeight="false" outlineLevel="0" collapsed="false">
      <c r="H2574" s="15" t="s">
        <v>85</v>
      </c>
      <c r="I2574" s="15" t="s">
        <v>34</v>
      </c>
      <c r="J2574" s="1" t="n">
        <f aca="false">K2573</f>
        <v>50386</v>
      </c>
      <c r="K2574" s="1" t="n">
        <f aca="false">J2574+L2574</f>
        <v>50430</v>
      </c>
      <c r="L2574" s="1" t="n">
        <v>44</v>
      </c>
      <c r="M2574" s="15" t="n">
        <f aca="false">(E2574+M2573)-N2574</f>
        <v>19.7</v>
      </c>
      <c r="N2574" s="1" t="n">
        <v>5</v>
      </c>
    </row>
    <row r="2575" customFormat="false" ht="15" hidden="false" customHeight="false" outlineLevel="0" collapsed="false">
      <c r="D2575" s="17" t="n">
        <v>46132</v>
      </c>
      <c r="H2575" s="15" t="s">
        <v>34</v>
      </c>
      <c r="I2575" s="15" t="s">
        <v>54</v>
      </c>
      <c r="J2575" s="1" t="n">
        <f aca="false">K2574</f>
        <v>50430</v>
      </c>
      <c r="K2575" s="1" t="n">
        <f aca="false">J2575+L2575</f>
        <v>50457</v>
      </c>
      <c r="L2575" s="1" t="n">
        <v>27</v>
      </c>
      <c r="M2575" s="15" t="n">
        <f aca="false">(E2575+M2574)-N2575</f>
        <v>16.5</v>
      </c>
      <c r="N2575" s="1" t="n">
        <v>3.2</v>
      </c>
    </row>
    <row r="2576" customFormat="false" ht="15" hidden="false" customHeight="false" outlineLevel="0" collapsed="false">
      <c r="H2576" s="15" t="s">
        <v>54</v>
      </c>
      <c r="I2576" s="15" t="s">
        <v>34</v>
      </c>
      <c r="J2576" s="1" t="n">
        <f aca="false">K2575</f>
        <v>50457</v>
      </c>
      <c r="K2576" s="1" t="n">
        <f aca="false">J2576+L2576</f>
        <v>50484</v>
      </c>
      <c r="L2576" s="1" t="n">
        <v>27</v>
      </c>
      <c r="M2576" s="15" t="n">
        <f aca="false">(E2576+M2575)-N2576</f>
        <v>13.3</v>
      </c>
      <c r="N2576" s="1" t="n">
        <v>3.2</v>
      </c>
    </row>
    <row r="2577" customFormat="false" ht="15" hidden="false" customHeight="false" outlineLevel="0" collapsed="false">
      <c r="D2577" s="17" t="n">
        <v>46133</v>
      </c>
      <c r="H2577" s="15" t="s">
        <v>34</v>
      </c>
      <c r="I2577" s="15" t="s">
        <v>99</v>
      </c>
      <c r="J2577" s="1" t="n">
        <f aca="false">K2576</f>
        <v>50484</v>
      </c>
      <c r="K2577" s="1" t="n">
        <f aca="false">J2577+L2577</f>
        <v>50519</v>
      </c>
      <c r="L2577" s="1" t="n">
        <v>35</v>
      </c>
      <c r="M2577" s="15" t="n">
        <f aca="false">(E2577+M2576)-N2577</f>
        <v>9.09999999999998</v>
      </c>
      <c r="N2577" s="1" t="n">
        <v>4.2</v>
      </c>
    </row>
    <row r="2578" customFormat="false" ht="15" hidden="false" customHeight="false" outlineLevel="0" collapsed="false">
      <c r="H2578" s="15" t="s">
        <v>99</v>
      </c>
      <c r="I2578" s="15" t="s">
        <v>34</v>
      </c>
      <c r="J2578" s="1" t="n">
        <f aca="false">K2577</f>
        <v>50519</v>
      </c>
      <c r="K2578" s="1" t="n">
        <f aca="false">J2578+L2578</f>
        <v>50554</v>
      </c>
      <c r="L2578" s="1" t="n">
        <v>35</v>
      </c>
      <c r="M2578" s="15" t="n">
        <f aca="false">(E2578+M2577)-N2578</f>
        <v>4.89999999999998</v>
      </c>
      <c r="N2578" s="1" t="n">
        <v>4.2</v>
      </c>
    </row>
    <row r="2579" customFormat="false" ht="15" hidden="false" customHeight="false" outlineLevel="0" collapsed="false">
      <c r="D2579" s="17" t="n">
        <v>46134</v>
      </c>
      <c r="H2579" s="15" t="s">
        <v>34</v>
      </c>
      <c r="I2579" s="15" t="s">
        <v>35</v>
      </c>
      <c r="J2579" s="1" t="n">
        <f aca="false">K2578</f>
        <v>50554</v>
      </c>
      <c r="K2579" s="1" t="n">
        <f aca="false">J2579+L2579</f>
        <v>50566</v>
      </c>
      <c r="L2579" s="1" t="n">
        <v>12</v>
      </c>
      <c r="M2579" s="15" t="n">
        <f aca="false">(E2579+M2578)-N2579</f>
        <v>3.64999999999998</v>
      </c>
      <c r="N2579" s="1" t="n">
        <v>1.25</v>
      </c>
    </row>
    <row r="2580" customFormat="false" ht="15" hidden="false" customHeight="false" outlineLevel="0" collapsed="false">
      <c r="H2580" s="15" t="s">
        <v>35</v>
      </c>
      <c r="I2580" s="15" t="s">
        <v>34</v>
      </c>
      <c r="J2580" s="1" t="n">
        <f aca="false">K2579</f>
        <v>50566</v>
      </c>
      <c r="K2580" s="1" t="n">
        <f aca="false">J2580+L2580</f>
        <v>50578</v>
      </c>
      <c r="L2580" s="1" t="n">
        <v>12</v>
      </c>
      <c r="M2580" s="15" t="n">
        <f aca="false">(E2580+M2579)-N2580</f>
        <v>2.39999999999998</v>
      </c>
      <c r="N2580" s="1" t="n">
        <v>1.25</v>
      </c>
    </row>
    <row r="2581" customFormat="false" ht="15" hidden="false" customHeight="false" outlineLevel="0" collapsed="false">
      <c r="D2581" s="17" t="n">
        <v>46135</v>
      </c>
      <c r="E2581" s="0" t="n">
        <v>45.69</v>
      </c>
      <c r="F2581" s="1" t="n">
        <v>69.26</v>
      </c>
      <c r="G2581" s="15" t="n">
        <f aca="false">E2581*F2581</f>
        <v>3164.4894</v>
      </c>
      <c r="H2581" s="15" t="s">
        <v>34</v>
      </c>
      <c r="I2581" s="15" t="s">
        <v>85</v>
      </c>
      <c r="J2581" s="1" t="n">
        <f aca="false">K2580</f>
        <v>50578</v>
      </c>
      <c r="K2581" s="1" t="n">
        <f aca="false">J2581+L2581</f>
        <v>50622</v>
      </c>
      <c r="L2581" s="1" t="n">
        <v>44</v>
      </c>
      <c r="M2581" s="15" t="n">
        <f aca="false">(E2581+M2580)-N2581</f>
        <v>43.09</v>
      </c>
      <c r="N2581" s="1" t="n">
        <v>5</v>
      </c>
    </row>
    <row r="2582" customFormat="false" ht="15" hidden="false" customHeight="false" outlineLevel="0" collapsed="false">
      <c r="H2582" s="15" t="s">
        <v>85</v>
      </c>
      <c r="I2582" s="15" t="s">
        <v>34</v>
      </c>
      <c r="J2582" s="1" t="n">
        <f aca="false">K2581</f>
        <v>50622</v>
      </c>
      <c r="K2582" s="1" t="n">
        <f aca="false">J2582+L2582</f>
        <v>50666</v>
      </c>
      <c r="L2582" s="1" t="n">
        <v>44</v>
      </c>
      <c r="M2582" s="15" t="n">
        <f aca="false">(E2582+M2581)-N2582</f>
        <v>38.09</v>
      </c>
      <c r="N2582" s="1" t="n">
        <v>5</v>
      </c>
    </row>
    <row r="2583" customFormat="false" ht="15" hidden="false" customHeight="false" outlineLevel="0" collapsed="false">
      <c r="D2583" s="17" t="n">
        <v>46136</v>
      </c>
      <c r="H2583" s="15" t="s">
        <v>34</v>
      </c>
      <c r="I2583" s="15" t="s">
        <v>99</v>
      </c>
      <c r="J2583" s="1" t="n">
        <f aca="false">K2582</f>
        <v>50666</v>
      </c>
      <c r="K2583" s="1" t="n">
        <f aca="false">J2583+L2583</f>
        <v>50701</v>
      </c>
      <c r="L2583" s="1" t="n">
        <v>35</v>
      </c>
      <c r="M2583" s="15" t="n">
        <f aca="false">(E2583+M2582)-N2583</f>
        <v>33.89</v>
      </c>
      <c r="N2583" s="1" t="n">
        <v>4.2</v>
      </c>
    </row>
    <row r="2584" customFormat="false" ht="15" hidden="false" customHeight="false" outlineLevel="0" collapsed="false">
      <c r="H2584" s="15" t="s">
        <v>99</v>
      </c>
      <c r="I2584" s="15" t="s">
        <v>34</v>
      </c>
      <c r="J2584" s="1" t="n">
        <f aca="false">K2583</f>
        <v>50701</v>
      </c>
      <c r="K2584" s="1" t="n">
        <f aca="false">J2584+L2584</f>
        <v>50736</v>
      </c>
      <c r="L2584" s="1" t="n">
        <v>35</v>
      </c>
      <c r="M2584" s="15" t="n">
        <f aca="false">(E2584+M2583)-N2584</f>
        <v>29.69</v>
      </c>
      <c r="N2584" s="1" t="n">
        <v>4.2</v>
      </c>
    </row>
    <row r="2585" customFormat="false" ht="15" hidden="false" customHeight="false" outlineLevel="0" collapsed="false">
      <c r="D2585" s="17" t="n">
        <v>46139</v>
      </c>
      <c r="H2585" s="15" t="s">
        <v>34</v>
      </c>
      <c r="I2585" s="15" t="s">
        <v>99</v>
      </c>
      <c r="J2585" s="1" t="n">
        <f aca="false">K2584</f>
        <v>50736</v>
      </c>
      <c r="K2585" s="1" t="n">
        <f aca="false">J2585+L2585</f>
        <v>50771</v>
      </c>
      <c r="L2585" s="1" t="n">
        <v>35</v>
      </c>
      <c r="M2585" s="15" t="n">
        <f aca="false">(E2585+M2584)-N2585</f>
        <v>25.49</v>
      </c>
      <c r="N2585" s="1" t="n">
        <v>4.2</v>
      </c>
    </row>
    <row r="2586" customFormat="false" ht="15" hidden="false" customHeight="false" outlineLevel="0" collapsed="false">
      <c r="H2586" s="15" t="s">
        <v>99</v>
      </c>
      <c r="I2586" s="15" t="s">
        <v>34</v>
      </c>
      <c r="J2586" s="1" t="n">
        <f aca="false">K2585</f>
        <v>50771</v>
      </c>
      <c r="K2586" s="1" t="n">
        <f aca="false">J2586+L2586</f>
        <v>50806</v>
      </c>
      <c r="L2586" s="1" t="n">
        <v>35</v>
      </c>
      <c r="M2586" s="15" t="n">
        <f aca="false">(E2586+M2585)-N2586</f>
        <v>21.29</v>
      </c>
      <c r="N2586" s="1" t="n">
        <v>4.2</v>
      </c>
    </row>
    <row r="2587" customFormat="false" ht="15" hidden="false" customHeight="false" outlineLevel="0" collapsed="false">
      <c r="D2587" s="17" t="n">
        <v>46140</v>
      </c>
      <c r="H2587" s="15" t="s">
        <v>34</v>
      </c>
      <c r="I2587" s="15" t="s">
        <v>54</v>
      </c>
      <c r="J2587" s="1" t="n">
        <f aca="false">K2586</f>
        <v>50806</v>
      </c>
      <c r="K2587" s="1" t="n">
        <f aca="false">J2587+L2587</f>
        <v>50833</v>
      </c>
      <c r="L2587" s="1" t="n">
        <v>27</v>
      </c>
      <c r="M2587" s="15" t="n">
        <f aca="false">(E2587+M2586)-N2587</f>
        <v>18.09</v>
      </c>
      <c r="N2587" s="1" t="n">
        <v>3.2</v>
      </c>
    </row>
    <row r="2588" customFormat="false" ht="15" hidden="false" customHeight="false" outlineLevel="0" collapsed="false">
      <c r="H2588" s="15" t="s">
        <v>54</v>
      </c>
      <c r="I2588" s="15" t="s">
        <v>34</v>
      </c>
      <c r="J2588" s="1" t="n">
        <f aca="false">K2587</f>
        <v>50833</v>
      </c>
      <c r="K2588" s="1" t="n">
        <f aca="false">J2588+L2588</f>
        <v>50860</v>
      </c>
      <c r="L2588" s="1" t="n">
        <v>27</v>
      </c>
      <c r="M2588" s="15" t="n">
        <f aca="false">(E2588+M2587)-N2588</f>
        <v>14.89</v>
      </c>
      <c r="N2588" s="1" t="n">
        <v>3.2</v>
      </c>
    </row>
    <row r="2589" customFormat="false" ht="15" hidden="false" customHeight="false" outlineLevel="0" collapsed="false">
      <c r="D2589" s="17" t="n">
        <v>46141</v>
      </c>
      <c r="H2589" s="15" t="s">
        <v>34</v>
      </c>
      <c r="I2589" s="15" t="s">
        <v>102</v>
      </c>
      <c r="J2589" s="1" t="n">
        <f aca="false">K2588</f>
        <v>50860</v>
      </c>
      <c r="K2589" s="1" t="n">
        <f aca="false">J2589+L2589</f>
        <v>50885</v>
      </c>
      <c r="L2589" s="1" t="n">
        <v>25</v>
      </c>
      <c r="M2589" s="15" t="n">
        <f aca="false">(E2589+M2588)-N2589</f>
        <v>11.89</v>
      </c>
      <c r="N2589" s="1" t="n">
        <v>3</v>
      </c>
    </row>
    <row r="2590" customFormat="false" ht="15" hidden="false" customHeight="false" outlineLevel="0" collapsed="false">
      <c r="H2590" s="15" t="s">
        <v>102</v>
      </c>
      <c r="I2590" s="15" t="s">
        <v>34</v>
      </c>
      <c r="J2590" s="1" t="n">
        <f aca="false">K2589</f>
        <v>50885</v>
      </c>
      <c r="K2590" s="1" t="n">
        <f aca="false">J2590+L2590</f>
        <v>50910</v>
      </c>
      <c r="L2590" s="1" t="n">
        <v>25</v>
      </c>
      <c r="M2590" s="15" t="n">
        <f aca="false">(E2590+M2589)-N2590</f>
        <v>8.88999999999998</v>
      </c>
      <c r="N2590" s="1" t="n">
        <v>3</v>
      </c>
    </row>
    <row r="2591" customFormat="false" ht="15" hidden="false" customHeight="false" outlineLevel="0" collapsed="false">
      <c r="D2591" s="17" t="n">
        <v>46142</v>
      </c>
      <c r="H2591" s="15" t="s">
        <v>34</v>
      </c>
      <c r="I2591" s="15" t="s">
        <v>54</v>
      </c>
      <c r="J2591" s="1" t="n">
        <f aca="false">K2590</f>
        <v>50910</v>
      </c>
      <c r="K2591" s="1" t="n">
        <f aca="false">J2591+L2591</f>
        <v>50937</v>
      </c>
      <c r="L2591" s="1" t="n">
        <v>27</v>
      </c>
      <c r="M2591" s="15" t="n">
        <f aca="false">(E2591+M2590)-N2591</f>
        <v>5.68999999999998</v>
      </c>
      <c r="N2591" s="1" t="n">
        <v>3.2</v>
      </c>
    </row>
    <row r="2592" customFormat="false" ht="15" hidden="false" customHeight="false" outlineLevel="0" collapsed="false">
      <c r="H2592" s="15" t="s">
        <v>54</v>
      </c>
      <c r="I2592" s="15" t="s">
        <v>34</v>
      </c>
      <c r="J2592" s="1" t="n">
        <f aca="false">K2591</f>
        <v>50937</v>
      </c>
      <c r="K2592" s="1" t="n">
        <f aca="false">J2592+L2592</f>
        <v>50964</v>
      </c>
      <c r="L2592" s="1" t="n">
        <v>27</v>
      </c>
      <c r="M2592" s="15" t="n">
        <f aca="false">(E2592+M2591)-N2592</f>
        <v>2.48999999999998</v>
      </c>
      <c r="N2592" s="1" t="n">
        <v>3.2</v>
      </c>
    </row>
    <row r="2593" customFormat="false" ht="15" hidden="false" customHeight="false" outlineLevel="0" collapsed="false">
      <c r="D2593" s="0" t="s">
        <v>17</v>
      </c>
      <c r="L2593" s="1" t="n">
        <f aca="false">SUM(L2549:L2592)</f>
        <v>1066</v>
      </c>
    </row>
  </sheetData>
  <mergeCells count="52">
    <mergeCell ref="D2:G2"/>
    <mergeCell ref="D18:G18"/>
    <mergeCell ref="D87:G87"/>
    <mergeCell ref="D153:G153"/>
    <mergeCell ref="D191:G191"/>
    <mergeCell ref="D239:G239"/>
    <mergeCell ref="D309:G309"/>
    <mergeCell ref="D355:G355"/>
    <mergeCell ref="D423:G423"/>
    <mergeCell ref="D473:G473"/>
    <mergeCell ref="D538:G538"/>
    <mergeCell ref="D607:G607"/>
    <mergeCell ref="D652:G652"/>
    <mergeCell ref="D700:G700"/>
    <mergeCell ref="D764:G764"/>
    <mergeCell ref="D843:G843"/>
    <mergeCell ref="D886:G886"/>
    <mergeCell ref="D941:G941"/>
    <mergeCell ref="D995:G995"/>
    <mergeCell ref="D1042:G1042"/>
    <mergeCell ref="D1079:G1079"/>
    <mergeCell ref="D1125:G1125"/>
    <mergeCell ref="D1171:G1171"/>
    <mergeCell ref="D1219:G1219"/>
    <mergeCell ref="D1267:G1267"/>
    <mergeCell ref="D1307:G1307"/>
    <mergeCell ref="D1355:G1355"/>
    <mergeCell ref="D1399:G1399"/>
    <mergeCell ref="H1402:H1408"/>
    <mergeCell ref="D1410:G1410"/>
    <mergeCell ref="D1452:G1452"/>
    <mergeCell ref="D1494:G1494"/>
    <mergeCell ref="D1540:G1540"/>
    <mergeCell ref="D1582:G1582"/>
    <mergeCell ref="D1616:G1616"/>
    <mergeCell ref="D1664:G1664"/>
    <mergeCell ref="D1702:G1702"/>
    <mergeCell ref="D1747:G1747"/>
    <mergeCell ref="D1800:G1800"/>
    <mergeCell ref="D1863:G1863"/>
    <mergeCell ref="D1912:G1912"/>
    <mergeCell ref="D1938:G1938"/>
    <mergeCell ref="D1981:G1981"/>
    <mergeCell ref="D2034:G2034"/>
    <mergeCell ref="D2081:G2081"/>
    <mergeCell ref="D2115:G2115"/>
    <mergeCell ref="D2159:G2159"/>
    <mergeCell ref="D2219:G2219"/>
    <mergeCell ref="D2258:G2258"/>
    <mergeCell ref="D2304:G2304"/>
    <mergeCell ref="D2360:G2360"/>
    <mergeCell ref="D2404:G240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>Aleksey</cp:lastModifiedBy>
  <dcterms:modified xsi:type="dcterms:W3CDTF">2026-05-21T09:57:56Z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
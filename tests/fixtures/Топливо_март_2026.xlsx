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N:\ПРОЕКТИРОВАНИЕ\Лёша Т\Топливо и Путевые листы\ИИ\3. Март 2026\"/>
    </mc:Choice>
  </mc:AlternateContent>
  <xr:revisionPtr revIDLastSave="0" documentId="13_ncr:1_{D9A8A7AC-9924-4FD0-B473-141611C01B3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Топливные отчеты" sheetId="1" r:id="rId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45" i="1" l="1"/>
  <c r="G2541" i="1"/>
  <c r="G2537" i="1"/>
  <c r="G2503" i="1"/>
  <c r="L2499" i="1"/>
  <c r="M2482" i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G2479" i="1"/>
  <c r="G2467" i="1"/>
  <c r="M2454" i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53" i="1"/>
  <c r="K2453" i="1"/>
  <c r="J2454" i="1" s="1"/>
  <c r="K2454" i="1" s="1"/>
  <c r="J2455" i="1" s="1"/>
  <c r="K2455" i="1" s="1"/>
  <c r="J2456" i="1" s="1"/>
  <c r="K2456" i="1" s="1"/>
  <c r="J2457" i="1" s="1"/>
  <c r="K2457" i="1" s="1"/>
  <c r="J2458" i="1" s="1"/>
  <c r="K2458" i="1" s="1"/>
  <c r="J2459" i="1" s="1"/>
  <c r="K2459" i="1" s="1"/>
  <c r="J2460" i="1" s="1"/>
  <c r="K2460" i="1" s="1"/>
  <c r="J2461" i="1" s="1"/>
  <c r="K2461" i="1" s="1"/>
  <c r="J2462" i="1" s="1"/>
  <c r="K2462" i="1" s="1"/>
  <c r="J2463" i="1" s="1"/>
  <c r="K2463" i="1" s="1"/>
  <c r="J2464" i="1" s="1"/>
  <c r="K2464" i="1" s="1"/>
  <c r="J2465" i="1" s="1"/>
  <c r="K2465" i="1" s="1"/>
  <c r="J2466" i="1" s="1"/>
  <c r="K2466" i="1" s="1"/>
  <c r="J2467" i="1" s="1"/>
  <c r="K2467" i="1" s="1"/>
  <c r="J2468" i="1" s="1"/>
  <c r="K2468" i="1" s="1"/>
  <c r="J2469" i="1" s="1"/>
  <c r="K2469" i="1" s="1"/>
  <c r="J2470" i="1" s="1"/>
  <c r="K2470" i="1" s="1"/>
  <c r="J2471" i="1" s="1"/>
  <c r="K2471" i="1" s="1"/>
  <c r="J2472" i="1" s="1"/>
  <c r="K2472" i="1" s="1"/>
  <c r="J2473" i="1" s="1"/>
  <c r="K2473" i="1" s="1"/>
  <c r="J2474" i="1" s="1"/>
  <c r="K2474" i="1" s="1"/>
  <c r="J2475" i="1" s="1"/>
  <c r="K2475" i="1" s="1"/>
  <c r="J2476" i="1" s="1"/>
  <c r="K2476" i="1" s="1"/>
  <c r="J2477" i="1" s="1"/>
  <c r="K2477" i="1" s="1"/>
  <c r="J2478" i="1" s="1"/>
  <c r="K2478" i="1" s="1"/>
  <c r="J2479" i="1" s="1"/>
  <c r="K2479" i="1" s="1"/>
  <c r="J2480" i="1" s="1"/>
  <c r="K2480" i="1" s="1"/>
  <c r="J2481" i="1" s="1"/>
  <c r="K2481" i="1" s="1"/>
  <c r="J2482" i="1" s="1"/>
  <c r="K2482" i="1" s="1"/>
  <c r="J2483" i="1" s="1"/>
  <c r="K2483" i="1" s="1"/>
  <c r="J2484" i="1" s="1"/>
  <c r="K2484" i="1" s="1"/>
  <c r="J2485" i="1" s="1"/>
  <c r="K2485" i="1" s="1"/>
  <c r="J2486" i="1" s="1"/>
  <c r="K2486" i="1" s="1"/>
  <c r="J2487" i="1" s="1"/>
  <c r="K2487" i="1" s="1"/>
  <c r="J2488" i="1" s="1"/>
  <c r="K2488" i="1" s="1"/>
  <c r="J2489" i="1" s="1"/>
  <c r="K2489" i="1" s="1"/>
  <c r="J2490" i="1" s="1"/>
  <c r="K2490" i="1" s="1"/>
  <c r="J2491" i="1" s="1"/>
  <c r="K2491" i="1" s="1"/>
  <c r="J2492" i="1" s="1"/>
  <c r="K2492" i="1" s="1"/>
  <c r="J2493" i="1" s="1"/>
  <c r="K2493" i="1" s="1"/>
  <c r="J2494" i="1" s="1"/>
  <c r="K2494" i="1" s="1"/>
  <c r="J2495" i="1" s="1"/>
  <c r="K2495" i="1" s="1"/>
  <c r="J2496" i="1" s="1"/>
  <c r="K2496" i="1" s="1"/>
  <c r="J2497" i="1" s="1"/>
  <c r="K2497" i="1" s="1"/>
  <c r="J2498" i="1" s="1"/>
  <c r="K2498" i="1" s="1"/>
  <c r="J2503" i="1" s="1"/>
  <c r="K2503" i="1" s="1"/>
  <c r="J2504" i="1" s="1"/>
  <c r="K2504" i="1" s="1"/>
  <c r="J2505" i="1" s="1"/>
  <c r="K2505" i="1" s="1"/>
  <c r="J2506" i="1" s="1"/>
  <c r="K2506" i="1" s="1"/>
  <c r="J2507" i="1" s="1"/>
  <c r="K2507" i="1" s="1"/>
  <c r="J2508" i="1" s="1"/>
  <c r="K2508" i="1" s="1"/>
  <c r="J2509" i="1" s="1"/>
  <c r="K2509" i="1" s="1"/>
  <c r="J2510" i="1" s="1"/>
  <c r="K2510" i="1" s="1"/>
  <c r="J2511" i="1" s="1"/>
  <c r="K2511" i="1" s="1"/>
  <c r="J2512" i="1" s="1"/>
  <c r="K2512" i="1" s="1"/>
  <c r="J2513" i="1" s="1"/>
  <c r="K2513" i="1" s="1"/>
  <c r="J2514" i="1" s="1"/>
  <c r="K2514" i="1" s="1"/>
  <c r="J2515" i="1" s="1"/>
  <c r="K2515" i="1" s="1"/>
  <c r="J2516" i="1" s="1"/>
  <c r="K2516" i="1" s="1"/>
  <c r="J2517" i="1" s="1"/>
  <c r="K2517" i="1" s="1"/>
  <c r="J2518" i="1" s="1"/>
  <c r="K2518" i="1" s="1"/>
  <c r="J2519" i="1" s="1"/>
  <c r="K2519" i="1" s="1"/>
  <c r="J2520" i="1" s="1"/>
  <c r="K2520" i="1" s="1"/>
  <c r="J2521" i="1" s="1"/>
  <c r="K2521" i="1" s="1"/>
  <c r="J2522" i="1" s="1"/>
  <c r="K2522" i="1" s="1"/>
  <c r="J2523" i="1" s="1"/>
  <c r="K2523" i="1" s="1"/>
  <c r="J2524" i="1" s="1"/>
  <c r="K2524" i="1" s="1"/>
  <c r="J2525" i="1" s="1"/>
  <c r="K2525" i="1" s="1"/>
  <c r="J2526" i="1" s="1"/>
  <c r="K2526" i="1" s="1"/>
  <c r="J2527" i="1" s="1"/>
  <c r="K2527" i="1" s="1"/>
  <c r="J2528" i="1" s="1"/>
  <c r="K2528" i="1" s="1"/>
  <c r="J2529" i="1" s="1"/>
  <c r="K2529" i="1" s="1"/>
  <c r="J2530" i="1" s="1"/>
  <c r="K2530" i="1" s="1"/>
  <c r="J2531" i="1" s="1"/>
  <c r="K2531" i="1" s="1"/>
  <c r="J2532" i="1" s="1"/>
  <c r="K2532" i="1" s="1"/>
  <c r="J2533" i="1" s="1"/>
  <c r="K2533" i="1" s="1"/>
  <c r="J2534" i="1" s="1"/>
  <c r="K2534" i="1" s="1"/>
  <c r="J2535" i="1" s="1"/>
  <c r="K2535" i="1" s="1"/>
  <c r="J2536" i="1" s="1"/>
  <c r="K2536" i="1" s="1"/>
  <c r="J2537" i="1" s="1"/>
  <c r="K2537" i="1" s="1"/>
  <c r="J2538" i="1" s="1"/>
  <c r="K2538" i="1" s="1"/>
  <c r="J2539" i="1" s="1"/>
  <c r="K2539" i="1" s="1"/>
  <c r="J2540" i="1" s="1"/>
  <c r="K2540" i="1" s="1"/>
  <c r="J2541" i="1" s="1"/>
  <c r="K2541" i="1" s="1"/>
  <c r="J2542" i="1" s="1"/>
  <c r="K2542" i="1" s="1"/>
  <c r="J2543" i="1" s="1"/>
  <c r="K2543" i="1" s="1"/>
  <c r="J2544" i="1" s="1"/>
  <c r="K2544" i="1" s="1"/>
  <c r="G2453" i="1"/>
  <c r="G2444" i="1"/>
  <c r="G2432" i="1"/>
  <c r="G2416" i="1"/>
  <c r="G2406" i="1"/>
  <c r="G2384" i="1"/>
  <c r="G2372" i="1"/>
  <c r="G2350" i="1"/>
  <c r="G2340" i="1"/>
  <c r="G2330" i="1"/>
  <c r="G2318" i="1"/>
  <c r="G2281" i="1"/>
  <c r="G2273" i="1"/>
  <c r="G2241" i="1"/>
  <c r="G2235" i="1"/>
  <c r="G2213" i="1"/>
  <c r="G2199" i="1"/>
  <c r="G2187" i="1"/>
  <c r="G2173" i="1"/>
  <c r="G2163" i="1"/>
  <c r="G2147" i="1"/>
  <c r="G2133" i="1"/>
  <c r="G2123" i="1"/>
  <c r="G2107" i="1"/>
  <c r="J2098" i="1"/>
  <c r="K2098" i="1" s="1"/>
  <c r="J2099" i="1" s="1"/>
  <c r="K2099" i="1" s="1"/>
  <c r="J2100" i="1" s="1"/>
  <c r="K2100" i="1" s="1"/>
  <c r="J2101" i="1" s="1"/>
  <c r="K2101" i="1" s="1"/>
  <c r="J2102" i="1" s="1"/>
  <c r="K2102" i="1" s="1"/>
  <c r="J2103" i="1" s="1"/>
  <c r="K2103" i="1" s="1"/>
  <c r="J2104" i="1" s="1"/>
  <c r="K2104" i="1" s="1"/>
  <c r="J2105" i="1" s="1"/>
  <c r="K2105" i="1" s="1"/>
  <c r="J2106" i="1" s="1"/>
  <c r="K2106" i="1" s="1"/>
  <c r="J2107" i="1" s="1"/>
  <c r="K2107" i="1" s="1"/>
  <c r="J2108" i="1" s="1"/>
  <c r="K2108" i="1" s="1"/>
  <c r="J2109" i="1" s="1"/>
  <c r="K2109" i="1" s="1"/>
  <c r="J2110" i="1" s="1"/>
  <c r="K2110" i="1" s="1"/>
  <c r="J2111" i="1" s="1"/>
  <c r="K2111" i="1" s="1"/>
  <c r="J2112" i="1" s="1"/>
  <c r="K2112" i="1" s="1"/>
  <c r="J2117" i="1" s="1"/>
  <c r="K2117" i="1" s="1"/>
  <c r="J2118" i="1" s="1"/>
  <c r="K2118" i="1" s="1"/>
  <c r="J2119" i="1" s="1"/>
  <c r="K2119" i="1" s="1"/>
  <c r="J2120" i="1" s="1"/>
  <c r="K2120" i="1" s="1"/>
  <c r="J2121" i="1" s="1"/>
  <c r="K2121" i="1" s="1"/>
  <c r="J2122" i="1" s="1"/>
  <c r="K2122" i="1" s="1"/>
  <c r="J2123" i="1" s="1"/>
  <c r="K2123" i="1" s="1"/>
  <c r="J2124" i="1" s="1"/>
  <c r="K2124" i="1" s="1"/>
  <c r="J2125" i="1" s="1"/>
  <c r="K2125" i="1" s="1"/>
  <c r="J2126" i="1" s="1"/>
  <c r="K2126" i="1" s="1"/>
  <c r="J2127" i="1" s="1"/>
  <c r="K2127" i="1" s="1"/>
  <c r="J2128" i="1" s="1"/>
  <c r="K2128" i="1" s="1"/>
  <c r="J2129" i="1" s="1"/>
  <c r="K2129" i="1" s="1"/>
  <c r="J2130" i="1" s="1"/>
  <c r="K2130" i="1" s="1"/>
  <c r="J2131" i="1" s="1"/>
  <c r="K2131" i="1" s="1"/>
  <c r="J2132" i="1" s="1"/>
  <c r="K2132" i="1" s="1"/>
  <c r="J2133" i="1" s="1"/>
  <c r="K2133" i="1" s="1"/>
  <c r="J2134" i="1" s="1"/>
  <c r="K2134" i="1" s="1"/>
  <c r="J2135" i="1" s="1"/>
  <c r="K2135" i="1" s="1"/>
  <c r="J2136" i="1" s="1"/>
  <c r="K2136" i="1" s="1"/>
  <c r="J2137" i="1" s="1"/>
  <c r="K2137" i="1" s="1"/>
  <c r="J2138" i="1" s="1"/>
  <c r="K2138" i="1" s="1"/>
  <c r="J2139" i="1" s="1"/>
  <c r="K2139" i="1" s="1"/>
  <c r="J2140" i="1" s="1"/>
  <c r="K2140" i="1" s="1"/>
  <c r="J2141" i="1" s="1"/>
  <c r="K2141" i="1" s="1"/>
  <c r="J2142" i="1" s="1"/>
  <c r="K2142" i="1" s="1"/>
  <c r="J2143" i="1" s="1"/>
  <c r="K2143" i="1" s="1"/>
  <c r="J2144" i="1" s="1"/>
  <c r="K2144" i="1" s="1"/>
  <c r="J2145" i="1" s="1"/>
  <c r="K2145" i="1" s="1"/>
  <c r="J2146" i="1" s="1"/>
  <c r="K2146" i="1" s="1"/>
  <c r="J2147" i="1" s="1"/>
  <c r="K2147" i="1" s="1"/>
  <c r="J2148" i="1" s="1"/>
  <c r="K2148" i="1" s="1"/>
  <c r="J2149" i="1" s="1"/>
  <c r="K2149" i="1" s="1"/>
  <c r="J2150" i="1" s="1"/>
  <c r="K2150" i="1" s="1"/>
  <c r="J2151" i="1" s="1"/>
  <c r="K2151" i="1" s="1"/>
  <c r="J2152" i="1" s="1"/>
  <c r="K2152" i="1" s="1"/>
  <c r="J2153" i="1" s="1"/>
  <c r="K2153" i="1" s="1"/>
  <c r="J2154" i="1" s="1"/>
  <c r="K2154" i="1" s="1"/>
  <c r="J2155" i="1" s="1"/>
  <c r="K2155" i="1" s="1"/>
  <c r="J2156" i="1" s="1"/>
  <c r="K2156" i="1" s="1"/>
  <c r="J2161" i="1" s="1"/>
  <c r="K2161" i="1" s="1"/>
  <c r="J2162" i="1" s="1"/>
  <c r="K2162" i="1" s="1"/>
  <c r="J2163" i="1" s="1"/>
  <c r="K2163" i="1" s="1"/>
  <c r="J2164" i="1" s="1"/>
  <c r="K2164" i="1" s="1"/>
  <c r="J2165" i="1" s="1"/>
  <c r="K2165" i="1" s="1"/>
  <c r="J2166" i="1" s="1"/>
  <c r="K2166" i="1" s="1"/>
  <c r="J2167" i="1" s="1"/>
  <c r="K2167" i="1" s="1"/>
  <c r="J2168" i="1" s="1"/>
  <c r="K2168" i="1" s="1"/>
  <c r="J2169" i="1" s="1"/>
  <c r="K2169" i="1" s="1"/>
  <c r="J2170" i="1" s="1"/>
  <c r="K2170" i="1" s="1"/>
  <c r="J2171" i="1" s="1"/>
  <c r="K2171" i="1" s="1"/>
  <c r="J2172" i="1" s="1"/>
  <c r="K2172" i="1" s="1"/>
  <c r="J2173" i="1" s="1"/>
  <c r="K2173" i="1" s="1"/>
  <c r="J2174" i="1" s="1"/>
  <c r="K2174" i="1" s="1"/>
  <c r="J2175" i="1" s="1"/>
  <c r="K2175" i="1" s="1"/>
  <c r="J2176" i="1" s="1"/>
  <c r="K2176" i="1" s="1"/>
  <c r="J2177" i="1" s="1"/>
  <c r="K2177" i="1" s="1"/>
  <c r="J2178" i="1" s="1"/>
  <c r="K2178" i="1" s="1"/>
  <c r="J2179" i="1" s="1"/>
  <c r="K2179" i="1" s="1"/>
  <c r="J2180" i="1" s="1"/>
  <c r="K2180" i="1" s="1"/>
  <c r="J2181" i="1" s="1"/>
  <c r="K2181" i="1" s="1"/>
  <c r="J2182" i="1" s="1"/>
  <c r="K2182" i="1" s="1"/>
  <c r="J2183" i="1" s="1"/>
  <c r="K2183" i="1" s="1"/>
  <c r="J2184" i="1" s="1"/>
  <c r="K2184" i="1" s="1"/>
  <c r="J2185" i="1" s="1"/>
  <c r="K2185" i="1" s="1"/>
  <c r="J2186" i="1" s="1"/>
  <c r="K2186" i="1" s="1"/>
  <c r="J2187" i="1" s="1"/>
  <c r="K2187" i="1" s="1"/>
  <c r="J2188" i="1" s="1"/>
  <c r="K2188" i="1" s="1"/>
  <c r="J2189" i="1" s="1"/>
  <c r="K2189" i="1" s="1"/>
  <c r="J2190" i="1" s="1"/>
  <c r="K2190" i="1" s="1"/>
  <c r="J2191" i="1" s="1"/>
  <c r="K2191" i="1" s="1"/>
  <c r="J2192" i="1" s="1"/>
  <c r="K2192" i="1" s="1"/>
  <c r="J2193" i="1" s="1"/>
  <c r="K2193" i="1" s="1"/>
  <c r="J2194" i="1" s="1"/>
  <c r="K2194" i="1" s="1"/>
  <c r="J2195" i="1" s="1"/>
  <c r="K2195" i="1" s="1"/>
  <c r="J2196" i="1" s="1"/>
  <c r="K2196" i="1" s="1"/>
  <c r="J2197" i="1" s="1"/>
  <c r="K2197" i="1" s="1"/>
  <c r="J2198" i="1" s="1"/>
  <c r="K2198" i="1" s="1"/>
  <c r="J2199" i="1" s="1"/>
  <c r="K2199" i="1" s="1"/>
  <c r="J2200" i="1" s="1"/>
  <c r="K2200" i="1" s="1"/>
  <c r="J2201" i="1" s="1"/>
  <c r="K2201" i="1" s="1"/>
  <c r="J2202" i="1" s="1"/>
  <c r="K2202" i="1" s="1"/>
  <c r="J2203" i="1" s="1"/>
  <c r="K2203" i="1" s="1"/>
  <c r="J2204" i="1" s="1"/>
  <c r="K2204" i="1" s="1"/>
  <c r="J2205" i="1" s="1"/>
  <c r="K2205" i="1" s="1"/>
  <c r="J2206" i="1" s="1"/>
  <c r="K2206" i="1" s="1"/>
  <c r="J2207" i="1" s="1"/>
  <c r="K2207" i="1" s="1"/>
  <c r="J2208" i="1" s="1"/>
  <c r="K2208" i="1" s="1"/>
  <c r="J2209" i="1" s="1"/>
  <c r="K2209" i="1" s="1"/>
  <c r="J2210" i="1" s="1"/>
  <c r="K2210" i="1" s="1"/>
  <c r="J2211" i="1" s="1"/>
  <c r="K2211" i="1" s="1"/>
  <c r="J2212" i="1" s="1"/>
  <c r="K2212" i="1" s="1"/>
  <c r="J2213" i="1" s="1"/>
  <c r="K2213" i="1" s="1"/>
  <c r="J2214" i="1" s="1"/>
  <c r="K2214" i="1" s="1"/>
  <c r="J2215" i="1" s="1"/>
  <c r="K2215" i="1" s="1"/>
  <c r="J2216" i="1" s="1"/>
  <c r="K2216" i="1" s="1"/>
  <c r="J2221" i="1" s="1"/>
  <c r="K2221" i="1" s="1"/>
  <c r="J2222" i="1" s="1"/>
  <c r="K2222" i="1" s="1"/>
  <c r="J2223" i="1" s="1"/>
  <c r="K2223" i="1" s="1"/>
  <c r="J2224" i="1" s="1"/>
  <c r="K2224" i="1" s="1"/>
  <c r="J2225" i="1" s="1"/>
  <c r="K2225" i="1" s="1"/>
  <c r="J2226" i="1" s="1"/>
  <c r="K2226" i="1" s="1"/>
  <c r="J2227" i="1" s="1"/>
  <c r="K2227" i="1" s="1"/>
  <c r="J2228" i="1" s="1"/>
  <c r="K2228" i="1" s="1"/>
  <c r="J2229" i="1" s="1"/>
  <c r="K2229" i="1" s="1"/>
  <c r="J2230" i="1" s="1"/>
  <c r="K2230" i="1" s="1"/>
  <c r="J2231" i="1" s="1"/>
  <c r="K2231" i="1" s="1"/>
  <c r="J2232" i="1" s="1"/>
  <c r="K2232" i="1" s="1"/>
  <c r="J2233" i="1" s="1"/>
  <c r="K2233" i="1" s="1"/>
  <c r="J2234" i="1" s="1"/>
  <c r="K2234" i="1" s="1"/>
  <c r="J2235" i="1" s="1"/>
  <c r="K2235" i="1" s="1"/>
  <c r="J2236" i="1" s="1"/>
  <c r="K2236" i="1" s="1"/>
  <c r="J2237" i="1" s="1"/>
  <c r="K2237" i="1" s="1"/>
  <c r="J2238" i="1" s="1"/>
  <c r="K2238" i="1" s="1"/>
  <c r="J2239" i="1" s="1"/>
  <c r="K2239" i="1" s="1"/>
  <c r="J2240" i="1" s="1"/>
  <c r="K2240" i="1" s="1"/>
  <c r="J2241" i="1" s="1"/>
  <c r="K2241" i="1" s="1"/>
  <c r="J2242" i="1" s="1"/>
  <c r="K2242" i="1" s="1"/>
  <c r="J2243" i="1" s="1"/>
  <c r="K2243" i="1" s="1"/>
  <c r="J2244" i="1" s="1"/>
  <c r="K2244" i="1" s="1"/>
  <c r="J2245" i="1" s="1"/>
  <c r="K2245" i="1" s="1"/>
  <c r="J2246" i="1" s="1"/>
  <c r="K2246" i="1" s="1"/>
  <c r="J2263" i="1" s="1"/>
  <c r="K2263" i="1" s="1"/>
  <c r="J2264" i="1" s="1"/>
  <c r="K2264" i="1" s="1"/>
  <c r="J2265" i="1" s="1"/>
  <c r="K2265" i="1" s="1"/>
  <c r="J2266" i="1" s="1"/>
  <c r="K2266" i="1" s="1"/>
  <c r="J2267" i="1" s="1"/>
  <c r="K2267" i="1" s="1"/>
  <c r="J2268" i="1" s="1"/>
  <c r="K2268" i="1" s="1"/>
  <c r="J2269" i="1" s="1"/>
  <c r="K2269" i="1" s="1"/>
  <c r="J2270" i="1" s="1"/>
  <c r="K2270" i="1" s="1"/>
  <c r="J2271" i="1" s="1"/>
  <c r="K2271" i="1" s="1"/>
  <c r="J2272" i="1" s="1"/>
  <c r="K2272" i="1" s="1"/>
  <c r="J2273" i="1" s="1"/>
  <c r="K2273" i="1" s="1"/>
  <c r="J2274" i="1" s="1"/>
  <c r="K2274" i="1" s="1"/>
  <c r="J2275" i="1" s="1"/>
  <c r="K2275" i="1" s="1"/>
  <c r="J2276" i="1" s="1"/>
  <c r="K2276" i="1" s="1"/>
  <c r="J2277" i="1" s="1"/>
  <c r="K2277" i="1" s="1"/>
  <c r="J2278" i="1" s="1"/>
  <c r="K2278" i="1" s="1"/>
  <c r="J2279" i="1" s="1"/>
  <c r="K2279" i="1" s="1"/>
  <c r="J2280" i="1" s="1"/>
  <c r="K2280" i="1" s="1"/>
  <c r="J2281" i="1" s="1"/>
  <c r="K2281" i="1" s="1"/>
  <c r="J2282" i="1" s="1"/>
  <c r="K2282" i="1" s="1"/>
  <c r="J2283" i="1" s="1"/>
  <c r="K2283" i="1" s="1"/>
  <c r="J2284" i="1" s="1"/>
  <c r="K2284" i="1" s="1"/>
  <c r="J2285" i="1" s="1"/>
  <c r="K2285" i="1" s="1"/>
  <c r="J2286" i="1" s="1"/>
  <c r="K2286" i="1" s="1"/>
  <c r="J2287" i="1" s="1"/>
  <c r="K2287" i="1" s="1"/>
  <c r="J2288" i="1" s="1"/>
  <c r="K2288" i="1" s="1"/>
  <c r="J2289" i="1" s="1"/>
  <c r="K2289" i="1" s="1"/>
  <c r="J2290" i="1" s="1"/>
  <c r="K2290" i="1" s="1"/>
  <c r="J2291" i="1" s="1"/>
  <c r="K2291" i="1" s="1"/>
  <c r="J2292" i="1" s="1"/>
  <c r="K2292" i="1" s="1"/>
  <c r="J2293" i="1" s="1"/>
  <c r="K2293" i="1" s="1"/>
  <c r="J2294" i="1" s="1"/>
  <c r="K2294" i="1" s="1"/>
  <c r="J2295" i="1" s="1"/>
  <c r="K2295" i="1" s="1"/>
  <c r="J2296" i="1" s="1"/>
  <c r="K2296" i="1" s="1"/>
  <c r="J2297" i="1" s="1"/>
  <c r="K2297" i="1" s="1"/>
  <c r="J2298" i="1" s="1"/>
  <c r="K2298" i="1" s="1"/>
  <c r="J2299" i="1" s="1"/>
  <c r="K2299" i="1" s="1"/>
  <c r="J2300" i="1" s="1"/>
  <c r="K2300" i="1" s="1"/>
  <c r="J2301" i="1" s="1"/>
  <c r="K2301" i="1" s="1"/>
  <c r="J2302" i="1" s="1"/>
  <c r="K2302" i="1" s="1"/>
  <c r="J2306" i="1" s="1"/>
  <c r="K2306" i="1" s="1"/>
  <c r="J2307" i="1" s="1"/>
  <c r="K2307" i="1" s="1"/>
  <c r="J2308" i="1" s="1"/>
  <c r="K2308" i="1" s="1"/>
  <c r="J2309" i="1" s="1"/>
  <c r="K2309" i="1" s="1"/>
  <c r="J2318" i="1" s="1"/>
  <c r="K2318" i="1" s="1"/>
  <c r="J2319" i="1" s="1"/>
  <c r="K2319" i="1" s="1"/>
  <c r="J2320" i="1" s="1"/>
  <c r="K2320" i="1" s="1"/>
  <c r="J2321" i="1" s="1"/>
  <c r="K2321" i="1" s="1"/>
  <c r="J2322" i="1" s="1"/>
  <c r="K2322" i="1" s="1"/>
  <c r="J2323" i="1" s="1"/>
  <c r="K2323" i="1" s="1"/>
  <c r="J2324" i="1" s="1"/>
  <c r="K2324" i="1" s="1"/>
  <c r="J2325" i="1" s="1"/>
  <c r="K2325" i="1" s="1"/>
  <c r="J2326" i="1" s="1"/>
  <c r="K2326" i="1" s="1"/>
  <c r="J2327" i="1" s="1"/>
  <c r="K2327" i="1" s="1"/>
  <c r="J2328" i="1" s="1"/>
  <c r="K2328" i="1" s="1"/>
  <c r="J2329" i="1" s="1"/>
  <c r="K2329" i="1" s="1"/>
  <c r="J2330" i="1" s="1"/>
  <c r="K2330" i="1" s="1"/>
  <c r="J2331" i="1" s="1"/>
  <c r="K2331" i="1" s="1"/>
  <c r="J2332" i="1" s="1"/>
  <c r="K2332" i="1" s="1"/>
  <c r="J2333" i="1" s="1"/>
  <c r="K2333" i="1" s="1"/>
  <c r="J2334" i="1" s="1"/>
  <c r="K2334" i="1" s="1"/>
  <c r="J2335" i="1" s="1"/>
  <c r="K2335" i="1" s="1"/>
  <c r="J2336" i="1" s="1"/>
  <c r="K2336" i="1" s="1"/>
  <c r="J2337" i="1" s="1"/>
  <c r="K2337" i="1" s="1"/>
  <c r="J2338" i="1" s="1"/>
  <c r="K2338" i="1" s="1"/>
  <c r="J2339" i="1" s="1"/>
  <c r="K2339" i="1" s="1"/>
  <c r="J2340" i="1" s="1"/>
  <c r="K2340" i="1" s="1"/>
  <c r="J2341" i="1" s="1"/>
  <c r="K2341" i="1" s="1"/>
  <c r="J2342" i="1" s="1"/>
  <c r="K2342" i="1" s="1"/>
  <c r="J2343" i="1" s="1"/>
  <c r="K2343" i="1" s="1"/>
  <c r="J2344" i="1" s="1"/>
  <c r="K2344" i="1" s="1"/>
  <c r="J2345" i="1" s="1"/>
  <c r="K2345" i="1" s="1"/>
  <c r="J2346" i="1" s="1"/>
  <c r="K2346" i="1" s="1"/>
  <c r="J2347" i="1" s="1"/>
  <c r="K2347" i="1" s="1"/>
  <c r="J2348" i="1" s="1"/>
  <c r="K2348" i="1" s="1"/>
  <c r="J2349" i="1" s="1"/>
  <c r="K2349" i="1" s="1"/>
  <c r="J2350" i="1" s="1"/>
  <c r="K2350" i="1" s="1"/>
  <c r="J2351" i="1" s="1"/>
  <c r="K2351" i="1" s="1"/>
  <c r="J2352" i="1" s="1"/>
  <c r="K2352" i="1" s="1"/>
  <c r="J2353" i="1" s="1"/>
  <c r="K2353" i="1" s="1"/>
  <c r="J2354" i="1" s="1"/>
  <c r="K2354" i="1" s="1"/>
  <c r="J2355" i="1" s="1"/>
  <c r="K2355" i="1" s="1"/>
  <c r="J2356" i="1" s="1"/>
  <c r="K2356" i="1" s="1"/>
  <c r="J2357" i="1" s="1"/>
  <c r="K2357" i="1" s="1"/>
  <c r="J2362" i="1" s="1"/>
  <c r="K2362" i="1" s="1"/>
  <c r="J2363" i="1" s="1"/>
  <c r="K2363" i="1" s="1"/>
  <c r="J2364" i="1" s="1"/>
  <c r="K2364" i="1" s="1"/>
  <c r="J2365" i="1" s="1"/>
  <c r="K2365" i="1" s="1"/>
  <c r="J2366" i="1" s="1"/>
  <c r="K2366" i="1" s="1"/>
  <c r="J2367" i="1" s="1"/>
  <c r="K2367" i="1" s="1"/>
  <c r="J2368" i="1" s="1"/>
  <c r="K2368" i="1" s="1"/>
  <c r="J2369" i="1" s="1"/>
  <c r="K2369" i="1" s="1"/>
  <c r="J2370" i="1" s="1"/>
  <c r="K2370" i="1" s="1"/>
  <c r="J2371" i="1" s="1"/>
  <c r="K2371" i="1" s="1"/>
  <c r="J2372" i="1" s="1"/>
  <c r="K2372" i="1" s="1"/>
  <c r="J2373" i="1" s="1"/>
  <c r="K2373" i="1" s="1"/>
  <c r="J2374" i="1" s="1"/>
  <c r="K2374" i="1" s="1"/>
  <c r="J2375" i="1" s="1"/>
  <c r="K2375" i="1" s="1"/>
  <c r="J2376" i="1" s="1"/>
  <c r="K2376" i="1" s="1"/>
  <c r="J2377" i="1" s="1"/>
  <c r="K2377" i="1" s="1"/>
  <c r="J2378" i="1" s="1"/>
  <c r="K2378" i="1" s="1"/>
  <c r="J2379" i="1" s="1"/>
  <c r="K2379" i="1" s="1"/>
  <c r="J2380" i="1" s="1"/>
  <c r="K2380" i="1" s="1"/>
  <c r="J2381" i="1" s="1"/>
  <c r="K2381" i="1" s="1"/>
  <c r="J2382" i="1" s="1"/>
  <c r="K2382" i="1" s="1"/>
  <c r="J2383" i="1" s="1"/>
  <c r="K2383" i="1" s="1"/>
  <c r="J2384" i="1" s="1"/>
  <c r="K2384" i="1" s="1"/>
  <c r="J2385" i="1" s="1"/>
  <c r="K2385" i="1" s="1"/>
  <c r="J2386" i="1" s="1"/>
  <c r="K2386" i="1" s="1"/>
  <c r="J2387" i="1" s="1"/>
  <c r="K2387" i="1" s="1"/>
  <c r="J2388" i="1" s="1"/>
  <c r="K2388" i="1" s="1"/>
  <c r="J2389" i="1" s="1"/>
  <c r="K2389" i="1" s="1"/>
  <c r="J2390" i="1" s="1"/>
  <c r="K2390" i="1" s="1"/>
  <c r="J2391" i="1" s="1"/>
  <c r="K2391" i="1" s="1"/>
  <c r="J2392" i="1" s="1"/>
  <c r="K2392" i="1" s="1"/>
  <c r="J2393" i="1" s="1"/>
  <c r="K2393" i="1" s="1"/>
  <c r="J2394" i="1" s="1"/>
  <c r="K2394" i="1" s="1"/>
  <c r="J2395" i="1" s="1"/>
  <c r="K2395" i="1" s="1"/>
  <c r="J2396" i="1" s="1"/>
  <c r="K2396" i="1" s="1"/>
  <c r="J2397" i="1" s="1"/>
  <c r="K2397" i="1" s="1"/>
  <c r="J2398" i="1" s="1"/>
  <c r="K2398" i="1" s="1"/>
  <c r="J2399" i="1" s="1"/>
  <c r="K2399" i="1" s="1"/>
  <c r="J2400" i="1" s="1"/>
  <c r="K2400" i="1" s="1"/>
  <c r="J2401" i="1" s="1"/>
  <c r="K2401" i="1" s="1"/>
  <c r="J2406" i="1" s="1"/>
  <c r="K2406" i="1" s="1"/>
  <c r="J2407" i="1" s="1"/>
  <c r="K2407" i="1" s="1"/>
  <c r="J2408" i="1" s="1"/>
  <c r="K2408" i="1" s="1"/>
  <c r="J2409" i="1" s="1"/>
  <c r="K2409" i="1" s="1"/>
  <c r="J2410" i="1" s="1"/>
  <c r="K2410" i="1" s="1"/>
  <c r="J2411" i="1" s="1"/>
  <c r="K2411" i="1" s="1"/>
  <c r="J2412" i="1" s="1"/>
  <c r="K2412" i="1" s="1"/>
  <c r="J2413" i="1" s="1"/>
  <c r="K2413" i="1" s="1"/>
  <c r="J2414" i="1" s="1"/>
  <c r="K2414" i="1" s="1"/>
  <c r="J2415" i="1" s="1"/>
  <c r="K2415" i="1" s="1"/>
  <c r="J2416" i="1" s="1"/>
  <c r="K2416" i="1" s="1"/>
  <c r="J2417" i="1" s="1"/>
  <c r="K2417" i="1" s="1"/>
  <c r="J2418" i="1" s="1"/>
  <c r="K2418" i="1" s="1"/>
  <c r="J2419" i="1" s="1"/>
  <c r="K2419" i="1" s="1"/>
  <c r="J2420" i="1" s="1"/>
  <c r="K2420" i="1" s="1"/>
  <c r="J2421" i="1" s="1"/>
  <c r="K2421" i="1" s="1"/>
  <c r="J2422" i="1" s="1"/>
  <c r="K2422" i="1" s="1"/>
  <c r="J2423" i="1" s="1"/>
  <c r="K2423" i="1" s="1"/>
  <c r="J2424" i="1" s="1"/>
  <c r="K2424" i="1" s="1"/>
  <c r="J2425" i="1" s="1"/>
  <c r="K2425" i="1" s="1"/>
  <c r="J2426" i="1" s="1"/>
  <c r="K2426" i="1" s="1"/>
  <c r="J2427" i="1" s="1"/>
  <c r="K2427" i="1" s="1"/>
  <c r="J2428" i="1" s="1"/>
  <c r="K2428" i="1" s="1"/>
  <c r="J2429" i="1" s="1"/>
  <c r="K2429" i="1" s="1"/>
  <c r="J2430" i="1" s="1"/>
  <c r="K2430" i="1" s="1"/>
  <c r="J2431" i="1" s="1"/>
  <c r="K2431" i="1" s="1"/>
  <c r="J2432" i="1" s="1"/>
  <c r="K2432" i="1" s="1"/>
  <c r="J2433" i="1" s="1"/>
  <c r="K2433" i="1" s="1"/>
  <c r="J2434" i="1" s="1"/>
  <c r="K2434" i="1" s="1"/>
  <c r="J2435" i="1" s="1"/>
  <c r="K2435" i="1" s="1"/>
  <c r="J2436" i="1" s="1"/>
  <c r="K2436" i="1" s="1"/>
  <c r="J2437" i="1" s="1"/>
  <c r="K2437" i="1" s="1"/>
  <c r="J2438" i="1" s="1"/>
  <c r="K2438" i="1" s="1"/>
  <c r="J2439" i="1" s="1"/>
  <c r="K2439" i="1" s="1"/>
  <c r="J2440" i="1" s="1"/>
  <c r="K2440" i="1" s="1"/>
  <c r="J2441" i="1" s="1"/>
  <c r="K2441" i="1" s="1"/>
  <c r="J2442" i="1" s="1"/>
  <c r="K2442" i="1" s="1"/>
  <c r="J2443" i="1" s="1"/>
  <c r="K2443" i="1" s="1"/>
  <c r="J2444" i="1" s="1"/>
  <c r="K2444" i="1" s="1"/>
  <c r="J2445" i="1" s="1"/>
  <c r="K2445" i="1" s="1"/>
  <c r="J2446" i="1" s="1"/>
  <c r="K2446" i="1" s="1"/>
  <c r="J2447" i="1" s="1"/>
  <c r="K2447" i="1" s="1"/>
  <c r="J2448" i="1" s="1"/>
  <c r="K2448" i="1" s="1"/>
  <c r="J2449" i="1" s="1"/>
  <c r="K2449" i="1" s="1"/>
  <c r="G2095" i="1"/>
  <c r="G2087" i="1"/>
  <c r="K2083" i="1"/>
  <c r="J2084" i="1" s="1"/>
  <c r="K2084" i="1" s="1"/>
  <c r="J2085" i="1" s="1"/>
  <c r="K2085" i="1" s="1"/>
  <c r="J2086" i="1" s="1"/>
  <c r="K2086" i="1" s="1"/>
  <c r="J2087" i="1" s="1"/>
  <c r="K2087" i="1" s="1"/>
  <c r="J2088" i="1" s="1"/>
  <c r="K2088" i="1" s="1"/>
  <c r="J2089" i="1" s="1"/>
  <c r="K2089" i="1" s="1"/>
  <c r="J2090" i="1" s="1"/>
  <c r="K2090" i="1" s="1"/>
  <c r="J2091" i="1" s="1"/>
  <c r="K2091" i="1" s="1"/>
  <c r="J2092" i="1" s="1"/>
  <c r="K2092" i="1" s="1"/>
  <c r="J2093" i="1" s="1"/>
  <c r="K2093" i="1" s="1"/>
  <c r="J2094" i="1" s="1"/>
  <c r="K2094" i="1" s="1"/>
  <c r="J2095" i="1" s="1"/>
  <c r="K2095" i="1" s="1"/>
  <c r="J2096" i="1" s="1"/>
  <c r="K2096" i="1" s="1"/>
  <c r="J2097" i="1" s="1"/>
  <c r="K2097" i="1" s="1"/>
  <c r="G2078" i="1"/>
  <c r="G2068" i="1"/>
  <c r="G2056" i="1"/>
  <c r="G2040" i="1"/>
  <c r="G2021" i="1"/>
  <c r="G2009" i="1"/>
  <c r="G1999" i="1"/>
  <c r="G1987" i="1"/>
  <c r="G1966" i="1"/>
  <c r="G1954" i="1"/>
  <c r="G1946" i="1"/>
  <c r="G1931" i="1"/>
  <c r="G1897" i="1"/>
  <c r="G1887" i="1"/>
  <c r="G1877" i="1"/>
  <c r="G1865" i="1"/>
  <c r="G1842" i="1"/>
  <c r="G1834" i="1"/>
  <c r="G1824" i="1"/>
  <c r="G1812" i="1"/>
  <c r="G1804" i="1"/>
  <c r="G1789" i="1"/>
  <c r="G1779" i="1"/>
  <c r="G1771" i="1"/>
  <c r="G1759" i="1"/>
  <c r="G1749" i="1"/>
  <c r="G1733" i="1"/>
  <c r="G1723" i="1"/>
  <c r="G1713" i="1"/>
  <c r="G1689" i="1"/>
  <c r="G1681" i="1"/>
  <c r="G1665" i="1"/>
  <c r="G1651" i="1"/>
  <c r="G1639" i="1"/>
  <c r="G1625" i="1"/>
  <c r="G1611" i="1"/>
  <c r="G1597" i="1"/>
  <c r="G1589" i="1"/>
  <c r="G1585" i="1"/>
  <c r="G1569" i="1"/>
  <c r="G1555" i="1"/>
  <c r="G1543" i="1"/>
  <c r="G1531" i="1"/>
  <c r="G1513" i="1"/>
  <c r="G1499" i="1"/>
  <c r="G1481" i="1"/>
  <c r="G1467" i="1"/>
  <c r="G1461" i="1"/>
  <c r="G1447" i="1"/>
  <c r="G1431" i="1"/>
  <c r="G1411" i="1"/>
  <c r="G1390" i="1"/>
  <c r="G1378" i="1"/>
  <c r="G1364" i="1"/>
  <c r="G1346" i="1"/>
  <c r="G1334" i="1"/>
  <c r="G1322" i="1"/>
  <c r="G1314" i="1"/>
  <c r="G1300" i="1"/>
  <c r="G1282" i="1"/>
  <c r="G1274" i="1"/>
  <c r="G1254" i="1"/>
  <c r="G1244" i="1"/>
  <c r="J1241" i="1"/>
  <c r="K1241" i="1" s="1"/>
  <c r="J1242" i="1" s="1"/>
  <c r="K1242" i="1" s="1"/>
  <c r="J1243" i="1" s="1"/>
  <c r="K1243" i="1" s="1"/>
  <c r="J1244" i="1" s="1"/>
  <c r="K1244" i="1" s="1"/>
  <c r="J1245" i="1" s="1"/>
  <c r="K1245" i="1" s="1"/>
  <c r="J1246" i="1" s="1"/>
  <c r="K1246" i="1" s="1"/>
  <c r="J1247" i="1" s="1"/>
  <c r="K1247" i="1" s="1"/>
  <c r="J1248" i="1" s="1"/>
  <c r="K1248" i="1" s="1"/>
  <c r="J1249" i="1" s="1"/>
  <c r="K1249" i="1" s="1"/>
  <c r="J1250" i="1" s="1"/>
  <c r="K1250" i="1" s="1"/>
  <c r="J1251" i="1" s="1"/>
  <c r="K1251" i="1" s="1"/>
  <c r="J1252" i="1" s="1"/>
  <c r="K1252" i="1" s="1"/>
  <c r="J1253" i="1" s="1"/>
  <c r="K1253" i="1" s="1"/>
  <c r="J1254" i="1" s="1"/>
  <c r="K1254" i="1" s="1"/>
  <c r="J1255" i="1" s="1"/>
  <c r="K1255" i="1" s="1"/>
  <c r="J1256" i="1" s="1"/>
  <c r="K1256" i="1" s="1"/>
  <c r="J1257" i="1" s="1"/>
  <c r="K1257" i="1" s="1"/>
  <c r="J1258" i="1" s="1"/>
  <c r="K1258" i="1" s="1"/>
  <c r="J1259" i="1" s="1"/>
  <c r="K1259" i="1" s="1"/>
  <c r="J1260" i="1" s="1"/>
  <c r="K1260" i="1" s="1"/>
  <c r="J1261" i="1" s="1"/>
  <c r="K1261" i="1" s="1"/>
  <c r="J1262" i="1" s="1"/>
  <c r="K1262" i="1" s="1"/>
  <c r="J1263" i="1" s="1"/>
  <c r="K1263" i="1" s="1"/>
  <c r="J1264" i="1" s="1"/>
  <c r="K1264" i="1" s="1"/>
  <c r="J1265" i="1" s="1"/>
  <c r="K1265" i="1" s="1"/>
  <c r="J1274" i="1" s="1"/>
  <c r="K1274" i="1" s="1"/>
  <c r="J1275" i="1" s="1"/>
  <c r="K1275" i="1" s="1"/>
  <c r="J1276" i="1" s="1"/>
  <c r="K1276" i="1" s="1"/>
  <c r="J1277" i="1" s="1"/>
  <c r="K1277" i="1" s="1"/>
  <c r="J1278" i="1" s="1"/>
  <c r="K1278" i="1" s="1"/>
  <c r="J1279" i="1" s="1"/>
  <c r="K1279" i="1" s="1"/>
  <c r="J1280" i="1" s="1"/>
  <c r="K1280" i="1" s="1"/>
  <c r="J1281" i="1" s="1"/>
  <c r="K1281" i="1" s="1"/>
  <c r="J1282" i="1" s="1"/>
  <c r="K1282" i="1" s="1"/>
  <c r="J1283" i="1" s="1"/>
  <c r="K1283" i="1" s="1"/>
  <c r="J1284" i="1" s="1"/>
  <c r="K1284" i="1" s="1"/>
  <c r="J1285" i="1" s="1"/>
  <c r="K1285" i="1" s="1"/>
  <c r="J1286" i="1" s="1"/>
  <c r="K1286" i="1" s="1"/>
  <c r="J1287" i="1" s="1"/>
  <c r="K1287" i="1" s="1"/>
  <c r="J1288" i="1" s="1"/>
  <c r="K1288" i="1" s="1"/>
  <c r="J1289" i="1" s="1"/>
  <c r="K1289" i="1" s="1"/>
  <c r="J1290" i="1" s="1"/>
  <c r="K1290" i="1" s="1"/>
  <c r="J1291" i="1" s="1"/>
  <c r="K1291" i="1" s="1"/>
  <c r="J1292" i="1" s="1"/>
  <c r="K1292" i="1" s="1"/>
  <c r="J1293" i="1" s="1"/>
  <c r="K1293" i="1" s="1"/>
  <c r="J1294" i="1" s="1"/>
  <c r="K1294" i="1" s="1"/>
  <c r="J1295" i="1" s="1"/>
  <c r="K1295" i="1" s="1"/>
  <c r="J1296" i="1" s="1"/>
  <c r="K1296" i="1" s="1"/>
  <c r="J1297" i="1" s="1"/>
  <c r="K1297" i="1" s="1"/>
  <c r="J1298" i="1" s="1"/>
  <c r="K1298" i="1" s="1"/>
  <c r="J1299" i="1" s="1"/>
  <c r="K1299" i="1" s="1"/>
  <c r="J1300" i="1" s="1"/>
  <c r="K1300" i="1" s="1"/>
  <c r="J1301" i="1" s="1"/>
  <c r="K1301" i="1" s="1"/>
  <c r="J1302" i="1" s="1"/>
  <c r="K1302" i="1" s="1"/>
  <c r="J1303" i="1" s="1"/>
  <c r="K1303" i="1" s="1"/>
  <c r="J1304" i="1" s="1"/>
  <c r="K1304" i="1" s="1"/>
  <c r="J1305" i="1" s="1"/>
  <c r="K1305" i="1" s="1"/>
  <c r="J1308" i="1" s="1"/>
  <c r="K1308" i="1" s="1"/>
  <c r="J1309" i="1" s="1"/>
  <c r="K1309" i="1" s="1"/>
  <c r="J1310" i="1" s="1"/>
  <c r="K1310" i="1" s="1"/>
  <c r="J1311" i="1" s="1"/>
  <c r="K1311" i="1" s="1"/>
  <c r="J1312" i="1" s="1"/>
  <c r="K1312" i="1" s="1"/>
  <c r="J1313" i="1" s="1"/>
  <c r="K1313" i="1" s="1"/>
  <c r="J1314" i="1" s="1"/>
  <c r="K1314" i="1" s="1"/>
  <c r="J1315" i="1" s="1"/>
  <c r="K1315" i="1" s="1"/>
  <c r="J1316" i="1" s="1"/>
  <c r="K1316" i="1" s="1"/>
  <c r="J1317" i="1" s="1"/>
  <c r="K1317" i="1" s="1"/>
  <c r="J1318" i="1" s="1"/>
  <c r="K1318" i="1" s="1"/>
  <c r="J1319" i="1" s="1"/>
  <c r="K1319" i="1" s="1"/>
  <c r="J1320" i="1" s="1"/>
  <c r="K1320" i="1" s="1"/>
  <c r="J1321" i="1" s="1"/>
  <c r="K1321" i="1" s="1"/>
  <c r="J1322" i="1" s="1"/>
  <c r="K1322" i="1" s="1"/>
  <c r="J1323" i="1" s="1"/>
  <c r="K1323" i="1" s="1"/>
  <c r="J1324" i="1" s="1"/>
  <c r="K1324" i="1" s="1"/>
  <c r="J1325" i="1" s="1"/>
  <c r="K1325" i="1" s="1"/>
  <c r="J1326" i="1" s="1"/>
  <c r="K1326" i="1" s="1"/>
  <c r="J1327" i="1" s="1"/>
  <c r="K1327" i="1" s="1"/>
  <c r="J1328" i="1" s="1"/>
  <c r="K1328" i="1" s="1"/>
  <c r="J1329" i="1" s="1"/>
  <c r="K1329" i="1" s="1"/>
  <c r="J1330" i="1" s="1"/>
  <c r="K1330" i="1" s="1"/>
  <c r="J1331" i="1" s="1"/>
  <c r="K1331" i="1" s="1"/>
  <c r="J1332" i="1" s="1"/>
  <c r="K1332" i="1" s="1"/>
  <c r="J1333" i="1" s="1"/>
  <c r="K1333" i="1" s="1"/>
  <c r="J1334" i="1" s="1"/>
  <c r="K1334" i="1" s="1"/>
  <c r="J1335" i="1" s="1"/>
  <c r="K1335" i="1" s="1"/>
  <c r="J1336" i="1" s="1"/>
  <c r="K1336" i="1" s="1"/>
  <c r="J1337" i="1" s="1"/>
  <c r="K1337" i="1" s="1"/>
  <c r="J1338" i="1" s="1"/>
  <c r="K1338" i="1" s="1"/>
  <c r="J1339" i="1" s="1"/>
  <c r="K1339" i="1" s="1"/>
  <c r="J1340" i="1" s="1"/>
  <c r="K1340" i="1" s="1"/>
  <c r="J1341" i="1" s="1"/>
  <c r="K1341" i="1" s="1"/>
  <c r="J1342" i="1" s="1"/>
  <c r="K1342" i="1" s="1"/>
  <c r="J1343" i="1" s="1"/>
  <c r="K1343" i="1" s="1"/>
  <c r="J1344" i="1" s="1"/>
  <c r="K1344" i="1" s="1"/>
  <c r="J1345" i="1" s="1"/>
  <c r="K1345" i="1" s="1"/>
  <c r="J1346" i="1" s="1"/>
  <c r="K1346" i="1" s="1"/>
  <c r="J1347" i="1" s="1"/>
  <c r="K1347" i="1" s="1"/>
  <c r="J1348" i="1" s="1"/>
  <c r="K1348" i="1" s="1"/>
  <c r="J1349" i="1" s="1"/>
  <c r="K1349" i="1" s="1"/>
  <c r="J1350" i="1" s="1"/>
  <c r="K1350" i="1" s="1"/>
  <c r="J1351" i="1" s="1"/>
  <c r="K1351" i="1" s="1"/>
  <c r="J1352" i="1" s="1"/>
  <c r="K1352" i="1" s="1"/>
  <c r="J1353" i="1" s="1"/>
  <c r="K1353" i="1" s="1"/>
  <c r="J1356" i="1" s="1"/>
  <c r="K1356" i="1" s="1"/>
  <c r="J1357" i="1" s="1"/>
  <c r="K1357" i="1" s="1"/>
  <c r="J1358" i="1" s="1"/>
  <c r="K1358" i="1" s="1"/>
  <c r="J1359" i="1" s="1"/>
  <c r="K1359" i="1" s="1"/>
  <c r="J1360" i="1" s="1"/>
  <c r="K1360" i="1" s="1"/>
  <c r="J1361" i="1" s="1"/>
  <c r="K1361" i="1" s="1"/>
  <c r="J1362" i="1" s="1"/>
  <c r="K1362" i="1" s="1"/>
  <c r="J1363" i="1" s="1"/>
  <c r="K1363" i="1" s="1"/>
  <c r="J1364" i="1" s="1"/>
  <c r="K1364" i="1" s="1"/>
  <c r="J1365" i="1" s="1"/>
  <c r="K1365" i="1" s="1"/>
  <c r="J1366" i="1" s="1"/>
  <c r="K1366" i="1" s="1"/>
  <c r="J1367" i="1" s="1"/>
  <c r="K1367" i="1" s="1"/>
  <c r="J1368" i="1" s="1"/>
  <c r="K1368" i="1" s="1"/>
  <c r="J1369" i="1" s="1"/>
  <c r="K1369" i="1" s="1"/>
  <c r="J1370" i="1" s="1"/>
  <c r="K1370" i="1" s="1"/>
  <c r="J1371" i="1" s="1"/>
  <c r="K1371" i="1" s="1"/>
  <c r="J1372" i="1" s="1"/>
  <c r="K1372" i="1" s="1"/>
  <c r="J1373" i="1" s="1"/>
  <c r="K1373" i="1" s="1"/>
  <c r="J1374" i="1" s="1"/>
  <c r="K1374" i="1" s="1"/>
  <c r="J1375" i="1" s="1"/>
  <c r="K1375" i="1" s="1"/>
  <c r="J1376" i="1" s="1"/>
  <c r="K1376" i="1" s="1"/>
  <c r="J1377" i="1" s="1"/>
  <c r="K1377" i="1" s="1"/>
  <c r="J1378" i="1" s="1"/>
  <c r="K1378" i="1" s="1"/>
  <c r="J1379" i="1" s="1"/>
  <c r="K1379" i="1" s="1"/>
  <c r="J1380" i="1" s="1"/>
  <c r="K1380" i="1" s="1"/>
  <c r="J1381" i="1" s="1"/>
  <c r="K1381" i="1" s="1"/>
  <c r="J1382" i="1" s="1"/>
  <c r="K1382" i="1" s="1"/>
  <c r="J1383" i="1" s="1"/>
  <c r="K1383" i="1" s="1"/>
  <c r="J1384" i="1" s="1"/>
  <c r="K1384" i="1" s="1"/>
  <c r="J1385" i="1" s="1"/>
  <c r="K1385" i="1" s="1"/>
  <c r="J1386" i="1" s="1"/>
  <c r="K1386" i="1" s="1"/>
  <c r="J1387" i="1" s="1"/>
  <c r="K1387" i="1" s="1"/>
  <c r="J1388" i="1" s="1"/>
  <c r="K1388" i="1" s="1"/>
  <c r="J1389" i="1" s="1"/>
  <c r="K1389" i="1" s="1"/>
  <c r="J1390" i="1" s="1"/>
  <c r="K1390" i="1" s="1"/>
  <c r="J1391" i="1" s="1"/>
  <c r="K1391" i="1" s="1"/>
  <c r="J1392" i="1" s="1"/>
  <c r="K1392" i="1" s="1"/>
  <c r="J1393" i="1" s="1"/>
  <c r="K1393" i="1" s="1"/>
  <c r="J1394" i="1" s="1"/>
  <c r="K1394" i="1" s="1"/>
  <c r="J1395" i="1" s="1"/>
  <c r="K1395" i="1" s="1"/>
  <c r="J1396" i="1" s="1"/>
  <c r="K1396" i="1" s="1"/>
  <c r="J1397" i="1" s="1"/>
  <c r="K1397" i="1" s="1"/>
  <c r="J1400" i="1" s="1"/>
  <c r="K1400" i="1" s="1"/>
  <c r="J1401" i="1" s="1"/>
  <c r="K1401" i="1" s="1"/>
  <c r="J1411" i="1" s="1"/>
  <c r="K1411" i="1" s="1"/>
  <c r="J1412" i="1" s="1"/>
  <c r="K1412" i="1" s="1"/>
  <c r="J1413" i="1" s="1"/>
  <c r="K1413" i="1" s="1"/>
  <c r="J1414" i="1" s="1"/>
  <c r="K1414" i="1" s="1"/>
  <c r="J1415" i="1" s="1"/>
  <c r="K1415" i="1" s="1"/>
  <c r="J1416" i="1" s="1"/>
  <c r="K1416" i="1" s="1"/>
  <c r="J1417" i="1" s="1"/>
  <c r="K1417" i="1" s="1"/>
  <c r="J1418" i="1" s="1"/>
  <c r="K1418" i="1" s="1"/>
  <c r="J1419" i="1" s="1"/>
  <c r="K1419" i="1" s="1"/>
  <c r="J1420" i="1" s="1"/>
  <c r="K1420" i="1" s="1"/>
  <c r="J1421" i="1" s="1"/>
  <c r="K1421" i="1" s="1"/>
  <c r="J1422" i="1" s="1"/>
  <c r="K1422" i="1" s="1"/>
  <c r="J1423" i="1" s="1"/>
  <c r="K1423" i="1" s="1"/>
  <c r="J1424" i="1" s="1"/>
  <c r="K1424" i="1" s="1"/>
  <c r="J1425" i="1" s="1"/>
  <c r="K1425" i="1" s="1"/>
  <c r="J1426" i="1" s="1"/>
  <c r="K1426" i="1" s="1"/>
  <c r="J1427" i="1" s="1"/>
  <c r="K1427" i="1" s="1"/>
  <c r="J1428" i="1" s="1"/>
  <c r="K1428" i="1" s="1"/>
  <c r="J1429" i="1" s="1"/>
  <c r="K1429" i="1" s="1"/>
  <c r="J1430" i="1" s="1"/>
  <c r="K1430" i="1" s="1"/>
  <c r="J1431" i="1" s="1"/>
  <c r="K1431" i="1" s="1"/>
  <c r="J1432" i="1" s="1"/>
  <c r="K1432" i="1" s="1"/>
  <c r="J1433" i="1" s="1"/>
  <c r="K1433" i="1" s="1"/>
  <c r="J1434" i="1" s="1"/>
  <c r="K1434" i="1" s="1"/>
  <c r="J1435" i="1" s="1"/>
  <c r="K1435" i="1" s="1"/>
  <c r="J1436" i="1" s="1"/>
  <c r="K1436" i="1" s="1"/>
  <c r="J1437" i="1" s="1"/>
  <c r="K1437" i="1" s="1"/>
  <c r="J1438" i="1" s="1"/>
  <c r="K1438" i="1" s="1"/>
  <c r="J1439" i="1" s="1"/>
  <c r="K1439" i="1" s="1"/>
  <c r="J1440" i="1" s="1"/>
  <c r="K1440" i="1" s="1"/>
  <c r="J1441" i="1" s="1"/>
  <c r="K1441" i="1" s="1"/>
  <c r="J1442" i="1" s="1"/>
  <c r="K1442" i="1" s="1"/>
  <c r="J1443" i="1" s="1"/>
  <c r="K1443" i="1" s="1"/>
  <c r="J1444" i="1" s="1"/>
  <c r="K1444" i="1" s="1"/>
  <c r="J1445" i="1" s="1"/>
  <c r="K1445" i="1" s="1"/>
  <c r="J1446" i="1" s="1"/>
  <c r="K1446" i="1" s="1"/>
  <c r="J1447" i="1" s="1"/>
  <c r="K1447" i="1" s="1"/>
  <c r="J1448" i="1" s="1"/>
  <c r="K1448" i="1" s="1"/>
  <c r="J1449" i="1" s="1"/>
  <c r="K1449" i="1" s="1"/>
  <c r="J1450" i="1" s="1"/>
  <c r="K1450" i="1" s="1"/>
  <c r="J1453" i="1" s="1"/>
  <c r="K1453" i="1" s="1"/>
  <c r="J1454" i="1" s="1"/>
  <c r="K1454" i="1" s="1"/>
  <c r="J1455" i="1" s="1"/>
  <c r="K1455" i="1" s="1"/>
  <c r="J1456" i="1" s="1"/>
  <c r="K1456" i="1" s="1"/>
  <c r="J1457" i="1" s="1"/>
  <c r="K1457" i="1" s="1"/>
  <c r="J1458" i="1" s="1"/>
  <c r="K1458" i="1" s="1"/>
  <c r="J1459" i="1" s="1"/>
  <c r="K1459" i="1" s="1"/>
  <c r="J1460" i="1" s="1"/>
  <c r="K1460" i="1" s="1"/>
  <c r="J1461" i="1" s="1"/>
  <c r="K1461" i="1" s="1"/>
  <c r="J1462" i="1" s="1"/>
  <c r="K1462" i="1" s="1"/>
  <c r="J1463" i="1" s="1"/>
  <c r="K1463" i="1" s="1"/>
  <c r="J1464" i="1" s="1"/>
  <c r="K1464" i="1" s="1"/>
  <c r="J1465" i="1" s="1"/>
  <c r="K1465" i="1" s="1"/>
  <c r="J1466" i="1" s="1"/>
  <c r="K1466" i="1" s="1"/>
  <c r="J1467" i="1" s="1"/>
  <c r="K1467" i="1" s="1"/>
  <c r="J1468" i="1" s="1"/>
  <c r="K1468" i="1" s="1"/>
  <c r="J1469" i="1" s="1"/>
  <c r="K1469" i="1" s="1"/>
  <c r="J1470" i="1" s="1"/>
  <c r="K1470" i="1" s="1"/>
  <c r="J1471" i="1" s="1"/>
  <c r="K1471" i="1" s="1"/>
  <c r="J1472" i="1" s="1"/>
  <c r="K1472" i="1" s="1"/>
  <c r="J1473" i="1" s="1"/>
  <c r="K1473" i="1" s="1"/>
  <c r="J1474" i="1" s="1"/>
  <c r="K1474" i="1" s="1"/>
  <c r="J1475" i="1" s="1"/>
  <c r="K1475" i="1" s="1"/>
  <c r="J1476" i="1" s="1"/>
  <c r="K1476" i="1" s="1"/>
  <c r="J1477" i="1" s="1"/>
  <c r="K1477" i="1" s="1"/>
  <c r="J1478" i="1" s="1"/>
  <c r="K1478" i="1" s="1"/>
  <c r="J1479" i="1" s="1"/>
  <c r="K1479" i="1" s="1"/>
  <c r="J1480" i="1" s="1"/>
  <c r="K1480" i="1" s="1"/>
  <c r="J1481" i="1" s="1"/>
  <c r="K1481" i="1" s="1"/>
  <c r="J1482" i="1" s="1"/>
  <c r="K1482" i="1" s="1"/>
  <c r="J1483" i="1" s="1"/>
  <c r="K1483" i="1" s="1"/>
  <c r="J1484" i="1" s="1"/>
  <c r="K1484" i="1" s="1"/>
  <c r="J1485" i="1" s="1"/>
  <c r="K1485" i="1" s="1"/>
  <c r="J1486" i="1" s="1"/>
  <c r="K1486" i="1" s="1"/>
  <c r="J1487" i="1" s="1"/>
  <c r="K1487" i="1" s="1"/>
  <c r="J1488" i="1" s="1"/>
  <c r="K1488" i="1" s="1"/>
  <c r="J1489" i="1" s="1"/>
  <c r="K1489" i="1" s="1"/>
  <c r="J1490" i="1" s="1"/>
  <c r="K1490" i="1" s="1"/>
  <c r="J1491" i="1" s="1"/>
  <c r="K1491" i="1" s="1"/>
  <c r="J1492" i="1" s="1"/>
  <c r="K1492" i="1" s="1"/>
  <c r="J1495" i="1" s="1"/>
  <c r="K1495" i="1" s="1"/>
  <c r="J1496" i="1" s="1"/>
  <c r="K1496" i="1" s="1"/>
  <c r="J1497" i="1" s="1"/>
  <c r="K1497" i="1" s="1"/>
  <c r="J1498" i="1" s="1"/>
  <c r="K1498" i="1" s="1"/>
  <c r="J1499" i="1" s="1"/>
  <c r="K1499" i="1" s="1"/>
  <c r="J1500" i="1" s="1"/>
  <c r="K1500" i="1" s="1"/>
  <c r="J1501" i="1" s="1"/>
  <c r="K1501" i="1" s="1"/>
  <c r="J1502" i="1" s="1"/>
  <c r="K1502" i="1" s="1"/>
  <c r="J1503" i="1" s="1"/>
  <c r="K1503" i="1" s="1"/>
  <c r="J1504" i="1" s="1"/>
  <c r="K1504" i="1" s="1"/>
  <c r="J1505" i="1" s="1"/>
  <c r="K1505" i="1" s="1"/>
  <c r="J1506" i="1" s="1"/>
  <c r="K1506" i="1" s="1"/>
  <c r="J1507" i="1" s="1"/>
  <c r="K1507" i="1" s="1"/>
  <c r="J1508" i="1" s="1"/>
  <c r="K1508" i="1" s="1"/>
  <c r="J1509" i="1" s="1"/>
  <c r="K1509" i="1" s="1"/>
  <c r="J1510" i="1" s="1"/>
  <c r="K1510" i="1" s="1"/>
  <c r="J1511" i="1" s="1"/>
  <c r="K1511" i="1" s="1"/>
  <c r="J1512" i="1" s="1"/>
  <c r="K1512" i="1" s="1"/>
  <c r="J1513" i="1" s="1"/>
  <c r="K1513" i="1" s="1"/>
  <c r="J1514" i="1" s="1"/>
  <c r="K1514" i="1" s="1"/>
  <c r="J1515" i="1" s="1"/>
  <c r="K1515" i="1" s="1"/>
  <c r="J1516" i="1" s="1"/>
  <c r="K1516" i="1" s="1"/>
  <c r="J1517" i="1" s="1"/>
  <c r="K1517" i="1" s="1"/>
  <c r="J1518" i="1" s="1"/>
  <c r="K1518" i="1" s="1"/>
  <c r="J1519" i="1" s="1"/>
  <c r="K1519" i="1" s="1"/>
  <c r="J1520" i="1" s="1"/>
  <c r="K1520" i="1" s="1"/>
  <c r="J1521" i="1" s="1"/>
  <c r="K1521" i="1" s="1"/>
  <c r="J1522" i="1" s="1"/>
  <c r="K1522" i="1" s="1"/>
  <c r="J1523" i="1" s="1"/>
  <c r="K1523" i="1" s="1"/>
  <c r="J1524" i="1" s="1"/>
  <c r="K1524" i="1" s="1"/>
  <c r="J1525" i="1" s="1"/>
  <c r="K1525" i="1" s="1"/>
  <c r="J1526" i="1" s="1"/>
  <c r="K1526" i="1" s="1"/>
  <c r="J1527" i="1" s="1"/>
  <c r="K1527" i="1" s="1"/>
  <c r="J1528" i="1" s="1"/>
  <c r="K1528" i="1" s="1"/>
  <c r="J1529" i="1" s="1"/>
  <c r="K1529" i="1" s="1"/>
  <c r="J1530" i="1" s="1"/>
  <c r="K1530" i="1" s="1"/>
  <c r="J1531" i="1" s="1"/>
  <c r="K1531" i="1" s="1"/>
  <c r="J1532" i="1" s="1"/>
  <c r="K1532" i="1" s="1"/>
  <c r="J1533" i="1" s="1"/>
  <c r="K1533" i="1" s="1"/>
  <c r="J1534" i="1" s="1"/>
  <c r="K1534" i="1" s="1"/>
  <c r="J1535" i="1" s="1"/>
  <c r="K1535" i="1" s="1"/>
  <c r="J1536" i="1" s="1"/>
  <c r="K1536" i="1" s="1"/>
  <c r="J1537" i="1" s="1"/>
  <c r="K1537" i="1" s="1"/>
  <c r="J1538" i="1" s="1"/>
  <c r="K1538" i="1" s="1"/>
  <c r="J1541" i="1" s="1"/>
  <c r="K1541" i="1" s="1"/>
  <c r="J1542" i="1" s="1"/>
  <c r="K1542" i="1" s="1"/>
  <c r="J1543" i="1" s="1"/>
  <c r="K1543" i="1" s="1"/>
  <c r="J1544" i="1" s="1"/>
  <c r="K1544" i="1" s="1"/>
  <c r="J1545" i="1" s="1"/>
  <c r="K1545" i="1" s="1"/>
  <c r="J1546" i="1" s="1"/>
  <c r="K1546" i="1" s="1"/>
  <c r="J1547" i="1" s="1"/>
  <c r="K1547" i="1" s="1"/>
  <c r="J1548" i="1" s="1"/>
  <c r="K1548" i="1" s="1"/>
  <c r="J1549" i="1" s="1"/>
  <c r="K1549" i="1" s="1"/>
  <c r="J1550" i="1" s="1"/>
  <c r="K1550" i="1" s="1"/>
  <c r="J1551" i="1" s="1"/>
  <c r="K1551" i="1" s="1"/>
  <c r="J1552" i="1" s="1"/>
  <c r="K1552" i="1" s="1"/>
  <c r="J1553" i="1" s="1"/>
  <c r="K1553" i="1" s="1"/>
  <c r="J1554" i="1" s="1"/>
  <c r="K1554" i="1" s="1"/>
  <c r="J1555" i="1" s="1"/>
  <c r="K1555" i="1" s="1"/>
  <c r="J1556" i="1" s="1"/>
  <c r="K1556" i="1" s="1"/>
  <c r="J1557" i="1" s="1"/>
  <c r="K1557" i="1" s="1"/>
  <c r="J1558" i="1" s="1"/>
  <c r="K1558" i="1" s="1"/>
  <c r="J1559" i="1" s="1"/>
  <c r="K1559" i="1" s="1"/>
  <c r="J1560" i="1" s="1"/>
  <c r="K1560" i="1" s="1"/>
  <c r="J1561" i="1" s="1"/>
  <c r="K1561" i="1" s="1"/>
  <c r="J1562" i="1" s="1"/>
  <c r="K1562" i="1" s="1"/>
  <c r="J1563" i="1" s="1"/>
  <c r="K1563" i="1" s="1"/>
  <c r="J1564" i="1" s="1"/>
  <c r="K1564" i="1" s="1"/>
  <c r="J1565" i="1" s="1"/>
  <c r="K1565" i="1" s="1"/>
  <c r="J1566" i="1" s="1"/>
  <c r="K1566" i="1" s="1"/>
  <c r="J1567" i="1" s="1"/>
  <c r="K1567" i="1" s="1"/>
  <c r="J1568" i="1" s="1"/>
  <c r="K1568" i="1" s="1"/>
  <c r="J1569" i="1" s="1"/>
  <c r="K1569" i="1" s="1"/>
  <c r="J1570" i="1" s="1"/>
  <c r="K1570" i="1" s="1"/>
  <c r="J1571" i="1" s="1"/>
  <c r="K1571" i="1" s="1"/>
  <c r="J1572" i="1" s="1"/>
  <c r="K1572" i="1" s="1"/>
  <c r="J1573" i="1" s="1"/>
  <c r="K1573" i="1" s="1"/>
  <c r="J1574" i="1" s="1"/>
  <c r="K1574" i="1" s="1"/>
  <c r="J1575" i="1" s="1"/>
  <c r="K1575" i="1" s="1"/>
  <c r="J1576" i="1" s="1"/>
  <c r="K1576" i="1" s="1"/>
  <c r="J1577" i="1" s="1"/>
  <c r="K1577" i="1" s="1"/>
  <c r="J1578" i="1" s="1"/>
  <c r="K1578" i="1" s="1"/>
  <c r="J1579" i="1" s="1"/>
  <c r="K1579" i="1" s="1"/>
  <c r="J1580" i="1" s="1"/>
  <c r="K1580" i="1" s="1"/>
  <c r="J1583" i="1" s="1"/>
  <c r="K1583" i="1" s="1"/>
  <c r="J1584" i="1" s="1"/>
  <c r="K1584" i="1" s="1"/>
  <c r="J1585" i="1" s="1"/>
  <c r="K1585" i="1" s="1"/>
  <c r="J1586" i="1" s="1"/>
  <c r="K1586" i="1" s="1"/>
  <c r="J1587" i="1" s="1"/>
  <c r="K1587" i="1" s="1"/>
  <c r="J1588" i="1" s="1"/>
  <c r="K1588" i="1" s="1"/>
  <c r="J1589" i="1" s="1"/>
  <c r="K1589" i="1" s="1"/>
  <c r="J1590" i="1" s="1"/>
  <c r="K1590" i="1" s="1"/>
  <c r="J1591" i="1" s="1"/>
  <c r="K1591" i="1" s="1"/>
  <c r="J1592" i="1" s="1"/>
  <c r="K1592" i="1" s="1"/>
  <c r="J1593" i="1" s="1"/>
  <c r="K1593" i="1" s="1"/>
  <c r="J1594" i="1" s="1"/>
  <c r="K1594" i="1" s="1"/>
  <c r="J1595" i="1" s="1"/>
  <c r="K1595" i="1" s="1"/>
  <c r="J1596" i="1" s="1"/>
  <c r="K1596" i="1" s="1"/>
  <c r="J1597" i="1" s="1"/>
  <c r="K1597" i="1" s="1"/>
  <c r="J1598" i="1" s="1"/>
  <c r="K1598" i="1" s="1"/>
  <c r="J1599" i="1" s="1"/>
  <c r="K1599" i="1" s="1"/>
  <c r="J1600" i="1" s="1"/>
  <c r="K1600" i="1" s="1"/>
  <c r="J1601" i="1" s="1"/>
  <c r="K1601" i="1" s="1"/>
  <c r="J1602" i="1" s="1"/>
  <c r="K1602" i="1" s="1"/>
  <c r="J1603" i="1" s="1"/>
  <c r="K1603" i="1" s="1"/>
  <c r="J1604" i="1" s="1"/>
  <c r="K1604" i="1" s="1"/>
  <c r="J1605" i="1" s="1"/>
  <c r="K1605" i="1" s="1"/>
  <c r="J1606" i="1" s="1"/>
  <c r="K1606" i="1" s="1"/>
  <c r="J1607" i="1" s="1"/>
  <c r="K1607" i="1" s="1"/>
  <c r="J1608" i="1" s="1"/>
  <c r="K1608" i="1" s="1"/>
  <c r="J1609" i="1" s="1"/>
  <c r="K1609" i="1" s="1"/>
  <c r="J1610" i="1" s="1"/>
  <c r="K1610" i="1" s="1"/>
  <c r="J1611" i="1" s="1"/>
  <c r="K1611" i="1" s="1"/>
  <c r="J1612" i="1" s="1"/>
  <c r="K1612" i="1" s="1"/>
  <c r="J1613" i="1" s="1"/>
  <c r="K1613" i="1" s="1"/>
  <c r="J1614" i="1" s="1"/>
  <c r="K1614" i="1" s="1"/>
  <c r="J1617" i="1" s="1"/>
  <c r="K1617" i="1" s="1"/>
  <c r="J1618" i="1" s="1"/>
  <c r="K1618" i="1" s="1"/>
  <c r="J1619" i="1" s="1"/>
  <c r="K1619" i="1" s="1"/>
  <c r="J1620" i="1" s="1"/>
  <c r="K1620" i="1" s="1"/>
  <c r="J1621" i="1" s="1"/>
  <c r="K1621" i="1" s="1"/>
  <c r="J1622" i="1" s="1"/>
  <c r="K1622" i="1" s="1"/>
  <c r="J1623" i="1" s="1"/>
  <c r="K1623" i="1" s="1"/>
  <c r="J1624" i="1" s="1"/>
  <c r="K1624" i="1" s="1"/>
  <c r="J1625" i="1" s="1"/>
  <c r="K1625" i="1" s="1"/>
  <c r="J1626" i="1" s="1"/>
  <c r="K1626" i="1" s="1"/>
  <c r="J1627" i="1" s="1"/>
  <c r="K1627" i="1" s="1"/>
  <c r="J1628" i="1" s="1"/>
  <c r="K1628" i="1" s="1"/>
  <c r="J1629" i="1" s="1"/>
  <c r="K1629" i="1" s="1"/>
  <c r="J1630" i="1" s="1"/>
  <c r="K1630" i="1" s="1"/>
  <c r="J1631" i="1" s="1"/>
  <c r="K1631" i="1" s="1"/>
  <c r="J1632" i="1" s="1"/>
  <c r="K1632" i="1" s="1"/>
  <c r="J1633" i="1" s="1"/>
  <c r="K1633" i="1" s="1"/>
  <c r="J1634" i="1" s="1"/>
  <c r="K1634" i="1" s="1"/>
  <c r="J1635" i="1" s="1"/>
  <c r="K1635" i="1" s="1"/>
  <c r="J1636" i="1" s="1"/>
  <c r="K1636" i="1" s="1"/>
  <c r="J1637" i="1" s="1"/>
  <c r="K1637" i="1" s="1"/>
  <c r="J1638" i="1" s="1"/>
  <c r="K1638" i="1" s="1"/>
  <c r="J1639" i="1" s="1"/>
  <c r="K1639" i="1" s="1"/>
  <c r="J1640" i="1" s="1"/>
  <c r="K1640" i="1" s="1"/>
  <c r="J1641" i="1" s="1"/>
  <c r="K1641" i="1" s="1"/>
  <c r="J1642" i="1" s="1"/>
  <c r="K1642" i="1" s="1"/>
  <c r="J1643" i="1" s="1"/>
  <c r="K1643" i="1" s="1"/>
  <c r="J1644" i="1" s="1"/>
  <c r="K1644" i="1" s="1"/>
  <c r="J1645" i="1" s="1"/>
  <c r="K1645" i="1" s="1"/>
  <c r="J1646" i="1" s="1"/>
  <c r="K1646" i="1" s="1"/>
  <c r="J1647" i="1" s="1"/>
  <c r="K1647" i="1" s="1"/>
  <c r="J1648" i="1" s="1"/>
  <c r="K1648" i="1" s="1"/>
  <c r="J1649" i="1" s="1"/>
  <c r="K1649" i="1" s="1"/>
  <c r="J1650" i="1" s="1"/>
  <c r="K1650" i="1" s="1"/>
  <c r="J1651" i="1" s="1"/>
  <c r="K1651" i="1" s="1"/>
  <c r="J1652" i="1" s="1"/>
  <c r="K1652" i="1" s="1"/>
  <c r="J1653" i="1" s="1"/>
  <c r="K1653" i="1" s="1"/>
  <c r="J1654" i="1" s="1"/>
  <c r="K1654" i="1" s="1"/>
  <c r="J1655" i="1" s="1"/>
  <c r="K1655" i="1" s="1"/>
  <c r="J1656" i="1" s="1"/>
  <c r="K1656" i="1" s="1"/>
  <c r="J1657" i="1" s="1"/>
  <c r="K1657" i="1" s="1"/>
  <c r="J1658" i="1" s="1"/>
  <c r="K1658" i="1" s="1"/>
  <c r="J1659" i="1" s="1"/>
  <c r="K1659" i="1" s="1"/>
  <c r="J1660" i="1" s="1"/>
  <c r="K1660" i="1" s="1"/>
  <c r="J1661" i="1" s="1"/>
  <c r="K1661" i="1" s="1"/>
  <c r="J1662" i="1" s="1"/>
  <c r="K1662" i="1" s="1"/>
  <c r="J1665" i="1" s="1"/>
  <c r="K1665" i="1" s="1"/>
  <c r="J1666" i="1" s="1"/>
  <c r="K1666" i="1" s="1"/>
  <c r="J1667" i="1" s="1"/>
  <c r="K1667" i="1" s="1"/>
  <c r="J1668" i="1" s="1"/>
  <c r="K1668" i="1" s="1"/>
  <c r="J1669" i="1" s="1"/>
  <c r="K1669" i="1" s="1"/>
  <c r="J1670" i="1" s="1"/>
  <c r="K1670" i="1" s="1"/>
  <c r="J1671" i="1" s="1"/>
  <c r="K1671" i="1" s="1"/>
  <c r="J1672" i="1" s="1"/>
  <c r="K1672" i="1" s="1"/>
  <c r="J1673" i="1" s="1"/>
  <c r="K1673" i="1" s="1"/>
  <c r="J1674" i="1" s="1"/>
  <c r="K1674" i="1" s="1"/>
  <c r="J1675" i="1" s="1"/>
  <c r="K1675" i="1" s="1"/>
  <c r="J1676" i="1" s="1"/>
  <c r="K1676" i="1" s="1"/>
  <c r="J1677" i="1" s="1"/>
  <c r="K1677" i="1" s="1"/>
  <c r="J1678" i="1" s="1"/>
  <c r="K1678" i="1" s="1"/>
  <c r="J1679" i="1" s="1"/>
  <c r="K1679" i="1" s="1"/>
  <c r="J1680" i="1" s="1"/>
  <c r="K1680" i="1" s="1"/>
  <c r="J1681" i="1" s="1"/>
  <c r="K1681" i="1" s="1"/>
  <c r="J1682" i="1" s="1"/>
  <c r="K1682" i="1" s="1"/>
  <c r="J1683" i="1" s="1"/>
  <c r="K1683" i="1" s="1"/>
  <c r="J1684" i="1" s="1"/>
  <c r="K1684" i="1" s="1"/>
  <c r="J1685" i="1" s="1"/>
  <c r="K1685" i="1" s="1"/>
  <c r="J1686" i="1" s="1"/>
  <c r="K1686" i="1" s="1"/>
  <c r="J1687" i="1" s="1"/>
  <c r="K1687" i="1" s="1"/>
  <c r="J1688" i="1" s="1"/>
  <c r="K1688" i="1" s="1"/>
  <c r="J1689" i="1" s="1"/>
  <c r="K1689" i="1" s="1"/>
  <c r="J1690" i="1" s="1"/>
  <c r="K1690" i="1" s="1"/>
  <c r="J1691" i="1" s="1"/>
  <c r="K1691" i="1" s="1"/>
  <c r="J1692" i="1" s="1"/>
  <c r="K1692" i="1" s="1"/>
  <c r="J1707" i="1" s="1"/>
  <c r="K1707" i="1" s="1"/>
  <c r="J1708" i="1" s="1"/>
  <c r="K1708" i="1" s="1"/>
  <c r="J1709" i="1" s="1"/>
  <c r="K1709" i="1" s="1"/>
  <c r="J1710" i="1" s="1"/>
  <c r="K1710" i="1" s="1"/>
  <c r="J1711" i="1" s="1"/>
  <c r="K1711" i="1" s="1"/>
  <c r="J1712" i="1" s="1"/>
  <c r="K1712" i="1" s="1"/>
  <c r="J1713" i="1" s="1"/>
  <c r="K1713" i="1" s="1"/>
  <c r="J1714" i="1" s="1"/>
  <c r="K1714" i="1" s="1"/>
  <c r="J1715" i="1" s="1"/>
  <c r="K1715" i="1" s="1"/>
  <c r="J1716" i="1" s="1"/>
  <c r="K1716" i="1" s="1"/>
  <c r="J1717" i="1" s="1"/>
  <c r="K1717" i="1" s="1"/>
  <c r="J1718" i="1" s="1"/>
  <c r="K1718" i="1" s="1"/>
  <c r="J1719" i="1" s="1"/>
  <c r="K1719" i="1" s="1"/>
  <c r="J1720" i="1" s="1"/>
  <c r="K1720" i="1" s="1"/>
  <c r="J1721" i="1" s="1"/>
  <c r="K1721" i="1" s="1"/>
  <c r="J1722" i="1" s="1"/>
  <c r="K1722" i="1" s="1"/>
  <c r="J1723" i="1" s="1"/>
  <c r="K1723" i="1" s="1"/>
  <c r="J1724" i="1" s="1"/>
  <c r="K1724" i="1" s="1"/>
  <c r="J1725" i="1" s="1"/>
  <c r="K1725" i="1" s="1"/>
  <c r="J1726" i="1" s="1"/>
  <c r="K1726" i="1" s="1"/>
  <c r="J1727" i="1" s="1"/>
  <c r="K1727" i="1" s="1"/>
  <c r="J1728" i="1" s="1"/>
  <c r="K1728" i="1" s="1"/>
  <c r="J1729" i="1" s="1"/>
  <c r="K1729" i="1" s="1"/>
  <c r="J1730" i="1" s="1"/>
  <c r="K1730" i="1" s="1"/>
  <c r="J1731" i="1" s="1"/>
  <c r="K1731" i="1" s="1"/>
  <c r="J1732" i="1" s="1"/>
  <c r="K1732" i="1" s="1"/>
  <c r="J1733" i="1" s="1"/>
  <c r="K1733" i="1" s="1"/>
  <c r="J1734" i="1" s="1"/>
  <c r="K1734" i="1" s="1"/>
  <c r="J1735" i="1" s="1"/>
  <c r="K1735" i="1" s="1"/>
  <c r="J1736" i="1" s="1"/>
  <c r="K1736" i="1" s="1"/>
  <c r="J1737" i="1" s="1"/>
  <c r="K1737" i="1" s="1"/>
  <c r="J1738" i="1" s="1"/>
  <c r="K1738" i="1" s="1"/>
  <c r="J1739" i="1" s="1"/>
  <c r="K1739" i="1" s="1"/>
  <c r="J1740" i="1" s="1"/>
  <c r="K1740" i="1" s="1"/>
  <c r="J1741" i="1" s="1"/>
  <c r="K1741" i="1" s="1"/>
  <c r="J1742" i="1" s="1"/>
  <c r="K1742" i="1" s="1"/>
  <c r="J1743" i="1" s="1"/>
  <c r="K1743" i="1" s="1"/>
  <c r="J1744" i="1" s="1"/>
  <c r="K1744" i="1" s="1"/>
  <c r="J1749" i="1" s="1"/>
  <c r="K1749" i="1" s="1"/>
  <c r="J1750" i="1" s="1"/>
  <c r="K1750" i="1" s="1"/>
  <c r="J1751" i="1" s="1"/>
  <c r="K1751" i="1" s="1"/>
  <c r="J1752" i="1" s="1"/>
  <c r="K1752" i="1" s="1"/>
  <c r="J1753" i="1" s="1"/>
  <c r="K1753" i="1" s="1"/>
  <c r="J1754" i="1" s="1"/>
  <c r="K1754" i="1" s="1"/>
  <c r="J1755" i="1" s="1"/>
  <c r="K1755" i="1" s="1"/>
  <c r="J1756" i="1" s="1"/>
  <c r="K1756" i="1" s="1"/>
  <c r="J1757" i="1" s="1"/>
  <c r="K1757" i="1" s="1"/>
  <c r="J1758" i="1" s="1"/>
  <c r="K1758" i="1" s="1"/>
  <c r="J1759" i="1" s="1"/>
  <c r="K1759" i="1" s="1"/>
  <c r="J1760" i="1" s="1"/>
  <c r="K1760" i="1" s="1"/>
  <c r="J1761" i="1" s="1"/>
  <c r="K1761" i="1" s="1"/>
  <c r="J1762" i="1" s="1"/>
  <c r="K1762" i="1" s="1"/>
  <c r="J1763" i="1" s="1"/>
  <c r="K1763" i="1" s="1"/>
  <c r="J1764" i="1" s="1"/>
  <c r="K1764" i="1" s="1"/>
  <c r="J1765" i="1" s="1"/>
  <c r="K1765" i="1" s="1"/>
  <c r="J1766" i="1" s="1"/>
  <c r="K1766" i="1" s="1"/>
  <c r="J1767" i="1" s="1"/>
  <c r="K1767" i="1" s="1"/>
  <c r="J1768" i="1" s="1"/>
  <c r="K1768" i="1" s="1"/>
  <c r="J1769" i="1" s="1"/>
  <c r="K1769" i="1" s="1"/>
  <c r="J1770" i="1" s="1"/>
  <c r="K1770" i="1" s="1"/>
  <c r="J1771" i="1" s="1"/>
  <c r="K1771" i="1" s="1"/>
  <c r="J1772" i="1" s="1"/>
  <c r="K1772" i="1" s="1"/>
  <c r="J1773" i="1" s="1"/>
  <c r="K1773" i="1" s="1"/>
  <c r="J1774" i="1" s="1"/>
  <c r="K1774" i="1" s="1"/>
  <c r="J1775" i="1" s="1"/>
  <c r="K1775" i="1" s="1"/>
  <c r="J1776" i="1" s="1"/>
  <c r="K1776" i="1" s="1"/>
  <c r="J1777" i="1" s="1"/>
  <c r="K1777" i="1" s="1"/>
  <c r="J1778" i="1" s="1"/>
  <c r="K1778" i="1" s="1"/>
  <c r="J1779" i="1" s="1"/>
  <c r="K1779" i="1" s="1"/>
  <c r="J1780" i="1" s="1"/>
  <c r="K1780" i="1" s="1"/>
  <c r="J1781" i="1" s="1"/>
  <c r="K1781" i="1" s="1"/>
  <c r="J1782" i="1" s="1"/>
  <c r="K1782" i="1" s="1"/>
  <c r="J1783" i="1" s="1"/>
  <c r="K1783" i="1" s="1"/>
  <c r="J1784" i="1" s="1"/>
  <c r="K1784" i="1" s="1"/>
  <c r="J1785" i="1" s="1"/>
  <c r="K1785" i="1" s="1"/>
  <c r="J1786" i="1" s="1"/>
  <c r="K1786" i="1" s="1"/>
  <c r="J1787" i="1" s="1"/>
  <c r="K1787" i="1" s="1"/>
  <c r="J1788" i="1" s="1"/>
  <c r="K1788" i="1" s="1"/>
  <c r="J1789" i="1" s="1"/>
  <c r="K1789" i="1" s="1"/>
  <c r="J1790" i="1" s="1"/>
  <c r="K1790" i="1" s="1"/>
  <c r="J1791" i="1" s="1"/>
  <c r="K1791" i="1" s="1"/>
  <c r="J1792" i="1" s="1"/>
  <c r="K1792" i="1" s="1"/>
  <c r="J1793" i="1" s="1"/>
  <c r="K1793" i="1" s="1"/>
  <c r="J1794" i="1" s="1"/>
  <c r="K1794" i="1" s="1"/>
  <c r="J1795" i="1" s="1"/>
  <c r="K1795" i="1" s="1"/>
  <c r="J1796" i="1" s="1"/>
  <c r="K1796" i="1" s="1"/>
  <c r="J1797" i="1" s="1"/>
  <c r="K1797" i="1" s="1"/>
  <c r="J1798" i="1" s="1"/>
  <c r="K1798" i="1" s="1"/>
  <c r="J1802" i="1" s="1"/>
  <c r="K1802" i="1" s="1"/>
  <c r="J1803" i="1" s="1"/>
  <c r="K1803" i="1" s="1"/>
  <c r="J1804" i="1" s="1"/>
  <c r="K1804" i="1" s="1"/>
  <c r="J1805" i="1" s="1"/>
  <c r="K1805" i="1" s="1"/>
  <c r="J1806" i="1" s="1"/>
  <c r="K1806" i="1" s="1"/>
  <c r="J1807" i="1" s="1"/>
  <c r="K1807" i="1" s="1"/>
  <c r="J1808" i="1" s="1"/>
  <c r="K1808" i="1" s="1"/>
  <c r="J1809" i="1" s="1"/>
  <c r="K1809" i="1" s="1"/>
  <c r="J1810" i="1" s="1"/>
  <c r="K1810" i="1" s="1"/>
  <c r="J1811" i="1" s="1"/>
  <c r="K1811" i="1" s="1"/>
  <c r="J1812" i="1" s="1"/>
  <c r="K1812" i="1" s="1"/>
  <c r="J1813" i="1" s="1"/>
  <c r="K1813" i="1" s="1"/>
  <c r="J1814" i="1" s="1"/>
  <c r="K1814" i="1" s="1"/>
  <c r="J1815" i="1" s="1"/>
  <c r="K1815" i="1" s="1"/>
  <c r="J1816" i="1" s="1"/>
  <c r="K1816" i="1" s="1"/>
  <c r="J1817" i="1" s="1"/>
  <c r="K1817" i="1" s="1"/>
  <c r="J1818" i="1" s="1"/>
  <c r="K1818" i="1" s="1"/>
  <c r="J1819" i="1" s="1"/>
  <c r="K1819" i="1" s="1"/>
  <c r="J1820" i="1" s="1"/>
  <c r="K1820" i="1" s="1"/>
  <c r="J1821" i="1" s="1"/>
  <c r="K1821" i="1" s="1"/>
  <c r="J1822" i="1" s="1"/>
  <c r="K1822" i="1" s="1"/>
  <c r="J1823" i="1" s="1"/>
  <c r="K1823" i="1" s="1"/>
  <c r="J1824" i="1" s="1"/>
  <c r="K1824" i="1" s="1"/>
  <c r="J1825" i="1" s="1"/>
  <c r="K1825" i="1" s="1"/>
  <c r="J1826" i="1" s="1"/>
  <c r="K1826" i="1" s="1"/>
  <c r="J1827" i="1" s="1"/>
  <c r="K1827" i="1" s="1"/>
  <c r="J1828" i="1" s="1"/>
  <c r="K1828" i="1" s="1"/>
  <c r="J1829" i="1" s="1"/>
  <c r="K1829" i="1" s="1"/>
  <c r="J1830" i="1" s="1"/>
  <c r="K1830" i="1" s="1"/>
  <c r="J1831" i="1" s="1"/>
  <c r="K1831" i="1" s="1"/>
  <c r="J1832" i="1" s="1"/>
  <c r="K1832" i="1" s="1"/>
  <c r="J1833" i="1" s="1"/>
  <c r="K1833" i="1" s="1"/>
  <c r="J1834" i="1" s="1"/>
  <c r="K1834" i="1" s="1"/>
  <c r="J1835" i="1" s="1"/>
  <c r="K1835" i="1" s="1"/>
  <c r="J1836" i="1" s="1"/>
  <c r="K1836" i="1" s="1"/>
  <c r="J1837" i="1" s="1"/>
  <c r="K1837" i="1" s="1"/>
  <c r="J1838" i="1" s="1"/>
  <c r="K1838" i="1" s="1"/>
  <c r="J1839" i="1" s="1"/>
  <c r="K1839" i="1" s="1"/>
  <c r="J1840" i="1" s="1"/>
  <c r="K1840" i="1" s="1"/>
  <c r="J1841" i="1" s="1"/>
  <c r="K1841" i="1" s="1"/>
  <c r="J1842" i="1" s="1"/>
  <c r="K1842" i="1" s="1"/>
  <c r="J1843" i="1" s="1"/>
  <c r="K1843" i="1" s="1"/>
  <c r="J1844" i="1" s="1"/>
  <c r="K1844" i="1" s="1"/>
  <c r="J1845" i="1" s="1"/>
  <c r="K1845" i="1" s="1"/>
  <c r="J1846" i="1" s="1"/>
  <c r="K1846" i="1" s="1"/>
  <c r="J1847" i="1" s="1"/>
  <c r="K1847" i="1" s="1"/>
  <c r="J1848" i="1" s="1"/>
  <c r="K1848" i="1" s="1"/>
  <c r="J1849" i="1" s="1"/>
  <c r="K1849" i="1" s="1"/>
  <c r="J1850" i="1" s="1"/>
  <c r="K1850" i="1" s="1"/>
  <c r="J1851" i="1" s="1"/>
  <c r="K1851" i="1" s="1"/>
  <c r="J1852" i="1" s="1"/>
  <c r="K1852" i="1" s="1"/>
  <c r="J1853" i="1" s="1"/>
  <c r="K1853" i="1" s="1"/>
  <c r="J1854" i="1" s="1"/>
  <c r="K1854" i="1" s="1"/>
  <c r="J1855" i="1" s="1"/>
  <c r="K1855" i="1" s="1"/>
  <c r="J1856" i="1" s="1"/>
  <c r="K1856" i="1" s="1"/>
  <c r="J1857" i="1" s="1"/>
  <c r="K1857" i="1" s="1"/>
  <c r="J1858" i="1" s="1"/>
  <c r="K1858" i="1" s="1"/>
  <c r="J1859" i="1" s="1"/>
  <c r="K1859" i="1" s="1"/>
  <c r="J1860" i="1" s="1"/>
  <c r="K1860" i="1" s="1"/>
  <c r="J1861" i="1" s="1"/>
  <c r="K1861" i="1" s="1"/>
  <c r="J1865" i="1" s="1"/>
  <c r="K1865" i="1" s="1"/>
  <c r="J1866" i="1" s="1"/>
  <c r="K1866" i="1" s="1"/>
  <c r="J1867" i="1" s="1"/>
  <c r="K1867" i="1" s="1"/>
  <c r="J1868" i="1" s="1"/>
  <c r="K1868" i="1" s="1"/>
  <c r="J1869" i="1" s="1"/>
  <c r="K1869" i="1" s="1"/>
  <c r="J1870" i="1" s="1"/>
  <c r="K1870" i="1" s="1"/>
  <c r="J1871" i="1" s="1"/>
  <c r="K1871" i="1" s="1"/>
  <c r="J1872" i="1" s="1"/>
  <c r="K1872" i="1" s="1"/>
  <c r="J1873" i="1" s="1"/>
  <c r="K1873" i="1" s="1"/>
  <c r="J1874" i="1" s="1"/>
  <c r="K1874" i="1" s="1"/>
  <c r="J1875" i="1" s="1"/>
  <c r="K1875" i="1" s="1"/>
  <c r="J1876" i="1" s="1"/>
  <c r="K1876" i="1" s="1"/>
  <c r="J1877" i="1" s="1"/>
  <c r="K1877" i="1" s="1"/>
  <c r="J1878" i="1" s="1"/>
  <c r="K1878" i="1" s="1"/>
  <c r="J1879" i="1" s="1"/>
  <c r="K1879" i="1" s="1"/>
  <c r="J1880" i="1" s="1"/>
  <c r="K1880" i="1" s="1"/>
  <c r="J1881" i="1" s="1"/>
  <c r="K1881" i="1" s="1"/>
  <c r="J1882" i="1" s="1"/>
  <c r="K1882" i="1" s="1"/>
  <c r="J1883" i="1" s="1"/>
  <c r="K1883" i="1" s="1"/>
  <c r="J1884" i="1" s="1"/>
  <c r="K1884" i="1" s="1"/>
  <c r="J1885" i="1" s="1"/>
  <c r="K1885" i="1" s="1"/>
  <c r="J1886" i="1" s="1"/>
  <c r="K1886" i="1" s="1"/>
  <c r="J1887" i="1" s="1"/>
  <c r="K1887" i="1" s="1"/>
  <c r="J1888" i="1" s="1"/>
  <c r="K1888" i="1" s="1"/>
  <c r="J1889" i="1" s="1"/>
  <c r="K1889" i="1" s="1"/>
  <c r="J1890" i="1" s="1"/>
  <c r="K1890" i="1" s="1"/>
  <c r="J1891" i="1" s="1"/>
  <c r="K1891" i="1" s="1"/>
  <c r="J1892" i="1" s="1"/>
  <c r="K1892" i="1" s="1"/>
  <c r="J1893" i="1" s="1"/>
  <c r="K1893" i="1" s="1"/>
  <c r="J1894" i="1" s="1"/>
  <c r="K1894" i="1" s="1"/>
  <c r="J1895" i="1" s="1"/>
  <c r="K1895" i="1" s="1"/>
  <c r="J1896" i="1" s="1"/>
  <c r="K1896" i="1" s="1"/>
  <c r="J1897" i="1" s="1"/>
  <c r="K1897" i="1" s="1"/>
  <c r="J1898" i="1" s="1"/>
  <c r="K1898" i="1" s="1"/>
  <c r="J1899" i="1" s="1"/>
  <c r="K1899" i="1" s="1"/>
  <c r="J1900" i="1" s="1"/>
  <c r="K1900" i="1" s="1"/>
  <c r="J1901" i="1" s="1"/>
  <c r="K1901" i="1" s="1"/>
  <c r="J1902" i="1" s="1"/>
  <c r="K1902" i="1" s="1"/>
  <c r="J1903" i="1" s="1"/>
  <c r="K1903" i="1" s="1"/>
  <c r="J1904" i="1" s="1"/>
  <c r="K1904" i="1" s="1"/>
  <c r="J1905" i="1" s="1"/>
  <c r="K1905" i="1" s="1"/>
  <c r="J1906" i="1" s="1"/>
  <c r="K1906" i="1" s="1"/>
  <c r="J1907" i="1" s="1"/>
  <c r="K1907" i="1" s="1"/>
  <c r="J1908" i="1" s="1"/>
  <c r="K1908" i="1" s="1"/>
  <c r="J1909" i="1" s="1"/>
  <c r="K1909" i="1" s="1"/>
  <c r="J1910" i="1" s="1"/>
  <c r="K1910" i="1" s="1"/>
  <c r="J1914" i="1" s="1"/>
  <c r="K1914" i="1" s="1"/>
  <c r="J1915" i="1" s="1"/>
  <c r="K1915" i="1" s="1"/>
  <c r="J1916" i="1" s="1"/>
  <c r="K1916" i="1" s="1"/>
  <c r="J1917" i="1" s="1"/>
  <c r="K1917" i="1" s="1"/>
  <c r="J1929" i="1" s="1"/>
  <c r="K1929" i="1" s="1"/>
  <c r="J1930" i="1" s="1"/>
  <c r="K1930" i="1" s="1"/>
  <c r="J1931" i="1" s="1"/>
  <c r="K1931" i="1" s="1"/>
  <c r="J1932" i="1" s="1"/>
  <c r="K1932" i="1" s="1"/>
  <c r="J1933" i="1" s="1"/>
  <c r="K1933" i="1" s="1"/>
  <c r="J1934" i="1" s="1"/>
  <c r="K1934" i="1" s="1"/>
  <c r="J1935" i="1" s="1"/>
  <c r="K1935" i="1" s="1"/>
  <c r="J1936" i="1" s="1"/>
  <c r="K1936" i="1" s="1"/>
  <c r="J1940" i="1" s="1"/>
  <c r="K1940" i="1" s="1"/>
  <c r="J1941" i="1" s="1"/>
  <c r="K1941" i="1" s="1"/>
  <c r="J1942" i="1" s="1"/>
  <c r="K1942" i="1" s="1"/>
  <c r="J1943" i="1" s="1"/>
  <c r="K1943" i="1" s="1"/>
  <c r="J1944" i="1" s="1"/>
  <c r="K1944" i="1" s="1"/>
  <c r="J1945" i="1" s="1"/>
  <c r="K1945" i="1" s="1"/>
  <c r="J1946" i="1" s="1"/>
  <c r="K1946" i="1" s="1"/>
  <c r="J1947" i="1" s="1"/>
  <c r="K1947" i="1" s="1"/>
  <c r="J1948" i="1" s="1"/>
  <c r="K1948" i="1" s="1"/>
  <c r="J1949" i="1" s="1"/>
  <c r="K1949" i="1" s="1"/>
  <c r="J1950" i="1" s="1"/>
  <c r="K1950" i="1" s="1"/>
  <c r="J1951" i="1" s="1"/>
  <c r="K1951" i="1" s="1"/>
  <c r="J1952" i="1" s="1"/>
  <c r="K1952" i="1" s="1"/>
  <c r="J1953" i="1" s="1"/>
  <c r="K1953" i="1" s="1"/>
  <c r="J1954" i="1" s="1"/>
  <c r="K1954" i="1" s="1"/>
  <c r="J1955" i="1" s="1"/>
  <c r="K1955" i="1" s="1"/>
  <c r="J1956" i="1" s="1"/>
  <c r="K1956" i="1" s="1"/>
  <c r="J1957" i="1" s="1"/>
  <c r="K1957" i="1" s="1"/>
  <c r="J1958" i="1" s="1"/>
  <c r="K1958" i="1" s="1"/>
  <c r="J1959" i="1" s="1"/>
  <c r="K1959" i="1" s="1"/>
  <c r="J1960" i="1" s="1"/>
  <c r="K1960" i="1" s="1"/>
  <c r="J1961" i="1" s="1"/>
  <c r="K1961" i="1" s="1"/>
  <c r="J1962" i="1" s="1"/>
  <c r="K1962" i="1" s="1"/>
  <c r="J1963" i="1" s="1"/>
  <c r="K1963" i="1" s="1"/>
  <c r="J1964" i="1" s="1"/>
  <c r="K1964" i="1" s="1"/>
  <c r="J1965" i="1" s="1"/>
  <c r="K1965" i="1" s="1"/>
  <c r="J1966" i="1" s="1"/>
  <c r="K1966" i="1" s="1"/>
  <c r="J1967" i="1" s="1"/>
  <c r="K1967" i="1" s="1"/>
  <c r="J1968" i="1" s="1"/>
  <c r="K1968" i="1" s="1"/>
  <c r="J1969" i="1" s="1"/>
  <c r="K1969" i="1" s="1"/>
  <c r="J1970" i="1" s="1"/>
  <c r="K1970" i="1" s="1"/>
  <c r="J1971" i="1" s="1"/>
  <c r="K1971" i="1" s="1"/>
  <c r="J1972" i="1" s="1"/>
  <c r="K1972" i="1" s="1"/>
  <c r="J1973" i="1" s="1"/>
  <c r="K1973" i="1" s="1"/>
  <c r="J1974" i="1" s="1"/>
  <c r="K1974" i="1" s="1"/>
  <c r="J1975" i="1" s="1"/>
  <c r="K1975" i="1" s="1"/>
  <c r="J1976" i="1" s="1"/>
  <c r="K1976" i="1" s="1"/>
  <c r="J1977" i="1" s="1"/>
  <c r="K1977" i="1" s="1"/>
  <c r="J1978" i="1" s="1"/>
  <c r="K1978" i="1" s="1"/>
  <c r="J1979" i="1" s="1"/>
  <c r="K1979" i="1" s="1"/>
  <c r="J1983" i="1" s="1"/>
  <c r="K1983" i="1" s="1"/>
  <c r="J1984" i="1" s="1"/>
  <c r="K1984" i="1" s="1"/>
  <c r="J1985" i="1" s="1"/>
  <c r="K1985" i="1" s="1"/>
  <c r="J1986" i="1" s="1"/>
  <c r="K1986" i="1" s="1"/>
  <c r="J1987" i="1" s="1"/>
  <c r="K1987" i="1" s="1"/>
  <c r="J1988" i="1" s="1"/>
  <c r="K1988" i="1" s="1"/>
  <c r="J1989" i="1" s="1"/>
  <c r="K1989" i="1" s="1"/>
  <c r="J1990" i="1" s="1"/>
  <c r="K1990" i="1" s="1"/>
  <c r="J1991" i="1" s="1"/>
  <c r="K1991" i="1" s="1"/>
  <c r="J1992" i="1" s="1"/>
  <c r="K1992" i="1" s="1"/>
  <c r="J1993" i="1" s="1"/>
  <c r="K1993" i="1" s="1"/>
  <c r="J1994" i="1" s="1"/>
  <c r="K1994" i="1" s="1"/>
  <c r="J1995" i="1" s="1"/>
  <c r="K1995" i="1" s="1"/>
  <c r="J1996" i="1" s="1"/>
  <c r="K1996" i="1" s="1"/>
  <c r="J1997" i="1" s="1"/>
  <c r="K1997" i="1" s="1"/>
  <c r="J1998" i="1" s="1"/>
  <c r="K1998" i="1" s="1"/>
  <c r="J1999" i="1" s="1"/>
  <c r="K1999" i="1" s="1"/>
  <c r="J2000" i="1" s="1"/>
  <c r="K2000" i="1" s="1"/>
  <c r="J2001" i="1" s="1"/>
  <c r="K2001" i="1" s="1"/>
  <c r="J2002" i="1" s="1"/>
  <c r="K2002" i="1" s="1"/>
  <c r="J2003" i="1" s="1"/>
  <c r="K2003" i="1" s="1"/>
  <c r="J2004" i="1" s="1"/>
  <c r="K2004" i="1" s="1"/>
  <c r="J2005" i="1" s="1"/>
  <c r="K2005" i="1" s="1"/>
  <c r="J2006" i="1" s="1"/>
  <c r="K2006" i="1" s="1"/>
  <c r="J2007" i="1" s="1"/>
  <c r="K2007" i="1" s="1"/>
  <c r="J2008" i="1" s="1"/>
  <c r="K2008" i="1" s="1"/>
  <c r="J2009" i="1" s="1"/>
  <c r="K2009" i="1" s="1"/>
  <c r="J2010" i="1" s="1"/>
  <c r="K2010" i="1" s="1"/>
  <c r="J2011" i="1" s="1"/>
  <c r="K2011" i="1" s="1"/>
  <c r="J2012" i="1" s="1"/>
  <c r="K2012" i="1" s="1"/>
  <c r="J2013" i="1" s="1"/>
  <c r="K2013" i="1" s="1"/>
  <c r="J2014" i="1" s="1"/>
  <c r="K2014" i="1" s="1"/>
  <c r="J2015" i="1" s="1"/>
  <c r="K2015" i="1" s="1"/>
  <c r="J2016" i="1" s="1"/>
  <c r="K2016" i="1" s="1"/>
  <c r="J2017" i="1" s="1"/>
  <c r="K2017" i="1" s="1"/>
  <c r="J2018" i="1" s="1"/>
  <c r="K2018" i="1" s="1"/>
  <c r="J2019" i="1" s="1"/>
  <c r="K2019" i="1" s="1"/>
  <c r="J2020" i="1" s="1"/>
  <c r="K2020" i="1" s="1"/>
  <c r="J2021" i="1" s="1"/>
  <c r="K2021" i="1" s="1"/>
  <c r="J2022" i="1" s="1"/>
  <c r="K2022" i="1" s="1"/>
  <c r="J2023" i="1" s="1"/>
  <c r="K2023" i="1" s="1"/>
  <c r="J2024" i="1" s="1"/>
  <c r="K2024" i="1" s="1"/>
  <c r="J2025" i="1" s="1"/>
  <c r="K2025" i="1" s="1"/>
  <c r="J2026" i="1" s="1"/>
  <c r="K2026" i="1" s="1"/>
  <c r="J2027" i="1" s="1"/>
  <c r="K2027" i="1" s="1"/>
  <c r="J2028" i="1" s="1"/>
  <c r="K2028" i="1" s="1"/>
  <c r="J2029" i="1" s="1"/>
  <c r="K2029" i="1" s="1"/>
  <c r="J2030" i="1" s="1"/>
  <c r="K2030" i="1" s="1"/>
  <c r="J2031" i="1" s="1"/>
  <c r="K2031" i="1" s="1"/>
  <c r="J2032" i="1" s="1"/>
  <c r="K2032" i="1" s="1"/>
  <c r="J2036" i="1" s="1"/>
  <c r="K2036" i="1" s="1"/>
  <c r="J2037" i="1" s="1"/>
  <c r="K2037" i="1" s="1"/>
  <c r="J2038" i="1" s="1"/>
  <c r="K2038" i="1" s="1"/>
  <c r="J2039" i="1" s="1"/>
  <c r="K2039" i="1" s="1"/>
  <c r="J2040" i="1" s="1"/>
  <c r="K2040" i="1" s="1"/>
  <c r="J2041" i="1" s="1"/>
  <c r="K2041" i="1" s="1"/>
  <c r="J2042" i="1" s="1"/>
  <c r="K2042" i="1" s="1"/>
  <c r="J2043" i="1" s="1"/>
  <c r="K2043" i="1" s="1"/>
  <c r="J2044" i="1" s="1"/>
  <c r="K2044" i="1" s="1"/>
  <c r="J2045" i="1" s="1"/>
  <c r="K2045" i="1" s="1"/>
  <c r="J2046" i="1" s="1"/>
  <c r="K2046" i="1" s="1"/>
  <c r="J2047" i="1" s="1"/>
  <c r="K2047" i="1" s="1"/>
  <c r="J2048" i="1" s="1"/>
  <c r="K2048" i="1" s="1"/>
  <c r="J2049" i="1" s="1"/>
  <c r="K2049" i="1" s="1"/>
  <c r="J2050" i="1" s="1"/>
  <c r="K2050" i="1" s="1"/>
  <c r="J2051" i="1" s="1"/>
  <c r="K2051" i="1" s="1"/>
  <c r="J2052" i="1" s="1"/>
  <c r="K2052" i="1" s="1"/>
  <c r="J2053" i="1" s="1"/>
  <c r="K2053" i="1" s="1"/>
  <c r="J2054" i="1" s="1"/>
  <c r="K2054" i="1" s="1"/>
  <c r="J2055" i="1" s="1"/>
  <c r="K2055" i="1" s="1"/>
  <c r="J2056" i="1" s="1"/>
  <c r="K2056" i="1" s="1"/>
  <c r="J2057" i="1" s="1"/>
  <c r="K2057" i="1" s="1"/>
  <c r="J2058" i="1" s="1"/>
  <c r="K2058" i="1" s="1"/>
  <c r="J2059" i="1" s="1"/>
  <c r="K2059" i="1" s="1"/>
  <c r="J2060" i="1" s="1"/>
  <c r="K2060" i="1" s="1"/>
  <c r="J2061" i="1" s="1"/>
  <c r="K2061" i="1" s="1"/>
  <c r="J2062" i="1" s="1"/>
  <c r="K2062" i="1" s="1"/>
  <c r="J2063" i="1" s="1"/>
  <c r="K2063" i="1" s="1"/>
  <c r="J2064" i="1" s="1"/>
  <c r="K2064" i="1" s="1"/>
  <c r="J2065" i="1" s="1"/>
  <c r="K2065" i="1" s="1"/>
  <c r="J2066" i="1" s="1"/>
  <c r="K2066" i="1" s="1"/>
  <c r="J2067" i="1" s="1"/>
  <c r="K2067" i="1" s="1"/>
  <c r="J2068" i="1" s="1"/>
  <c r="K2068" i="1" s="1"/>
  <c r="J2069" i="1" s="1"/>
  <c r="K2069" i="1" s="1"/>
  <c r="J2070" i="1" s="1"/>
  <c r="K2070" i="1" s="1"/>
  <c r="J2071" i="1" s="1"/>
  <c r="K2071" i="1" s="1"/>
  <c r="J2072" i="1" s="1"/>
  <c r="K2072" i="1" s="1"/>
  <c r="J2073" i="1" s="1"/>
  <c r="K2073" i="1" s="1"/>
  <c r="J2074" i="1" s="1"/>
  <c r="K2074" i="1" s="1"/>
  <c r="J2075" i="1" s="1"/>
  <c r="K2075" i="1" s="1"/>
  <c r="J2076" i="1" s="1"/>
  <c r="K2076" i="1" s="1"/>
  <c r="J2077" i="1" s="1"/>
  <c r="K2077" i="1" s="1"/>
  <c r="J2078" i="1" s="1"/>
  <c r="K2078" i="1" s="1"/>
  <c r="J2079" i="1" s="1"/>
  <c r="K2079" i="1" s="1"/>
  <c r="G1232" i="1"/>
  <c r="G1224" i="1"/>
  <c r="G1211" i="1"/>
  <c r="G1199" i="1"/>
  <c r="G1187" i="1"/>
  <c r="J1175" i="1"/>
  <c r="K1175" i="1" s="1"/>
  <c r="J1187" i="1" s="1"/>
  <c r="K1187" i="1" s="1"/>
  <c r="J1188" i="1" s="1"/>
  <c r="K1188" i="1" s="1"/>
  <c r="J1189" i="1" s="1"/>
  <c r="K1189" i="1" s="1"/>
  <c r="J1190" i="1" s="1"/>
  <c r="K1190" i="1" s="1"/>
  <c r="J1191" i="1" s="1"/>
  <c r="K1191" i="1" s="1"/>
  <c r="J1192" i="1" s="1"/>
  <c r="K1192" i="1" s="1"/>
  <c r="J1193" i="1" s="1"/>
  <c r="K1193" i="1" s="1"/>
  <c r="J1194" i="1" s="1"/>
  <c r="K1194" i="1" s="1"/>
  <c r="J1195" i="1" s="1"/>
  <c r="K1195" i="1" s="1"/>
  <c r="J1196" i="1" s="1"/>
  <c r="K1196" i="1" s="1"/>
  <c r="J1197" i="1" s="1"/>
  <c r="K1197" i="1" s="1"/>
  <c r="J1198" i="1" s="1"/>
  <c r="K1198" i="1" s="1"/>
  <c r="J1199" i="1" s="1"/>
  <c r="K1199" i="1" s="1"/>
  <c r="J1200" i="1" s="1"/>
  <c r="K1200" i="1" s="1"/>
  <c r="J1201" i="1" s="1"/>
  <c r="K1201" i="1" s="1"/>
  <c r="J1202" i="1" s="1"/>
  <c r="K1202" i="1" s="1"/>
  <c r="J1203" i="1" s="1"/>
  <c r="K1203" i="1" s="1"/>
  <c r="J1204" i="1" s="1"/>
  <c r="K1204" i="1" s="1"/>
  <c r="J1205" i="1" s="1"/>
  <c r="K1205" i="1" s="1"/>
  <c r="J1206" i="1" s="1"/>
  <c r="K1206" i="1" s="1"/>
  <c r="J1207" i="1" s="1"/>
  <c r="K1207" i="1" s="1"/>
  <c r="J1208" i="1" s="1"/>
  <c r="K1208" i="1" s="1"/>
  <c r="J1209" i="1" s="1"/>
  <c r="K1209" i="1" s="1"/>
  <c r="J1210" i="1" s="1"/>
  <c r="K1210" i="1" s="1"/>
  <c r="J1211" i="1" s="1"/>
  <c r="K1211" i="1" s="1"/>
  <c r="J1212" i="1" s="1"/>
  <c r="K1212" i="1" s="1"/>
  <c r="J1213" i="1" s="1"/>
  <c r="K1213" i="1" s="1"/>
  <c r="J1214" i="1" s="1"/>
  <c r="K1214" i="1" s="1"/>
  <c r="J1215" i="1" s="1"/>
  <c r="K1215" i="1" s="1"/>
  <c r="J1216" i="1" s="1"/>
  <c r="K1216" i="1" s="1"/>
  <c r="J1217" i="1" s="1"/>
  <c r="K1217" i="1" s="1"/>
  <c r="J1218" i="1" s="1"/>
  <c r="K1218" i="1" s="1"/>
  <c r="J1220" i="1" s="1"/>
  <c r="K1220" i="1" s="1"/>
  <c r="J1221" i="1" s="1"/>
  <c r="K1221" i="1" s="1"/>
  <c r="J1222" i="1" s="1"/>
  <c r="K1222" i="1" s="1"/>
  <c r="J1223" i="1" s="1"/>
  <c r="K1223" i="1" s="1"/>
  <c r="J1224" i="1" s="1"/>
  <c r="K1224" i="1" s="1"/>
  <c r="J1225" i="1" s="1"/>
  <c r="K1225" i="1" s="1"/>
  <c r="J1226" i="1" s="1"/>
  <c r="K1226" i="1" s="1"/>
  <c r="J1227" i="1" s="1"/>
  <c r="K1227" i="1" s="1"/>
  <c r="J1228" i="1" s="1"/>
  <c r="K1228" i="1" s="1"/>
  <c r="J1229" i="1" s="1"/>
  <c r="K1229" i="1" s="1"/>
  <c r="J1230" i="1" s="1"/>
  <c r="K1230" i="1" s="1"/>
  <c r="J1231" i="1" s="1"/>
  <c r="K1231" i="1" s="1"/>
  <c r="J1232" i="1" s="1"/>
  <c r="K1232" i="1" s="1"/>
  <c r="J1233" i="1" s="1"/>
  <c r="K1233" i="1" s="1"/>
  <c r="J1234" i="1" s="1"/>
  <c r="K1234" i="1" s="1"/>
  <c r="J1235" i="1" s="1"/>
  <c r="K1235" i="1" s="1"/>
  <c r="J1236" i="1" s="1"/>
  <c r="K1236" i="1" s="1"/>
  <c r="J1237" i="1" s="1"/>
  <c r="K1237" i="1" s="1"/>
  <c r="J1238" i="1" s="1"/>
  <c r="K1238" i="1" s="1"/>
  <c r="J1239" i="1" s="1"/>
  <c r="K1239" i="1" s="1"/>
  <c r="J1240" i="1" s="1"/>
  <c r="K1240" i="1" s="1"/>
  <c r="K1172" i="1"/>
  <c r="J1173" i="1" s="1"/>
  <c r="K1173" i="1" s="1"/>
  <c r="J1174" i="1" s="1"/>
  <c r="K1174" i="1" s="1"/>
  <c r="G1172" i="1"/>
  <c r="G1164" i="1"/>
  <c r="G1160" i="1"/>
  <c r="G1154" i="1"/>
  <c r="G1150" i="1"/>
  <c r="G1140" i="1"/>
  <c r="G1132" i="1"/>
  <c r="G1120" i="1"/>
  <c r="G1118" i="1"/>
  <c r="G1106" i="1"/>
  <c r="G1092" i="1"/>
  <c r="G1090" i="1"/>
  <c r="G1080" i="1"/>
  <c r="G1076" i="1"/>
  <c r="G1068" i="1"/>
  <c r="G1062" i="1"/>
  <c r="G1056" i="1"/>
  <c r="G1044" i="1"/>
  <c r="G1032" i="1"/>
  <c r="G1012" i="1"/>
  <c r="G996" i="1"/>
  <c r="G984" i="1"/>
  <c r="G972" i="1"/>
  <c r="G962" i="1"/>
  <c r="G956" i="1"/>
  <c r="G935" i="1"/>
  <c r="G919" i="1"/>
  <c r="G907" i="1"/>
  <c r="G893" i="1"/>
  <c r="G875" i="1"/>
  <c r="G867" i="1"/>
  <c r="G835" i="1"/>
  <c r="G819" i="1"/>
  <c r="G809" i="1"/>
  <c r="G797" i="1"/>
  <c r="G785" i="1"/>
  <c r="G773" i="1"/>
  <c r="G757" i="1"/>
  <c r="G749" i="1"/>
  <c r="G737" i="1"/>
  <c r="G727" i="1"/>
  <c r="G715" i="1"/>
  <c r="G703" i="1"/>
  <c r="G693" i="1"/>
  <c r="G681" i="1"/>
  <c r="G675" i="1"/>
  <c r="G663" i="1"/>
  <c r="G643" i="1"/>
  <c r="G631" i="1"/>
  <c r="G623" i="1"/>
  <c r="J616" i="1"/>
  <c r="K616" i="1" s="1"/>
  <c r="J617" i="1" s="1"/>
  <c r="K617" i="1" s="1"/>
  <c r="J618" i="1" s="1"/>
  <c r="K618" i="1" s="1"/>
  <c r="J619" i="1" s="1"/>
  <c r="K619" i="1" s="1"/>
  <c r="J620" i="1" s="1"/>
  <c r="K620" i="1" s="1"/>
  <c r="J621" i="1" s="1"/>
  <c r="K621" i="1" s="1"/>
  <c r="J622" i="1" s="1"/>
  <c r="K622" i="1" s="1"/>
  <c r="J623" i="1" s="1"/>
  <c r="K623" i="1" s="1"/>
  <c r="J624" i="1" s="1"/>
  <c r="K624" i="1" s="1"/>
  <c r="J625" i="1" s="1"/>
  <c r="K625" i="1" s="1"/>
  <c r="J626" i="1" s="1"/>
  <c r="K626" i="1" s="1"/>
  <c r="J627" i="1" s="1"/>
  <c r="K627" i="1" s="1"/>
  <c r="J628" i="1" s="1"/>
  <c r="K628" i="1" s="1"/>
  <c r="J629" i="1" s="1"/>
  <c r="K629" i="1" s="1"/>
  <c r="J630" i="1" s="1"/>
  <c r="K630" i="1" s="1"/>
  <c r="J631" i="1" s="1"/>
  <c r="K631" i="1" s="1"/>
  <c r="J632" i="1" s="1"/>
  <c r="K632" i="1" s="1"/>
  <c r="J633" i="1" s="1"/>
  <c r="K633" i="1" s="1"/>
  <c r="J634" i="1" s="1"/>
  <c r="K634" i="1" s="1"/>
  <c r="J635" i="1" s="1"/>
  <c r="K635" i="1" s="1"/>
  <c r="J636" i="1" s="1"/>
  <c r="K636" i="1" s="1"/>
  <c r="J637" i="1" s="1"/>
  <c r="K637" i="1" s="1"/>
  <c r="J638" i="1" s="1"/>
  <c r="K638" i="1" s="1"/>
  <c r="J639" i="1" s="1"/>
  <c r="K639" i="1" s="1"/>
  <c r="J640" i="1" s="1"/>
  <c r="K640" i="1" s="1"/>
  <c r="J641" i="1" s="1"/>
  <c r="K641" i="1" s="1"/>
  <c r="J642" i="1" s="1"/>
  <c r="K642" i="1" s="1"/>
  <c r="J643" i="1" s="1"/>
  <c r="K643" i="1" s="1"/>
  <c r="J644" i="1" s="1"/>
  <c r="K644" i="1" s="1"/>
  <c r="J645" i="1" s="1"/>
  <c r="K645" i="1" s="1"/>
  <c r="J646" i="1" s="1"/>
  <c r="K646" i="1" s="1"/>
  <c r="J647" i="1" s="1"/>
  <c r="K647" i="1" s="1"/>
  <c r="J648" i="1" s="1"/>
  <c r="K648" i="1" s="1"/>
  <c r="J649" i="1" s="1"/>
  <c r="K649" i="1" s="1"/>
  <c r="J650" i="1" s="1"/>
  <c r="K650" i="1" s="1"/>
  <c r="J653" i="1" s="1"/>
  <c r="K653" i="1" s="1"/>
  <c r="J654" i="1" s="1"/>
  <c r="K654" i="1" s="1"/>
  <c r="J655" i="1" s="1"/>
  <c r="K655" i="1" s="1"/>
  <c r="J656" i="1" s="1"/>
  <c r="K656" i="1" s="1"/>
  <c r="J657" i="1" s="1"/>
  <c r="K657" i="1" s="1"/>
  <c r="J658" i="1" s="1"/>
  <c r="K658" i="1" s="1"/>
  <c r="J659" i="1" s="1"/>
  <c r="K659" i="1" s="1"/>
  <c r="J660" i="1" s="1"/>
  <c r="K660" i="1" s="1"/>
  <c r="J661" i="1" s="1"/>
  <c r="K661" i="1" s="1"/>
  <c r="J662" i="1" s="1"/>
  <c r="K662" i="1" s="1"/>
  <c r="J663" i="1" s="1"/>
  <c r="K663" i="1" s="1"/>
  <c r="J664" i="1" s="1"/>
  <c r="K664" i="1" s="1"/>
  <c r="J665" i="1" s="1"/>
  <c r="K665" i="1" s="1"/>
  <c r="J666" i="1" s="1"/>
  <c r="K666" i="1" s="1"/>
  <c r="J667" i="1" s="1"/>
  <c r="K667" i="1" s="1"/>
  <c r="J668" i="1" s="1"/>
  <c r="K668" i="1" s="1"/>
  <c r="J669" i="1" s="1"/>
  <c r="K669" i="1" s="1"/>
  <c r="J670" i="1" s="1"/>
  <c r="K670" i="1" s="1"/>
  <c r="J671" i="1" s="1"/>
  <c r="K671" i="1" s="1"/>
  <c r="J672" i="1" s="1"/>
  <c r="K672" i="1" s="1"/>
  <c r="J673" i="1" s="1"/>
  <c r="K673" i="1" s="1"/>
  <c r="J674" i="1" s="1"/>
  <c r="K674" i="1" s="1"/>
  <c r="J675" i="1" s="1"/>
  <c r="K675" i="1" s="1"/>
  <c r="J676" i="1" s="1"/>
  <c r="K676" i="1" s="1"/>
  <c r="J677" i="1" s="1"/>
  <c r="K677" i="1" s="1"/>
  <c r="J678" i="1" s="1"/>
  <c r="K678" i="1" s="1"/>
  <c r="J679" i="1" s="1"/>
  <c r="K679" i="1" s="1"/>
  <c r="J680" i="1" s="1"/>
  <c r="K680" i="1" s="1"/>
  <c r="J681" i="1" s="1"/>
  <c r="K681" i="1" s="1"/>
  <c r="J682" i="1" s="1"/>
  <c r="K682" i="1" s="1"/>
  <c r="J683" i="1" s="1"/>
  <c r="K683" i="1" s="1"/>
  <c r="J684" i="1" s="1"/>
  <c r="K684" i="1" s="1"/>
  <c r="J685" i="1" s="1"/>
  <c r="K685" i="1" s="1"/>
  <c r="J686" i="1" s="1"/>
  <c r="K686" i="1" s="1"/>
  <c r="J687" i="1" s="1"/>
  <c r="K687" i="1" s="1"/>
  <c r="J688" i="1" s="1"/>
  <c r="K688" i="1" s="1"/>
  <c r="J689" i="1" s="1"/>
  <c r="K689" i="1" s="1"/>
  <c r="J690" i="1" s="1"/>
  <c r="K690" i="1" s="1"/>
  <c r="J691" i="1" s="1"/>
  <c r="K691" i="1" s="1"/>
  <c r="J692" i="1" s="1"/>
  <c r="K692" i="1" s="1"/>
  <c r="J693" i="1" s="1"/>
  <c r="K693" i="1" s="1"/>
  <c r="J694" i="1" s="1"/>
  <c r="K694" i="1" s="1"/>
  <c r="J695" i="1" s="1"/>
  <c r="K695" i="1" s="1"/>
  <c r="J696" i="1" s="1"/>
  <c r="K696" i="1" s="1"/>
  <c r="J697" i="1" s="1"/>
  <c r="K697" i="1" s="1"/>
  <c r="J698" i="1" s="1"/>
  <c r="K698" i="1" s="1"/>
  <c r="J701" i="1" s="1"/>
  <c r="K701" i="1" s="1"/>
  <c r="J702" i="1" s="1"/>
  <c r="K702" i="1" s="1"/>
  <c r="J703" i="1" s="1"/>
  <c r="K703" i="1" s="1"/>
  <c r="J704" i="1" s="1"/>
  <c r="K704" i="1" s="1"/>
  <c r="J705" i="1" s="1"/>
  <c r="K705" i="1" s="1"/>
  <c r="J706" i="1" s="1"/>
  <c r="K706" i="1" s="1"/>
  <c r="J707" i="1" s="1"/>
  <c r="K707" i="1" s="1"/>
  <c r="J708" i="1" s="1"/>
  <c r="K708" i="1" s="1"/>
  <c r="J709" i="1" s="1"/>
  <c r="K709" i="1" s="1"/>
  <c r="J710" i="1" s="1"/>
  <c r="K710" i="1" s="1"/>
  <c r="J711" i="1" s="1"/>
  <c r="K711" i="1" s="1"/>
  <c r="J712" i="1" s="1"/>
  <c r="K712" i="1" s="1"/>
  <c r="J713" i="1" s="1"/>
  <c r="K713" i="1" s="1"/>
  <c r="J714" i="1" s="1"/>
  <c r="K714" i="1" s="1"/>
  <c r="J715" i="1" s="1"/>
  <c r="K715" i="1" s="1"/>
  <c r="J716" i="1" s="1"/>
  <c r="K716" i="1" s="1"/>
  <c r="J717" i="1" s="1"/>
  <c r="K717" i="1" s="1"/>
  <c r="J718" i="1" s="1"/>
  <c r="K718" i="1" s="1"/>
  <c r="J719" i="1" s="1"/>
  <c r="K719" i="1" s="1"/>
  <c r="J720" i="1" s="1"/>
  <c r="K720" i="1" s="1"/>
  <c r="J721" i="1" s="1"/>
  <c r="K721" i="1" s="1"/>
  <c r="J722" i="1" s="1"/>
  <c r="K722" i="1" s="1"/>
  <c r="J723" i="1" s="1"/>
  <c r="K723" i="1" s="1"/>
  <c r="J724" i="1" s="1"/>
  <c r="K724" i="1" s="1"/>
  <c r="J725" i="1" s="1"/>
  <c r="K725" i="1" s="1"/>
  <c r="J726" i="1" s="1"/>
  <c r="K726" i="1" s="1"/>
  <c r="J727" i="1" s="1"/>
  <c r="K727" i="1" s="1"/>
  <c r="J728" i="1" s="1"/>
  <c r="K728" i="1" s="1"/>
  <c r="J729" i="1" s="1"/>
  <c r="K729" i="1" s="1"/>
  <c r="J730" i="1" s="1"/>
  <c r="K730" i="1" s="1"/>
  <c r="J731" i="1" s="1"/>
  <c r="K731" i="1" s="1"/>
  <c r="J732" i="1" s="1"/>
  <c r="K732" i="1" s="1"/>
  <c r="J733" i="1" s="1"/>
  <c r="K733" i="1" s="1"/>
  <c r="J734" i="1" s="1"/>
  <c r="K734" i="1" s="1"/>
  <c r="J735" i="1" s="1"/>
  <c r="K735" i="1" s="1"/>
  <c r="J736" i="1" s="1"/>
  <c r="K736" i="1" s="1"/>
  <c r="J737" i="1" s="1"/>
  <c r="K737" i="1" s="1"/>
  <c r="J738" i="1" s="1"/>
  <c r="K738" i="1" s="1"/>
  <c r="J739" i="1" s="1"/>
  <c r="K739" i="1" s="1"/>
  <c r="J740" i="1" s="1"/>
  <c r="K740" i="1" s="1"/>
  <c r="J741" i="1" s="1"/>
  <c r="K741" i="1" s="1"/>
  <c r="J742" i="1" s="1"/>
  <c r="K742" i="1" s="1"/>
  <c r="J743" i="1" s="1"/>
  <c r="K743" i="1" s="1"/>
  <c r="J744" i="1" s="1"/>
  <c r="K744" i="1" s="1"/>
  <c r="J745" i="1" s="1"/>
  <c r="K745" i="1" s="1"/>
  <c r="J746" i="1" s="1"/>
  <c r="K746" i="1" s="1"/>
  <c r="J747" i="1" s="1"/>
  <c r="K747" i="1" s="1"/>
  <c r="J748" i="1" s="1"/>
  <c r="K748" i="1" s="1"/>
  <c r="J749" i="1" s="1"/>
  <c r="K749" i="1" s="1"/>
  <c r="J750" i="1" s="1"/>
  <c r="K750" i="1" s="1"/>
  <c r="J751" i="1" s="1"/>
  <c r="K751" i="1" s="1"/>
  <c r="J752" i="1" s="1"/>
  <c r="K752" i="1" s="1"/>
  <c r="J753" i="1" s="1"/>
  <c r="K753" i="1" s="1"/>
  <c r="J754" i="1" s="1"/>
  <c r="K754" i="1" s="1"/>
  <c r="J755" i="1" s="1"/>
  <c r="K755" i="1" s="1"/>
  <c r="J756" i="1" s="1"/>
  <c r="K756" i="1" s="1"/>
  <c r="J757" i="1" s="1"/>
  <c r="K757" i="1" s="1"/>
  <c r="J758" i="1" s="1"/>
  <c r="K758" i="1" s="1"/>
  <c r="J759" i="1" s="1"/>
  <c r="K759" i="1" s="1"/>
  <c r="J760" i="1" s="1"/>
  <c r="K760" i="1" s="1"/>
  <c r="J761" i="1" s="1"/>
  <c r="K761" i="1" s="1"/>
  <c r="J762" i="1" s="1"/>
  <c r="K762" i="1" s="1"/>
  <c r="J765" i="1" s="1"/>
  <c r="K765" i="1" s="1"/>
  <c r="J766" i="1" s="1"/>
  <c r="K766" i="1" s="1"/>
  <c r="J767" i="1" s="1"/>
  <c r="K767" i="1" s="1"/>
  <c r="J768" i="1" s="1"/>
  <c r="K768" i="1" s="1"/>
  <c r="J769" i="1" s="1"/>
  <c r="K769" i="1" s="1"/>
  <c r="J770" i="1" s="1"/>
  <c r="K770" i="1" s="1"/>
  <c r="J771" i="1" s="1"/>
  <c r="K771" i="1" s="1"/>
  <c r="J772" i="1" s="1"/>
  <c r="K772" i="1" s="1"/>
  <c r="J773" i="1" s="1"/>
  <c r="K773" i="1" s="1"/>
  <c r="J774" i="1" s="1"/>
  <c r="K774" i="1" s="1"/>
  <c r="J775" i="1" s="1"/>
  <c r="K775" i="1" s="1"/>
  <c r="J776" i="1" s="1"/>
  <c r="K776" i="1" s="1"/>
  <c r="J777" i="1" s="1"/>
  <c r="K777" i="1" s="1"/>
  <c r="J778" i="1" s="1"/>
  <c r="K778" i="1" s="1"/>
  <c r="J779" i="1" s="1"/>
  <c r="K779" i="1" s="1"/>
  <c r="J780" i="1" s="1"/>
  <c r="K780" i="1" s="1"/>
  <c r="J781" i="1" s="1"/>
  <c r="K781" i="1" s="1"/>
  <c r="J782" i="1" s="1"/>
  <c r="K782" i="1" s="1"/>
  <c r="J783" i="1" s="1"/>
  <c r="K783" i="1" s="1"/>
  <c r="J784" i="1" s="1"/>
  <c r="K784" i="1" s="1"/>
  <c r="J785" i="1" s="1"/>
  <c r="K785" i="1" s="1"/>
  <c r="J786" i="1" s="1"/>
  <c r="K786" i="1" s="1"/>
  <c r="J787" i="1" s="1"/>
  <c r="K787" i="1" s="1"/>
  <c r="J788" i="1" s="1"/>
  <c r="K788" i="1" s="1"/>
  <c r="J789" i="1" s="1"/>
  <c r="K789" i="1" s="1"/>
  <c r="J790" i="1" s="1"/>
  <c r="K790" i="1" s="1"/>
  <c r="J791" i="1" s="1"/>
  <c r="K791" i="1" s="1"/>
  <c r="J792" i="1" s="1"/>
  <c r="K792" i="1" s="1"/>
  <c r="J793" i="1" s="1"/>
  <c r="K793" i="1" s="1"/>
  <c r="J794" i="1" s="1"/>
  <c r="K794" i="1" s="1"/>
  <c r="J795" i="1" s="1"/>
  <c r="K795" i="1" s="1"/>
  <c r="J796" i="1" s="1"/>
  <c r="K796" i="1" s="1"/>
  <c r="J797" i="1" s="1"/>
  <c r="K797" i="1" s="1"/>
  <c r="J798" i="1" s="1"/>
  <c r="K798" i="1" s="1"/>
  <c r="J799" i="1" s="1"/>
  <c r="K799" i="1" s="1"/>
  <c r="J800" i="1" s="1"/>
  <c r="K800" i="1" s="1"/>
  <c r="J801" i="1" s="1"/>
  <c r="K801" i="1" s="1"/>
  <c r="J802" i="1" s="1"/>
  <c r="K802" i="1" s="1"/>
  <c r="J803" i="1" s="1"/>
  <c r="K803" i="1" s="1"/>
  <c r="J804" i="1" s="1"/>
  <c r="K804" i="1" s="1"/>
  <c r="J805" i="1" s="1"/>
  <c r="K805" i="1" s="1"/>
  <c r="J806" i="1" s="1"/>
  <c r="K806" i="1" s="1"/>
  <c r="J807" i="1" s="1"/>
  <c r="K807" i="1" s="1"/>
  <c r="J808" i="1" s="1"/>
  <c r="K808" i="1" s="1"/>
  <c r="J809" i="1" s="1"/>
  <c r="K809" i="1" s="1"/>
  <c r="J810" i="1" s="1"/>
  <c r="K810" i="1" s="1"/>
  <c r="J811" i="1" s="1"/>
  <c r="K811" i="1" s="1"/>
  <c r="J812" i="1" s="1"/>
  <c r="K812" i="1" s="1"/>
  <c r="J813" i="1" s="1"/>
  <c r="K813" i="1" s="1"/>
  <c r="J814" i="1" s="1"/>
  <c r="K814" i="1" s="1"/>
  <c r="J815" i="1" s="1"/>
  <c r="K815" i="1" s="1"/>
  <c r="J816" i="1" s="1"/>
  <c r="K816" i="1" s="1"/>
  <c r="J817" i="1" s="1"/>
  <c r="K817" i="1" s="1"/>
  <c r="J818" i="1" s="1"/>
  <c r="K818" i="1" s="1"/>
  <c r="J819" i="1" s="1"/>
  <c r="K819" i="1" s="1"/>
  <c r="J820" i="1" s="1"/>
  <c r="K820" i="1" s="1"/>
  <c r="J821" i="1" s="1"/>
  <c r="K821" i="1" s="1"/>
  <c r="J822" i="1" s="1"/>
  <c r="K822" i="1" s="1"/>
  <c r="J823" i="1" s="1"/>
  <c r="K823" i="1" s="1"/>
  <c r="J824" i="1" s="1"/>
  <c r="K824" i="1" s="1"/>
  <c r="J825" i="1" s="1"/>
  <c r="K825" i="1" s="1"/>
  <c r="J826" i="1" s="1"/>
  <c r="K826" i="1" s="1"/>
  <c r="J827" i="1" s="1"/>
  <c r="K827" i="1" s="1"/>
  <c r="J828" i="1" s="1"/>
  <c r="K828" i="1" s="1"/>
  <c r="J829" i="1" s="1"/>
  <c r="K829" i="1" s="1"/>
  <c r="J830" i="1" s="1"/>
  <c r="K830" i="1" s="1"/>
  <c r="J831" i="1" s="1"/>
  <c r="K831" i="1" s="1"/>
  <c r="J832" i="1" s="1"/>
  <c r="K832" i="1" s="1"/>
  <c r="J833" i="1" s="1"/>
  <c r="K833" i="1" s="1"/>
  <c r="J834" i="1" s="1"/>
  <c r="K834" i="1" s="1"/>
  <c r="J835" i="1" s="1"/>
  <c r="K835" i="1" s="1"/>
  <c r="J836" i="1" s="1"/>
  <c r="K836" i="1" s="1"/>
  <c r="J837" i="1" s="1"/>
  <c r="K837" i="1" s="1"/>
  <c r="J838" i="1" s="1"/>
  <c r="K838" i="1" s="1"/>
  <c r="J839" i="1" s="1"/>
  <c r="K839" i="1" s="1"/>
  <c r="J840" i="1" s="1"/>
  <c r="K840" i="1" s="1"/>
  <c r="J844" i="1" s="1"/>
  <c r="K844" i="1" s="1"/>
  <c r="J845" i="1" s="1"/>
  <c r="K845" i="1" s="1"/>
  <c r="J846" i="1" s="1"/>
  <c r="K846" i="1" s="1"/>
  <c r="J847" i="1" s="1"/>
  <c r="K847" i="1" s="1"/>
  <c r="J848" i="1" s="1"/>
  <c r="K848" i="1" s="1"/>
  <c r="J849" i="1" s="1"/>
  <c r="K849" i="1" s="1"/>
  <c r="J850" i="1" s="1"/>
  <c r="K850" i="1" s="1"/>
  <c r="J851" i="1" s="1"/>
  <c r="K851" i="1" s="1"/>
  <c r="J863" i="1" s="1"/>
  <c r="K863" i="1" s="1"/>
  <c r="J864" i="1" s="1"/>
  <c r="K864" i="1" s="1"/>
  <c r="J865" i="1" s="1"/>
  <c r="K865" i="1" s="1"/>
  <c r="J866" i="1" s="1"/>
  <c r="K866" i="1" s="1"/>
  <c r="J867" i="1" s="1"/>
  <c r="K867" i="1" s="1"/>
  <c r="J868" i="1" s="1"/>
  <c r="K868" i="1" s="1"/>
  <c r="J869" i="1" s="1"/>
  <c r="K869" i="1" s="1"/>
  <c r="J870" i="1" s="1"/>
  <c r="K870" i="1" s="1"/>
  <c r="J871" i="1" s="1"/>
  <c r="K871" i="1" s="1"/>
  <c r="J872" i="1" s="1"/>
  <c r="K872" i="1" s="1"/>
  <c r="J873" i="1" s="1"/>
  <c r="K873" i="1" s="1"/>
  <c r="J874" i="1" s="1"/>
  <c r="K874" i="1" s="1"/>
  <c r="J875" i="1" s="1"/>
  <c r="K875" i="1" s="1"/>
  <c r="J876" i="1" s="1"/>
  <c r="K876" i="1" s="1"/>
  <c r="J877" i="1" s="1"/>
  <c r="K877" i="1" s="1"/>
  <c r="J878" i="1" s="1"/>
  <c r="K878" i="1" s="1"/>
  <c r="J879" i="1" s="1"/>
  <c r="K879" i="1" s="1"/>
  <c r="J880" i="1" s="1"/>
  <c r="K880" i="1" s="1"/>
  <c r="J881" i="1" s="1"/>
  <c r="K881" i="1" s="1"/>
  <c r="J882" i="1" s="1"/>
  <c r="K882" i="1" s="1"/>
  <c r="J883" i="1" s="1"/>
  <c r="K883" i="1" s="1"/>
  <c r="J884" i="1" s="1"/>
  <c r="K884" i="1" s="1"/>
  <c r="J887" i="1" s="1"/>
  <c r="K887" i="1" s="1"/>
  <c r="J888" i="1" s="1"/>
  <c r="K888" i="1" s="1"/>
  <c r="J889" i="1" s="1"/>
  <c r="K889" i="1" s="1"/>
  <c r="J890" i="1" s="1"/>
  <c r="K890" i="1" s="1"/>
  <c r="J891" i="1" s="1"/>
  <c r="K891" i="1" s="1"/>
  <c r="J892" i="1" s="1"/>
  <c r="K892" i="1" s="1"/>
  <c r="J893" i="1" s="1"/>
  <c r="K893" i="1" s="1"/>
  <c r="J894" i="1" s="1"/>
  <c r="K894" i="1" s="1"/>
  <c r="J895" i="1" s="1"/>
  <c r="K895" i="1" s="1"/>
  <c r="J896" i="1" s="1"/>
  <c r="K896" i="1" s="1"/>
  <c r="J897" i="1" s="1"/>
  <c r="K897" i="1" s="1"/>
  <c r="J898" i="1" s="1"/>
  <c r="K898" i="1" s="1"/>
  <c r="J899" i="1" s="1"/>
  <c r="K899" i="1" s="1"/>
  <c r="J900" i="1" s="1"/>
  <c r="K900" i="1" s="1"/>
  <c r="J901" i="1" s="1"/>
  <c r="K901" i="1" s="1"/>
  <c r="J902" i="1" s="1"/>
  <c r="K902" i="1" s="1"/>
  <c r="J903" i="1" s="1"/>
  <c r="K903" i="1" s="1"/>
  <c r="J904" i="1" s="1"/>
  <c r="K904" i="1" s="1"/>
  <c r="J905" i="1" s="1"/>
  <c r="K905" i="1" s="1"/>
  <c r="J906" i="1" s="1"/>
  <c r="K906" i="1" s="1"/>
  <c r="J907" i="1" s="1"/>
  <c r="K907" i="1" s="1"/>
  <c r="J908" i="1" s="1"/>
  <c r="K908" i="1" s="1"/>
  <c r="J909" i="1" s="1"/>
  <c r="K909" i="1" s="1"/>
  <c r="J910" i="1" s="1"/>
  <c r="K910" i="1" s="1"/>
  <c r="J911" i="1" s="1"/>
  <c r="K911" i="1" s="1"/>
  <c r="J912" i="1" s="1"/>
  <c r="K912" i="1" s="1"/>
  <c r="J913" i="1" s="1"/>
  <c r="K913" i="1" s="1"/>
  <c r="J914" i="1" s="1"/>
  <c r="K914" i="1" s="1"/>
  <c r="J915" i="1" s="1"/>
  <c r="K915" i="1" s="1"/>
  <c r="J916" i="1" s="1"/>
  <c r="K916" i="1" s="1"/>
  <c r="J917" i="1" s="1"/>
  <c r="K917" i="1" s="1"/>
  <c r="J918" i="1" s="1"/>
  <c r="K918" i="1" s="1"/>
  <c r="J919" i="1" s="1"/>
  <c r="K919" i="1" s="1"/>
  <c r="J920" i="1" s="1"/>
  <c r="K920" i="1" s="1"/>
  <c r="J921" i="1" s="1"/>
  <c r="K921" i="1" s="1"/>
  <c r="J922" i="1" s="1"/>
  <c r="K922" i="1" s="1"/>
  <c r="J923" i="1" s="1"/>
  <c r="K923" i="1" s="1"/>
  <c r="J924" i="1" s="1"/>
  <c r="K924" i="1" s="1"/>
  <c r="J925" i="1" s="1"/>
  <c r="K925" i="1" s="1"/>
  <c r="J926" i="1" s="1"/>
  <c r="K926" i="1" s="1"/>
  <c r="J927" i="1" s="1"/>
  <c r="K927" i="1" s="1"/>
  <c r="J928" i="1" s="1"/>
  <c r="K928" i="1" s="1"/>
  <c r="J929" i="1" s="1"/>
  <c r="K929" i="1" s="1"/>
  <c r="J930" i="1" s="1"/>
  <c r="K930" i="1" s="1"/>
  <c r="J931" i="1" s="1"/>
  <c r="K931" i="1" s="1"/>
  <c r="J932" i="1" s="1"/>
  <c r="K932" i="1" s="1"/>
  <c r="J933" i="1" s="1"/>
  <c r="K933" i="1" s="1"/>
  <c r="J934" i="1" s="1"/>
  <c r="K934" i="1" s="1"/>
  <c r="J935" i="1" s="1"/>
  <c r="K935" i="1" s="1"/>
  <c r="J936" i="1" s="1"/>
  <c r="K936" i="1" s="1"/>
  <c r="J937" i="1" s="1"/>
  <c r="K937" i="1" s="1"/>
  <c r="J938" i="1" s="1"/>
  <c r="K938" i="1" s="1"/>
  <c r="J942" i="1" s="1"/>
  <c r="K942" i="1" s="1"/>
  <c r="J943" i="1" s="1"/>
  <c r="K943" i="1" s="1"/>
  <c r="J944" i="1" s="1"/>
  <c r="K944" i="1" s="1"/>
  <c r="J945" i="1" s="1"/>
  <c r="K945" i="1" s="1"/>
  <c r="J946" i="1" s="1"/>
  <c r="K946" i="1" s="1"/>
  <c r="J947" i="1" s="1"/>
  <c r="K947" i="1" s="1"/>
  <c r="J948" i="1" s="1"/>
  <c r="K948" i="1" s="1"/>
  <c r="J949" i="1" s="1"/>
  <c r="K949" i="1" s="1"/>
  <c r="J950" i="1" s="1"/>
  <c r="K950" i="1" s="1"/>
  <c r="J951" i="1" s="1"/>
  <c r="K951" i="1" s="1"/>
  <c r="J952" i="1" s="1"/>
  <c r="K952" i="1" s="1"/>
  <c r="J953" i="1" s="1"/>
  <c r="K953" i="1" s="1"/>
  <c r="J954" i="1" s="1"/>
  <c r="K954" i="1" s="1"/>
  <c r="J955" i="1" s="1"/>
  <c r="K955" i="1" s="1"/>
  <c r="J956" i="1" s="1"/>
  <c r="K956" i="1" s="1"/>
  <c r="J957" i="1" s="1"/>
  <c r="K957" i="1" s="1"/>
  <c r="J958" i="1" s="1"/>
  <c r="K958" i="1" s="1"/>
  <c r="J959" i="1" s="1"/>
  <c r="K959" i="1" s="1"/>
  <c r="J960" i="1" s="1"/>
  <c r="K960" i="1" s="1"/>
  <c r="J961" i="1" s="1"/>
  <c r="K961" i="1" s="1"/>
  <c r="J962" i="1" s="1"/>
  <c r="K962" i="1" s="1"/>
  <c r="J963" i="1" s="1"/>
  <c r="K963" i="1" s="1"/>
  <c r="J964" i="1" s="1"/>
  <c r="K964" i="1" s="1"/>
  <c r="J965" i="1" s="1"/>
  <c r="K965" i="1" s="1"/>
  <c r="J966" i="1" s="1"/>
  <c r="K966" i="1" s="1"/>
  <c r="J967" i="1" s="1"/>
  <c r="K967" i="1" s="1"/>
  <c r="J968" i="1" s="1"/>
  <c r="K968" i="1" s="1"/>
  <c r="J969" i="1" s="1"/>
  <c r="K969" i="1" s="1"/>
  <c r="J970" i="1" s="1"/>
  <c r="K970" i="1" s="1"/>
  <c r="J971" i="1" s="1"/>
  <c r="K971" i="1" s="1"/>
  <c r="J972" i="1" s="1"/>
  <c r="K972" i="1" s="1"/>
  <c r="J973" i="1" s="1"/>
  <c r="K973" i="1" s="1"/>
  <c r="J974" i="1" s="1"/>
  <c r="K974" i="1" s="1"/>
  <c r="J975" i="1" s="1"/>
  <c r="K975" i="1" s="1"/>
  <c r="J976" i="1" s="1"/>
  <c r="K976" i="1" s="1"/>
  <c r="J977" i="1" s="1"/>
  <c r="K977" i="1" s="1"/>
  <c r="J978" i="1" s="1"/>
  <c r="K978" i="1" s="1"/>
  <c r="J979" i="1" s="1"/>
  <c r="K979" i="1" s="1"/>
  <c r="J980" i="1" s="1"/>
  <c r="K980" i="1" s="1"/>
  <c r="J981" i="1" s="1"/>
  <c r="K981" i="1" s="1"/>
  <c r="J982" i="1" s="1"/>
  <c r="K982" i="1" s="1"/>
  <c r="J983" i="1" s="1"/>
  <c r="K983" i="1" s="1"/>
  <c r="J984" i="1" s="1"/>
  <c r="K984" i="1" s="1"/>
  <c r="J985" i="1" s="1"/>
  <c r="K985" i="1" s="1"/>
  <c r="J986" i="1" s="1"/>
  <c r="K986" i="1" s="1"/>
  <c r="J987" i="1" s="1"/>
  <c r="K987" i="1" s="1"/>
  <c r="J988" i="1" s="1"/>
  <c r="K988" i="1" s="1"/>
  <c r="J989" i="1" s="1"/>
  <c r="K989" i="1" s="1"/>
  <c r="J990" i="1" s="1"/>
  <c r="K990" i="1" s="1"/>
  <c r="J991" i="1" s="1"/>
  <c r="K991" i="1" s="1"/>
  <c r="J992" i="1" s="1"/>
  <c r="K992" i="1" s="1"/>
  <c r="J993" i="1" s="1"/>
  <c r="K993" i="1" s="1"/>
  <c r="J996" i="1" s="1"/>
  <c r="K996" i="1" s="1"/>
  <c r="J997" i="1" s="1"/>
  <c r="K997" i="1" s="1"/>
  <c r="J998" i="1" s="1"/>
  <c r="K998" i="1" s="1"/>
  <c r="J999" i="1" s="1"/>
  <c r="K999" i="1" s="1"/>
  <c r="J1000" i="1" s="1"/>
  <c r="K1000" i="1" s="1"/>
  <c r="J1001" i="1" s="1"/>
  <c r="K1001" i="1" s="1"/>
  <c r="J1002" i="1" s="1"/>
  <c r="K1002" i="1" s="1"/>
  <c r="J1003" i="1" s="1"/>
  <c r="K1003" i="1" s="1"/>
  <c r="J1004" i="1" s="1"/>
  <c r="K1004" i="1" s="1"/>
  <c r="J1005" i="1" s="1"/>
  <c r="K1005" i="1" s="1"/>
  <c r="J1006" i="1" s="1"/>
  <c r="K1006" i="1" s="1"/>
  <c r="J1007" i="1" s="1"/>
  <c r="K1007" i="1" s="1"/>
  <c r="J1008" i="1" s="1"/>
  <c r="K1008" i="1" s="1"/>
  <c r="J1009" i="1" s="1"/>
  <c r="K1009" i="1" s="1"/>
  <c r="J1010" i="1" s="1"/>
  <c r="K1010" i="1" s="1"/>
  <c r="J1011" i="1" s="1"/>
  <c r="K1011" i="1" s="1"/>
  <c r="J1012" i="1" s="1"/>
  <c r="K1012" i="1" s="1"/>
  <c r="J1013" i="1" s="1"/>
  <c r="K1013" i="1" s="1"/>
  <c r="J1014" i="1" s="1"/>
  <c r="K1014" i="1" s="1"/>
  <c r="J1015" i="1" s="1"/>
  <c r="K1015" i="1" s="1"/>
  <c r="J1016" i="1" s="1"/>
  <c r="K1016" i="1" s="1"/>
  <c r="J1017" i="1" s="1"/>
  <c r="K1017" i="1" s="1"/>
  <c r="J1018" i="1" s="1"/>
  <c r="K1018" i="1" s="1"/>
  <c r="J1019" i="1" s="1"/>
  <c r="K1019" i="1" s="1"/>
  <c r="J1020" i="1" s="1"/>
  <c r="K1020" i="1" s="1"/>
  <c r="J1021" i="1" s="1"/>
  <c r="K1021" i="1" s="1"/>
  <c r="J1022" i="1" s="1"/>
  <c r="K1022" i="1" s="1"/>
  <c r="J1023" i="1" s="1"/>
  <c r="K1023" i="1" s="1"/>
  <c r="J1024" i="1" s="1"/>
  <c r="K1024" i="1" s="1"/>
  <c r="J1025" i="1" s="1"/>
  <c r="K1025" i="1" s="1"/>
  <c r="J1026" i="1" s="1"/>
  <c r="K1026" i="1" s="1"/>
  <c r="J1027" i="1" s="1"/>
  <c r="K1027" i="1" s="1"/>
  <c r="J1028" i="1" s="1"/>
  <c r="K1028" i="1" s="1"/>
  <c r="J1029" i="1" s="1"/>
  <c r="K1029" i="1" s="1"/>
  <c r="J1030" i="1" s="1"/>
  <c r="K1030" i="1" s="1"/>
  <c r="J1031" i="1" s="1"/>
  <c r="K1031" i="1" s="1"/>
  <c r="J1032" i="1" s="1"/>
  <c r="K1032" i="1" s="1"/>
  <c r="J1033" i="1" s="1"/>
  <c r="K1033" i="1" s="1"/>
  <c r="J1034" i="1" s="1"/>
  <c r="K1034" i="1" s="1"/>
  <c r="J1035" i="1" s="1"/>
  <c r="K1035" i="1" s="1"/>
  <c r="J1036" i="1" s="1"/>
  <c r="K1036" i="1" s="1"/>
  <c r="J1037" i="1" s="1"/>
  <c r="K1037" i="1" s="1"/>
  <c r="J1038" i="1" s="1"/>
  <c r="K1038" i="1" s="1"/>
  <c r="J1039" i="1" s="1"/>
  <c r="K1039" i="1" s="1"/>
  <c r="J1044" i="1" s="1"/>
  <c r="K1044" i="1" s="1"/>
  <c r="J1045" i="1" s="1"/>
  <c r="K1045" i="1" s="1"/>
  <c r="J1046" i="1" s="1"/>
  <c r="K1046" i="1" s="1"/>
  <c r="J1047" i="1" s="1"/>
  <c r="K1047" i="1" s="1"/>
  <c r="J1048" i="1" s="1"/>
  <c r="K1048" i="1" s="1"/>
  <c r="J1049" i="1" s="1"/>
  <c r="K1049" i="1" s="1"/>
  <c r="J1050" i="1" s="1"/>
  <c r="K1050" i="1" s="1"/>
  <c r="J1051" i="1" s="1"/>
  <c r="K1051" i="1" s="1"/>
  <c r="J1052" i="1" s="1"/>
  <c r="K1052" i="1" s="1"/>
  <c r="J1053" i="1" s="1"/>
  <c r="K1053" i="1" s="1"/>
  <c r="J1054" i="1" s="1"/>
  <c r="K1054" i="1" s="1"/>
  <c r="J1055" i="1" s="1"/>
  <c r="K1055" i="1" s="1"/>
  <c r="J1056" i="1" s="1"/>
  <c r="K1056" i="1" s="1"/>
  <c r="J1057" i="1" s="1"/>
  <c r="K1057" i="1" s="1"/>
  <c r="J1058" i="1" s="1"/>
  <c r="K1058" i="1" s="1"/>
  <c r="J1059" i="1" s="1"/>
  <c r="K1059" i="1" s="1"/>
  <c r="J1060" i="1" s="1"/>
  <c r="K1060" i="1" s="1"/>
  <c r="J1061" i="1" s="1"/>
  <c r="K1061" i="1" s="1"/>
  <c r="J1062" i="1" s="1"/>
  <c r="K1062" i="1" s="1"/>
  <c r="J1063" i="1" s="1"/>
  <c r="K1063" i="1" s="1"/>
  <c r="J1064" i="1" s="1"/>
  <c r="K1064" i="1" s="1"/>
  <c r="J1065" i="1" s="1"/>
  <c r="K1065" i="1" s="1"/>
  <c r="J1066" i="1" s="1"/>
  <c r="K1066" i="1" s="1"/>
  <c r="J1067" i="1" s="1"/>
  <c r="K1067" i="1" s="1"/>
  <c r="J1068" i="1" s="1"/>
  <c r="K1068" i="1" s="1"/>
  <c r="J1069" i="1" s="1"/>
  <c r="K1069" i="1" s="1"/>
  <c r="J1070" i="1" s="1"/>
  <c r="K1070" i="1" s="1"/>
  <c r="J1071" i="1" s="1"/>
  <c r="K1071" i="1" s="1"/>
  <c r="J1072" i="1" s="1"/>
  <c r="K1072" i="1" s="1"/>
  <c r="J1073" i="1" s="1"/>
  <c r="K1073" i="1" s="1"/>
  <c r="J1074" i="1" s="1"/>
  <c r="K1074" i="1" s="1"/>
  <c r="J1075" i="1" s="1"/>
  <c r="K1075" i="1" s="1"/>
  <c r="J1076" i="1" s="1"/>
  <c r="K1076" i="1" s="1"/>
  <c r="J1077" i="1" s="1"/>
  <c r="K1077" i="1" s="1"/>
  <c r="J1080" i="1" s="1"/>
  <c r="K1080" i="1" s="1"/>
  <c r="J1081" i="1" s="1"/>
  <c r="K1081" i="1" s="1"/>
  <c r="J1082" i="1" s="1"/>
  <c r="K1082" i="1" s="1"/>
  <c r="J1083" i="1" s="1"/>
  <c r="K1083" i="1" s="1"/>
  <c r="J1084" i="1" s="1"/>
  <c r="K1084" i="1" s="1"/>
  <c r="J1085" i="1" s="1"/>
  <c r="K1085" i="1" s="1"/>
  <c r="J1086" i="1" s="1"/>
  <c r="K1086" i="1" s="1"/>
  <c r="J1087" i="1" s="1"/>
  <c r="K1087" i="1" s="1"/>
  <c r="J1088" i="1" s="1"/>
  <c r="K1088" i="1" s="1"/>
  <c r="J1089" i="1" s="1"/>
  <c r="K1089" i="1" s="1"/>
  <c r="J1090" i="1" s="1"/>
  <c r="K1090" i="1" s="1"/>
  <c r="J1091" i="1" s="1"/>
  <c r="K1091" i="1" s="1"/>
  <c r="J1092" i="1" s="1"/>
  <c r="K1092" i="1" s="1"/>
  <c r="J1093" i="1" s="1"/>
  <c r="K1093" i="1" s="1"/>
  <c r="J1094" i="1" s="1"/>
  <c r="K1094" i="1" s="1"/>
  <c r="J1095" i="1" s="1"/>
  <c r="K1095" i="1" s="1"/>
  <c r="J1096" i="1" s="1"/>
  <c r="K1096" i="1" s="1"/>
  <c r="J1097" i="1" s="1"/>
  <c r="K1097" i="1" s="1"/>
  <c r="J1098" i="1" s="1"/>
  <c r="K1098" i="1" s="1"/>
  <c r="J1099" i="1" s="1"/>
  <c r="K1099" i="1" s="1"/>
  <c r="J1100" i="1" s="1"/>
  <c r="K1100" i="1" s="1"/>
  <c r="J1101" i="1" s="1"/>
  <c r="K1101" i="1" s="1"/>
  <c r="J1102" i="1" s="1"/>
  <c r="K1102" i="1" s="1"/>
  <c r="J1103" i="1" s="1"/>
  <c r="K1103" i="1" s="1"/>
  <c r="J1104" i="1" s="1"/>
  <c r="K1104" i="1" s="1"/>
  <c r="J1105" i="1" s="1"/>
  <c r="K1105" i="1" s="1"/>
  <c r="J1106" i="1" s="1"/>
  <c r="K1106" i="1" s="1"/>
  <c r="J1107" i="1" s="1"/>
  <c r="K1107" i="1" s="1"/>
  <c r="J1108" i="1" s="1"/>
  <c r="K1108" i="1" s="1"/>
  <c r="J1109" i="1" s="1"/>
  <c r="K1109" i="1" s="1"/>
  <c r="J1110" i="1" s="1"/>
  <c r="K1110" i="1" s="1"/>
  <c r="J1111" i="1" s="1"/>
  <c r="K1111" i="1" s="1"/>
  <c r="J1112" i="1" s="1"/>
  <c r="K1112" i="1" s="1"/>
  <c r="J1113" i="1" s="1"/>
  <c r="K1113" i="1" s="1"/>
  <c r="J1114" i="1" s="1"/>
  <c r="K1114" i="1" s="1"/>
  <c r="J1115" i="1" s="1"/>
  <c r="K1115" i="1" s="1"/>
  <c r="J1116" i="1" s="1"/>
  <c r="K1116" i="1" s="1"/>
  <c r="J1117" i="1" s="1"/>
  <c r="K1117" i="1" s="1"/>
  <c r="J1118" i="1" s="1"/>
  <c r="K1118" i="1" s="1"/>
  <c r="J1119" i="1" s="1"/>
  <c r="K1119" i="1" s="1"/>
  <c r="J1120" i="1" s="1"/>
  <c r="K1120" i="1" s="1"/>
  <c r="J1121" i="1" s="1"/>
  <c r="K1121" i="1" s="1"/>
  <c r="J1122" i="1" s="1"/>
  <c r="K1122" i="1" s="1"/>
  <c r="J1123" i="1" s="1"/>
  <c r="K1123" i="1" s="1"/>
  <c r="J1126" i="1" s="1"/>
  <c r="K1126" i="1" s="1"/>
  <c r="J1127" i="1" s="1"/>
  <c r="K1127" i="1" s="1"/>
  <c r="J1128" i="1" s="1"/>
  <c r="K1128" i="1" s="1"/>
  <c r="J1129" i="1" s="1"/>
  <c r="K1129" i="1" s="1"/>
  <c r="J1130" i="1" s="1"/>
  <c r="K1130" i="1" s="1"/>
  <c r="J1131" i="1" s="1"/>
  <c r="K1131" i="1" s="1"/>
  <c r="J1132" i="1" s="1"/>
  <c r="K1132" i="1" s="1"/>
  <c r="J1133" i="1" s="1"/>
  <c r="K1133" i="1" s="1"/>
  <c r="J1134" i="1" s="1"/>
  <c r="K1134" i="1" s="1"/>
  <c r="J1135" i="1" s="1"/>
  <c r="K1135" i="1" s="1"/>
  <c r="J1136" i="1" s="1"/>
  <c r="K1136" i="1" s="1"/>
  <c r="J1137" i="1" s="1"/>
  <c r="K1137" i="1" s="1"/>
  <c r="J1138" i="1" s="1"/>
  <c r="K1138" i="1" s="1"/>
  <c r="J1139" i="1" s="1"/>
  <c r="K1139" i="1" s="1"/>
  <c r="J1140" i="1" s="1"/>
  <c r="K1140" i="1" s="1"/>
  <c r="J1141" i="1" s="1"/>
  <c r="K1141" i="1" s="1"/>
  <c r="J1142" i="1" s="1"/>
  <c r="K1142" i="1" s="1"/>
  <c r="J1143" i="1" s="1"/>
  <c r="K1143" i="1" s="1"/>
  <c r="J1144" i="1" s="1"/>
  <c r="K1144" i="1" s="1"/>
  <c r="J1145" i="1" s="1"/>
  <c r="K1145" i="1" s="1"/>
  <c r="J1146" i="1" s="1"/>
  <c r="K1146" i="1" s="1"/>
  <c r="J1147" i="1" s="1"/>
  <c r="K1147" i="1" s="1"/>
  <c r="J1148" i="1" s="1"/>
  <c r="K1148" i="1" s="1"/>
  <c r="J1149" i="1" s="1"/>
  <c r="K1149" i="1" s="1"/>
  <c r="J1150" i="1" s="1"/>
  <c r="K1150" i="1" s="1"/>
  <c r="J1151" i="1" s="1"/>
  <c r="K1151" i="1" s="1"/>
  <c r="J1152" i="1" s="1"/>
  <c r="K1152" i="1" s="1"/>
  <c r="J1153" i="1" s="1"/>
  <c r="K1153" i="1" s="1"/>
  <c r="J1154" i="1" s="1"/>
  <c r="K1154" i="1" s="1"/>
  <c r="J1155" i="1" s="1"/>
  <c r="K1155" i="1" s="1"/>
  <c r="J1156" i="1" s="1"/>
  <c r="K1156" i="1" s="1"/>
  <c r="J1157" i="1" s="1"/>
  <c r="K1157" i="1" s="1"/>
  <c r="J1158" i="1" s="1"/>
  <c r="K1158" i="1" s="1"/>
  <c r="J1159" i="1" s="1"/>
  <c r="K1159" i="1" s="1"/>
  <c r="J1160" i="1" s="1"/>
  <c r="K1160" i="1" s="1"/>
  <c r="J1161" i="1" s="1"/>
  <c r="K1161" i="1" s="1"/>
  <c r="J1162" i="1" s="1"/>
  <c r="K1162" i="1" s="1"/>
  <c r="J1163" i="1" s="1"/>
  <c r="K1163" i="1" s="1"/>
  <c r="J1164" i="1" s="1"/>
  <c r="K1164" i="1" s="1"/>
  <c r="J1165" i="1" s="1"/>
  <c r="K1165" i="1" s="1"/>
  <c r="J1166" i="1" s="1"/>
  <c r="K1166" i="1" s="1"/>
  <c r="J1167" i="1" s="1"/>
  <c r="K1167" i="1" s="1"/>
  <c r="J1168" i="1" s="1"/>
  <c r="K1168" i="1" s="1"/>
  <c r="J1169" i="1" s="1"/>
  <c r="K1169" i="1" s="1"/>
  <c r="K615" i="1"/>
  <c r="G593" i="1"/>
  <c r="G583" i="1"/>
  <c r="G567" i="1"/>
  <c r="G555" i="1"/>
  <c r="G547" i="1"/>
  <c r="G539" i="1"/>
  <c r="G532" i="1"/>
  <c r="G522" i="1"/>
  <c r="G510" i="1"/>
  <c r="G496" i="1"/>
  <c r="G480" i="1"/>
  <c r="G474" i="1"/>
  <c r="G464" i="1"/>
  <c r="G456" i="1"/>
  <c r="G452" i="1"/>
  <c r="G444" i="1"/>
  <c r="G430" i="1"/>
  <c r="G414" i="1"/>
  <c r="G408" i="1"/>
  <c r="G398" i="1"/>
  <c r="G386" i="1"/>
  <c r="G378" i="1"/>
  <c r="G368" i="1"/>
  <c r="G356" i="1"/>
  <c r="G350" i="1"/>
  <c r="G344" i="1"/>
  <c r="G334" i="1"/>
  <c r="G330" i="1"/>
  <c r="G316" i="1"/>
  <c r="G302" i="1"/>
  <c r="G292" i="1"/>
  <c r="G288" i="1"/>
  <c r="G276" i="1"/>
  <c r="G270" i="1"/>
  <c r="G258" i="1"/>
  <c r="G252" i="1"/>
  <c r="G240" i="1"/>
  <c r="G230" i="1"/>
  <c r="G220" i="1"/>
  <c r="G210" i="1"/>
  <c r="G206" i="1"/>
  <c r="G200" i="1"/>
  <c r="K188" i="1"/>
  <c r="J189" i="1" s="1"/>
  <c r="K189" i="1" s="1"/>
  <c r="J192" i="1" s="1"/>
  <c r="K192" i="1" s="1"/>
  <c r="J193" i="1" s="1"/>
  <c r="K193" i="1" s="1"/>
  <c r="J194" i="1" s="1"/>
  <c r="K194" i="1" s="1"/>
  <c r="J195" i="1" s="1"/>
  <c r="K195" i="1" s="1"/>
  <c r="J196" i="1" s="1"/>
  <c r="K196" i="1" s="1"/>
  <c r="J197" i="1" s="1"/>
  <c r="K197" i="1" s="1"/>
  <c r="J198" i="1" s="1"/>
  <c r="K198" i="1" s="1"/>
  <c r="J199" i="1" s="1"/>
  <c r="K199" i="1" s="1"/>
  <c r="J200" i="1" s="1"/>
  <c r="K200" i="1" s="1"/>
  <c r="J201" i="1" s="1"/>
  <c r="K201" i="1" s="1"/>
  <c r="J202" i="1" s="1"/>
  <c r="K202" i="1" s="1"/>
  <c r="J203" i="1" s="1"/>
  <c r="K203" i="1" s="1"/>
  <c r="J204" i="1" s="1"/>
  <c r="K204" i="1" s="1"/>
  <c r="J205" i="1" s="1"/>
  <c r="K205" i="1" s="1"/>
  <c r="J206" i="1" s="1"/>
  <c r="K206" i="1" s="1"/>
  <c r="J207" i="1" s="1"/>
  <c r="K207" i="1" s="1"/>
  <c r="J208" i="1" s="1"/>
  <c r="K208" i="1" s="1"/>
  <c r="J209" i="1" s="1"/>
  <c r="K209" i="1" s="1"/>
  <c r="J210" i="1" s="1"/>
  <c r="K210" i="1" s="1"/>
  <c r="J211" i="1" s="1"/>
  <c r="K211" i="1" s="1"/>
  <c r="J212" i="1" s="1"/>
  <c r="K212" i="1" s="1"/>
  <c r="J213" i="1" s="1"/>
  <c r="K213" i="1" s="1"/>
  <c r="J214" i="1" s="1"/>
  <c r="K214" i="1" s="1"/>
  <c r="J215" i="1" s="1"/>
  <c r="K215" i="1" s="1"/>
  <c r="J216" i="1" s="1"/>
  <c r="K216" i="1" s="1"/>
  <c r="J217" i="1" s="1"/>
  <c r="K217" i="1" s="1"/>
  <c r="J218" i="1" s="1"/>
  <c r="K218" i="1" s="1"/>
  <c r="J219" i="1" s="1"/>
  <c r="K219" i="1" s="1"/>
  <c r="J220" i="1" s="1"/>
  <c r="K220" i="1" s="1"/>
  <c r="J221" i="1" s="1"/>
  <c r="K221" i="1" s="1"/>
  <c r="J222" i="1" s="1"/>
  <c r="K222" i="1" s="1"/>
  <c r="J223" i="1" s="1"/>
  <c r="K223" i="1" s="1"/>
  <c r="J224" i="1" s="1"/>
  <c r="K224" i="1" s="1"/>
  <c r="J225" i="1" s="1"/>
  <c r="K225" i="1" s="1"/>
  <c r="J226" i="1" s="1"/>
  <c r="K226" i="1" s="1"/>
  <c r="J227" i="1" s="1"/>
  <c r="K227" i="1" s="1"/>
  <c r="J228" i="1" s="1"/>
  <c r="K228" i="1" s="1"/>
  <c r="J229" i="1" s="1"/>
  <c r="K229" i="1" s="1"/>
  <c r="J230" i="1" s="1"/>
  <c r="K230" i="1" s="1"/>
  <c r="J231" i="1" s="1"/>
  <c r="K231" i="1" s="1"/>
  <c r="J232" i="1" s="1"/>
  <c r="K232" i="1" s="1"/>
  <c r="J233" i="1" s="1"/>
  <c r="K233" i="1" s="1"/>
  <c r="J234" i="1" s="1"/>
  <c r="K234" i="1" s="1"/>
  <c r="J235" i="1" s="1"/>
  <c r="K235" i="1" s="1"/>
  <c r="J236" i="1" s="1"/>
  <c r="K236" i="1" s="1"/>
  <c r="J237" i="1" s="1"/>
  <c r="K237" i="1" s="1"/>
  <c r="J240" i="1" s="1"/>
  <c r="K240" i="1" s="1"/>
  <c r="J241" i="1" s="1"/>
  <c r="K241" i="1" s="1"/>
  <c r="J242" i="1" s="1"/>
  <c r="K242" i="1" s="1"/>
  <c r="J243" i="1" s="1"/>
  <c r="K243" i="1" s="1"/>
  <c r="J244" i="1" s="1"/>
  <c r="K244" i="1" s="1"/>
  <c r="J245" i="1" s="1"/>
  <c r="K245" i="1" s="1"/>
  <c r="J246" i="1" s="1"/>
  <c r="K246" i="1" s="1"/>
  <c r="J247" i="1" s="1"/>
  <c r="K247" i="1" s="1"/>
  <c r="J248" i="1" s="1"/>
  <c r="K248" i="1" s="1"/>
  <c r="J249" i="1" s="1"/>
  <c r="K249" i="1" s="1"/>
  <c r="J250" i="1" s="1"/>
  <c r="K250" i="1" s="1"/>
  <c r="J251" i="1" s="1"/>
  <c r="K251" i="1" s="1"/>
  <c r="J252" i="1" s="1"/>
  <c r="K252" i="1" s="1"/>
  <c r="J253" i="1" s="1"/>
  <c r="K253" i="1" s="1"/>
  <c r="J254" i="1" s="1"/>
  <c r="K254" i="1" s="1"/>
  <c r="J255" i="1" s="1"/>
  <c r="K255" i="1" s="1"/>
  <c r="J256" i="1" s="1"/>
  <c r="K256" i="1" s="1"/>
  <c r="J257" i="1" s="1"/>
  <c r="K257" i="1" s="1"/>
  <c r="J258" i="1" s="1"/>
  <c r="K258" i="1" s="1"/>
  <c r="J259" i="1" s="1"/>
  <c r="K259" i="1" s="1"/>
  <c r="J260" i="1" s="1"/>
  <c r="K260" i="1" s="1"/>
  <c r="J261" i="1" s="1"/>
  <c r="K261" i="1" s="1"/>
  <c r="J262" i="1" s="1"/>
  <c r="K262" i="1" s="1"/>
  <c r="J263" i="1" s="1"/>
  <c r="K263" i="1" s="1"/>
  <c r="J264" i="1" s="1"/>
  <c r="K264" i="1" s="1"/>
  <c r="J265" i="1" s="1"/>
  <c r="K265" i="1" s="1"/>
  <c r="J266" i="1" s="1"/>
  <c r="K266" i="1" s="1"/>
  <c r="J267" i="1" s="1"/>
  <c r="K267" i="1" s="1"/>
  <c r="J268" i="1" s="1"/>
  <c r="K268" i="1" s="1"/>
  <c r="J269" i="1" s="1"/>
  <c r="K269" i="1" s="1"/>
  <c r="J270" i="1" s="1"/>
  <c r="K270" i="1" s="1"/>
  <c r="J271" i="1" s="1"/>
  <c r="K271" i="1" s="1"/>
  <c r="J272" i="1" s="1"/>
  <c r="K272" i="1" s="1"/>
  <c r="J273" i="1" s="1"/>
  <c r="K273" i="1" s="1"/>
  <c r="J274" i="1" s="1"/>
  <c r="K274" i="1" s="1"/>
  <c r="J275" i="1" s="1"/>
  <c r="K275" i="1" s="1"/>
  <c r="J276" i="1" s="1"/>
  <c r="K276" i="1" s="1"/>
  <c r="J277" i="1" s="1"/>
  <c r="K277" i="1" s="1"/>
  <c r="J278" i="1" s="1"/>
  <c r="K278" i="1" s="1"/>
  <c r="J279" i="1" s="1"/>
  <c r="K279" i="1" s="1"/>
  <c r="J280" i="1" s="1"/>
  <c r="K280" i="1" s="1"/>
  <c r="J281" i="1" s="1"/>
  <c r="K281" i="1" s="1"/>
  <c r="J282" i="1" s="1"/>
  <c r="K282" i="1" s="1"/>
  <c r="J283" i="1" s="1"/>
  <c r="K283" i="1" s="1"/>
  <c r="J284" i="1" s="1"/>
  <c r="K284" i="1" s="1"/>
  <c r="J285" i="1" s="1"/>
  <c r="K285" i="1" s="1"/>
  <c r="J286" i="1" s="1"/>
  <c r="K286" i="1" s="1"/>
  <c r="J287" i="1" s="1"/>
  <c r="K287" i="1" s="1"/>
  <c r="J288" i="1" s="1"/>
  <c r="K288" i="1" s="1"/>
  <c r="J289" i="1" s="1"/>
  <c r="K289" i="1" s="1"/>
  <c r="J290" i="1" s="1"/>
  <c r="K290" i="1" s="1"/>
  <c r="J291" i="1" s="1"/>
  <c r="K291" i="1" s="1"/>
  <c r="J292" i="1" s="1"/>
  <c r="K292" i="1" s="1"/>
  <c r="J293" i="1" s="1"/>
  <c r="K293" i="1" s="1"/>
  <c r="J294" i="1" s="1"/>
  <c r="K294" i="1" s="1"/>
  <c r="J295" i="1" s="1"/>
  <c r="K295" i="1" s="1"/>
  <c r="J296" i="1" s="1"/>
  <c r="K296" i="1" s="1"/>
  <c r="J297" i="1" s="1"/>
  <c r="K297" i="1" s="1"/>
  <c r="J298" i="1" s="1"/>
  <c r="K298" i="1" s="1"/>
  <c r="J299" i="1" s="1"/>
  <c r="K299" i="1" s="1"/>
  <c r="J300" i="1" s="1"/>
  <c r="K300" i="1" s="1"/>
  <c r="J301" i="1" s="1"/>
  <c r="K301" i="1" s="1"/>
  <c r="J302" i="1" s="1"/>
  <c r="K302" i="1" s="1"/>
  <c r="J303" i="1" s="1"/>
  <c r="K303" i="1" s="1"/>
  <c r="J304" i="1" s="1"/>
  <c r="K304" i="1" s="1"/>
  <c r="J305" i="1" s="1"/>
  <c r="K305" i="1" s="1"/>
  <c r="J306" i="1" s="1"/>
  <c r="K306" i="1" s="1"/>
  <c r="J307" i="1" s="1"/>
  <c r="K307" i="1" s="1"/>
  <c r="J310" i="1" s="1"/>
  <c r="K310" i="1" s="1"/>
  <c r="J311" i="1" s="1"/>
  <c r="K311" i="1" s="1"/>
  <c r="J312" i="1" s="1"/>
  <c r="K312" i="1" s="1"/>
  <c r="J313" i="1" s="1"/>
  <c r="K313" i="1" s="1"/>
  <c r="J314" i="1" s="1"/>
  <c r="K314" i="1" s="1"/>
  <c r="J315" i="1" s="1"/>
  <c r="K315" i="1" s="1"/>
  <c r="J316" i="1" s="1"/>
  <c r="K316" i="1" s="1"/>
  <c r="J317" i="1" s="1"/>
  <c r="K317" i="1" s="1"/>
  <c r="J318" i="1" s="1"/>
  <c r="K318" i="1" s="1"/>
  <c r="J319" i="1" s="1"/>
  <c r="K319" i="1" s="1"/>
  <c r="J320" i="1" s="1"/>
  <c r="K320" i="1" s="1"/>
  <c r="J321" i="1" s="1"/>
  <c r="K321" i="1" s="1"/>
  <c r="J322" i="1" s="1"/>
  <c r="K322" i="1" s="1"/>
  <c r="J323" i="1" s="1"/>
  <c r="K323" i="1" s="1"/>
  <c r="J324" i="1" s="1"/>
  <c r="K324" i="1" s="1"/>
  <c r="J325" i="1" s="1"/>
  <c r="K325" i="1" s="1"/>
  <c r="J326" i="1" s="1"/>
  <c r="K326" i="1" s="1"/>
  <c r="J327" i="1" s="1"/>
  <c r="K327" i="1" s="1"/>
  <c r="J328" i="1" s="1"/>
  <c r="K328" i="1" s="1"/>
  <c r="J329" i="1" s="1"/>
  <c r="K329" i="1" s="1"/>
  <c r="J330" i="1" s="1"/>
  <c r="K330" i="1" s="1"/>
  <c r="J331" i="1" s="1"/>
  <c r="K331" i="1" s="1"/>
  <c r="J332" i="1" s="1"/>
  <c r="K332" i="1" s="1"/>
  <c r="J333" i="1" s="1"/>
  <c r="K333" i="1" s="1"/>
  <c r="J334" i="1" s="1"/>
  <c r="K334" i="1" s="1"/>
  <c r="J335" i="1" s="1"/>
  <c r="K335" i="1" s="1"/>
  <c r="J336" i="1" s="1"/>
  <c r="K336" i="1" s="1"/>
  <c r="J337" i="1" s="1"/>
  <c r="K337" i="1" s="1"/>
  <c r="J338" i="1" s="1"/>
  <c r="K338" i="1" s="1"/>
  <c r="J339" i="1" s="1"/>
  <c r="K339" i="1" s="1"/>
  <c r="J340" i="1" s="1"/>
  <c r="K340" i="1" s="1"/>
  <c r="J341" i="1" s="1"/>
  <c r="K341" i="1" s="1"/>
  <c r="J342" i="1" s="1"/>
  <c r="K342" i="1" s="1"/>
  <c r="J343" i="1" s="1"/>
  <c r="K343" i="1" s="1"/>
  <c r="J344" i="1" s="1"/>
  <c r="K344" i="1" s="1"/>
  <c r="J345" i="1" s="1"/>
  <c r="K345" i="1" s="1"/>
  <c r="J346" i="1" s="1"/>
  <c r="K346" i="1" s="1"/>
  <c r="J347" i="1" s="1"/>
  <c r="K347" i="1" s="1"/>
  <c r="J348" i="1" s="1"/>
  <c r="K348" i="1" s="1"/>
  <c r="J349" i="1" s="1"/>
  <c r="K349" i="1" s="1"/>
  <c r="J350" i="1" s="1"/>
  <c r="K350" i="1" s="1"/>
  <c r="J351" i="1" s="1"/>
  <c r="K351" i="1" s="1"/>
  <c r="J352" i="1" s="1"/>
  <c r="K352" i="1" s="1"/>
  <c r="J353" i="1" s="1"/>
  <c r="K353" i="1" s="1"/>
  <c r="J356" i="1" s="1"/>
  <c r="K356" i="1" s="1"/>
  <c r="J357" i="1" s="1"/>
  <c r="K357" i="1" s="1"/>
  <c r="J358" i="1" s="1"/>
  <c r="K358" i="1" s="1"/>
  <c r="J359" i="1" s="1"/>
  <c r="K359" i="1" s="1"/>
  <c r="J360" i="1" s="1"/>
  <c r="K360" i="1" s="1"/>
  <c r="J361" i="1" s="1"/>
  <c r="K361" i="1" s="1"/>
  <c r="J362" i="1" s="1"/>
  <c r="K362" i="1" s="1"/>
  <c r="J363" i="1" s="1"/>
  <c r="K363" i="1" s="1"/>
  <c r="J364" i="1" s="1"/>
  <c r="K364" i="1" s="1"/>
  <c r="J365" i="1" s="1"/>
  <c r="K365" i="1" s="1"/>
  <c r="J366" i="1" s="1"/>
  <c r="K366" i="1" s="1"/>
  <c r="J367" i="1" s="1"/>
  <c r="K367" i="1" s="1"/>
  <c r="J368" i="1" s="1"/>
  <c r="K368" i="1" s="1"/>
  <c r="J369" i="1" s="1"/>
  <c r="K369" i="1" s="1"/>
  <c r="J370" i="1" s="1"/>
  <c r="K370" i="1" s="1"/>
  <c r="J371" i="1" s="1"/>
  <c r="K371" i="1" s="1"/>
  <c r="J372" i="1" s="1"/>
  <c r="K372" i="1" s="1"/>
  <c r="J373" i="1" s="1"/>
  <c r="K373" i="1" s="1"/>
  <c r="J374" i="1" s="1"/>
  <c r="K374" i="1" s="1"/>
  <c r="J375" i="1" s="1"/>
  <c r="K375" i="1" s="1"/>
  <c r="J376" i="1" s="1"/>
  <c r="K376" i="1" s="1"/>
  <c r="J377" i="1" s="1"/>
  <c r="K377" i="1" s="1"/>
  <c r="J378" i="1" s="1"/>
  <c r="K378" i="1" s="1"/>
  <c r="J379" i="1" s="1"/>
  <c r="K379" i="1" s="1"/>
  <c r="J380" i="1" s="1"/>
  <c r="K380" i="1" s="1"/>
  <c r="J381" i="1" s="1"/>
  <c r="K381" i="1" s="1"/>
  <c r="J382" i="1" s="1"/>
  <c r="K382" i="1" s="1"/>
  <c r="J383" i="1" s="1"/>
  <c r="K383" i="1" s="1"/>
  <c r="J384" i="1" s="1"/>
  <c r="K384" i="1" s="1"/>
  <c r="J385" i="1" s="1"/>
  <c r="K385" i="1" s="1"/>
  <c r="J386" i="1" s="1"/>
  <c r="K386" i="1" s="1"/>
  <c r="J387" i="1" s="1"/>
  <c r="K387" i="1" s="1"/>
  <c r="J388" i="1" s="1"/>
  <c r="K388" i="1" s="1"/>
  <c r="J389" i="1" s="1"/>
  <c r="K389" i="1" s="1"/>
  <c r="J390" i="1" s="1"/>
  <c r="K390" i="1" s="1"/>
  <c r="J391" i="1" s="1"/>
  <c r="K391" i="1" s="1"/>
  <c r="J392" i="1" s="1"/>
  <c r="K392" i="1" s="1"/>
  <c r="J393" i="1" s="1"/>
  <c r="K393" i="1" s="1"/>
  <c r="J394" i="1" s="1"/>
  <c r="K394" i="1" s="1"/>
  <c r="J395" i="1" s="1"/>
  <c r="K395" i="1" s="1"/>
  <c r="J396" i="1" s="1"/>
  <c r="K396" i="1" s="1"/>
  <c r="J397" i="1" s="1"/>
  <c r="K397" i="1" s="1"/>
  <c r="J398" i="1" s="1"/>
  <c r="K398" i="1" s="1"/>
  <c r="J399" i="1" s="1"/>
  <c r="K399" i="1" s="1"/>
  <c r="J400" i="1" s="1"/>
  <c r="K400" i="1" s="1"/>
  <c r="J401" i="1" s="1"/>
  <c r="K401" i="1" s="1"/>
  <c r="J402" i="1" s="1"/>
  <c r="K402" i="1" s="1"/>
  <c r="J403" i="1" s="1"/>
  <c r="K403" i="1" s="1"/>
  <c r="J404" i="1" s="1"/>
  <c r="K404" i="1" s="1"/>
  <c r="J405" i="1" s="1"/>
  <c r="K405" i="1" s="1"/>
  <c r="J406" i="1" s="1"/>
  <c r="K406" i="1" s="1"/>
  <c r="J407" i="1" s="1"/>
  <c r="K407" i="1" s="1"/>
  <c r="J408" i="1" s="1"/>
  <c r="K408" i="1" s="1"/>
  <c r="J409" i="1" s="1"/>
  <c r="K409" i="1" s="1"/>
  <c r="J410" i="1" s="1"/>
  <c r="K410" i="1" s="1"/>
  <c r="J411" i="1" s="1"/>
  <c r="K411" i="1" s="1"/>
  <c r="J412" i="1" s="1"/>
  <c r="K412" i="1" s="1"/>
  <c r="J413" i="1" s="1"/>
  <c r="K413" i="1" s="1"/>
  <c r="J414" i="1" s="1"/>
  <c r="K414" i="1" s="1"/>
  <c r="J415" i="1" s="1"/>
  <c r="K415" i="1" s="1"/>
  <c r="J416" i="1" s="1"/>
  <c r="K416" i="1" s="1"/>
  <c r="J417" i="1" s="1"/>
  <c r="K417" i="1" s="1"/>
  <c r="J418" i="1" s="1"/>
  <c r="K418" i="1" s="1"/>
  <c r="J419" i="1" s="1"/>
  <c r="K419" i="1" s="1"/>
  <c r="J420" i="1" s="1"/>
  <c r="K420" i="1" s="1"/>
  <c r="J421" i="1" s="1"/>
  <c r="K421" i="1" s="1"/>
  <c r="J424" i="1" s="1"/>
  <c r="K424" i="1" s="1"/>
  <c r="J425" i="1" s="1"/>
  <c r="K425" i="1" s="1"/>
  <c r="J426" i="1" s="1"/>
  <c r="K426" i="1" s="1"/>
  <c r="J427" i="1" s="1"/>
  <c r="K427" i="1" s="1"/>
  <c r="J428" i="1" s="1"/>
  <c r="K428" i="1" s="1"/>
  <c r="J429" i="1" s="1"/>
  <c r="K429" i="1" s="1"/>
  <c r="J430" i="1" s="1"/>
  <c r="K430" i="1" s="1"/>
  <c r="J431" i="1" s="1"/>
  <c r="K431" i="1" s="1"/>
  <c r="J432" i="1" s="1"/>
  <c r="K432" i="1" s="1"/>
  <c r="J433" i="1" s="1"/>
  <c r="K433" i="1" s="1"/>
  <c r="J434" i="1" s="1"/>
  <c r="K434" i="1" s="1"/>
  <c r="J435" i="1" s="1"/>
  <c r="K435" i="1" s="1"/>
  <c r="J436" i="1" s="1"/>
  <c r="K436" i="1" s="1"/>
  <c r="J437" i="1" s="1"/>
  <c r="K437" i="1" s="1"/>
  <c r="J438" i="1" s="1"/>
  <c r="K438" i="1" s="1"/>
  <c r="J439" i="1" s="1"/>
  <c r="K439" i="1" s="1"/>
  <c r="J440" i="1" s="1"/>
  <c r="K440" i="1" s="1"/>
  <c r="J441" i="1" s="1"/>
  <c r="K441" i="1" s="1"/>
  <c r="J442" i="1" s="1"/>
  <c r="K442" i="1" s="1"/>
  <c r="J443" i="1" s="1"/>
  <c r="K443" i="1" s="1"/>
  <c r="J444" i="1" s="1"/>
  <c r="K444" i="1" s="1"/>
  <c r="J445" i="1" s="1"/>
  <c r="K445" i="1" s="1"/>
  <c r="J446" i="1" s="1"/>
  <c r="K446" i="1" s="1"/>
  <c r="J447" i="1" s="1"/>
  <c r="K447" i="1" s="1"/>
  <c r="J448" i="1" s="1"/>
  <c r="K448" i="1" s="1"/>
  <c r="J449" i="1" s="1"/>
  <c r="K449" i="1" s="1"/>
  <c r="J450" i="1" s="1"/>
  <c r="K450" i="1" s="1"/>
  <c r="J451" i="1" s="1"/>
  <c r="K451" i="1" s="1"/>
  <c r="J452" i="1" s="1"/>
  <c r="K452" i="1" s="1"/>
  <c r="J453" i="1" s="1"/>
  <c r="K453" i="1" s="1"/>
  <c r="J454" i="1" s="1"/>
  <c r="K454" i="1" s="1"/>
  <c r="J455" i="1" s="1"/>
  <c r="K455" i="1" s="1"/>
  <c r="J456" i="1" s="1"/>
  <c r="K456" i="1" s="1"/>
  <c r="J457" i="1" s="1"/>
  <c r="K457" i="1" s="1"/>
  <c r="J458" i="1" s="1"/>
  <c r="K458" i="1" s="1"/>
  <c r="J459" i="1" s="1"/>
  <c r="K459" i="1" s="1"/>
  <c r="J460" i="1" s="1"/>
  <c r="K460" i="1" s="1"/>
  <c r="J461" i="1" s="1"/>
  <c r="K461" i="1" s="1"/>
  <c r="J462" i="1" s="1"/>
  <c r="K462" i="1" s="1"/>
  <c r="J463" i="1" s="1"/>
  <c r="K463" i="1" s="1"/>
  <c r="J464" i="1" s="1"/>
  <c r="K464" i="1" s="1"/>
  <c r="J465" i="1" s="1"/>
  <c r="K465" i="1" s="1"/>
  <c r="J466" i="1" s="1"/>
  <c r="K466" i="1" s="1"/>
  <c r="J467" i="1" s="1"/>
  <c r="K467" i="1" s="1"/>
  <c r="J468" i="1" s="1"/>
  <c r="K468" i="1" s="1"/>
  <c r="J469" i="1" s="1"/>
  <c r="K469" i="1" s="1"/>
  <c r="J470" i="1" s="1"/>
  <c r="K470" i="1" s="1"/>
  <c r="J471" i="1" s="1"/>
  <c r="K471" i="1" s="1"/>
  <c r="J474" i="1" s="1"/>
  <c r="K474" i="1" s="1"/>
  <c r="J475" i="1" s="1"/>
  <c r="K475" i="1" s="1"/>
  <c r="J476" i="1" s="1"/>
  <c r="K476" i="1" s="1"/>
  <c r="J477" i="1" s="1"/>
  <c r="K477" i="1" s="1"/>
  <c r="J478" i="1" s="1"/>
  <c r="K478" i="1" s="1"/>
  <c r="J479" i="1" s="1"/>
  <c r="K479" i="1" s="1"/>
  <c r="J480" i="1" s="1"/>
  <c r="K480" i="1" s="1"/>
  <c r="J481" i="1" s="1"/>
  <c r="K481" i="1" s="1"/>
  <c r="J482" i="1" s="1"/>
  <c r="K482" i="1" s="1"/>
  <c r="J483" i="1" s="1"/>
  <c r="K483" i="1" s="1"/>
  <c r="J484" i="1" s="1"/>
  <c r="K484" i="1" s="1"/>
  <c r="J485" i="1" s="1"/>
  <c r="K485" i="1" s="1"/>
  <c r="J486" i="1" s="1"/>
  <c r="K486" i="1" s="1"/>
  <c r="J487" i="1" s="1"/>
  <c r="K487" i="1" s="1"/>
  <c r="J488" i="1" s="1"/>
  <c r="K488" i="1" s="1"/>
  <c r="J489" i="1" s="1"/>
  <c r="K489" i="1" s="1"/>
  <c r="J490" i="1" s="1"/>
  <c r="K490" i="1" s="1"/>
  <c r="J491" i="1" s="1"/>
  <c r="K491" i="1" s="1"/>
  <c r="J492" i="1" s="1"/>
  <c r="K492" i="1" s="1"/>
  <c r="J493" i="1" s="1"/>
  <c r="K493" i="1" s="1"/>
  <c r="J494" i="1" s="1"/>
  <c r="K494" i="1" s="1"/>
  <c r="J495" i="1" s="1"/>
  <c r="K495" i="1" s="1"/>
  <c r="J496" i="1" s="1"/>
  <c r="K496" i="1" s="1"/>
  <c r="J497" i="1" s="1"/>
  <c r="K497" i="1" s="1"/>
  <c r="J498" i="1" s="1"/>
  <c r="K498" i="1" s="1"/>
  <c r="J499" i="1" s="1"/>
  <c r="K499" i="1" s="1"/>
  <c r="J500" i="1" s="1"/>
  <c r="K500" i="1" s="1"/>
  <c r="J501" i="1" s="1"/>
  <c r="K501" i="1" s="1"/>
  <c r="J502" i="1" s="1"/>
  <c r="K502" i="1" s="1"/>
  <c r="J503" i="1" s="1"/>
  <c r="K503" i="1" s="1"/>
  <c r="J504" i="1" s="1"/>
  <c r="K504" i="1" s="1"/>
  <c r="J505" i="1" s="1"/>
  <c r="K505" i="1" s="1"/>
  <c r="J506" i="1" s="1"/>
  <c r="K506" i="1" s="1"/>
  <c r="J507" i="1" s="1"/>
  <c r="K507" i="1" s="1"/>
  <c r="J508" i="1" s="1"/>
  <c r="K508" i="1" s="1"/>
  <c r="J509" i="1" s="1"/>
  <c r="K509" i="1" s="1"/>
  <c r="J510" i="1" s="1"/>
  <c r="K510" i="1" s="1"/>
  <c r="J511" i="1" s="1"/>
  <c r="K511" i="1" s="1"/>
  <c r="J512" i="1" s="1"/>
  <c r="K512" i="1" s="1"/>
  <c r="J513" i="1" s="1"/>
  <c r="K513" i="1" s="1"/>
  <c r="J514" i="1" s="1"/>
  <c r="K514" i="1" s="1"/>
  <c r="J515" i="1" s="1"/>
  <c r="K515" i="1" s="1"/>
  <c r="J516" i="1" s="1"/>
  <c r="K516" i="1" s="1"/>
  <c r="J517" i="1" s="1"/>
  <c r="K517" i="1" s="1"/>
  <c r="J518" i="1" s="1"/>
  <c r="K518" i="1" s="1"/>
  <c r="J519" i="1" s="1"/>
  <c r="K519" i="1" s="1"/>
  <c r="J520" i="1" s="1"/>
  <c r="K520" i="1" s="1"/>
  <c r="J521" i="1" s="1"/>
  <c r="K521" i="1" s="1"/>
  <c r="J522" i="1" s="1"/>
  <c r="K522" i="1" s="1"/>
  <c r="J523" i="1" s="1"/>
  <c r="K523" i="1" s="1"/>
  <c r="J524" i="1" s="1"/>
  <c r="K524" i="1" s="1"/>
  <c r="J525" i="1" s="1"/>
  <c r="K525" i="1" s="1"/>
  <c r="J526" i="1" s="1"/>
  <c r="K526" i="1" s="1"/>
  <c r="J527" i="1" s="1"/>
  <c r="K527" i="1" s="1"/>
  <c r="J528" i="1" s="1"/>
  <c r="K528" i="1" s="1"/>
  <c r="J529" i="1" s="1"/>
  <c r="K529" i="1" s="1"/>
  <c r="J530" i="1" s="1"/>
  <c r="K530" i="1" s="1"/>
  <c r="J531" i="1" s="1"/>
  <c r="K531" i="1" s="1"/>
  <c r="J532" i="1" s="1"/>
  <c r="K532" i="1" s="1"/>
  <c r="J533" i="1" s="1"/>
  <c r="K533" i="1" s="1"/>
  <c r="J534" i="1" s="1"/>
  <c r="K534" i="1" s="1"/>
  <c r="J535" i="1" s="1"/>
  <c r="K535" i="1" s="1"/>
  <c r="J536" i="1" s="1"/>
  <c r="K536" i="1" s="1"/>
  <c r="J537" i="1" s="1"/>
  <c r="K537" i="1" s="1"/>
  <c r="J539" i="1" s="1"/>
  <c r="K539" i="1" s="1"/>
  <c r="J540" i="1" s="1"/>
  <c r="K540" i="1" s="1"/>
  <c r="J541" i="1" s="1"/>
  <c r="K541" i="1" s="1"/>
  <c r="J542" i="1" s="1"/>
  <c r="K542" i="1" s="1"/>
  <c r="J543" i="1" s="1"/>
  <c r="K543" i="1" s="1"/>
  <c r="J544" i="1" s="1"/>
  <c r="K544" i="1" s="1"/>
  <c r="J545" i="1" s="1"/>
  <c r="K545" i="1" s="1"/>
  <c r="J546" i="1" s="1"/>
  <c r="K546" i="1" s="1"/>
  <c r="J547" i="1" s="1"/>
  <c r="K547" i="1" s="1"/>
  <c r="J548" i="1" s="1"/>
  <c r="K548" i="1" s="1"/>
  <c r="J549" i="1" s="1"/>
  <c r="K549" i="1" s="1"/>
  <c r="J550" i="1" s="1"/>
  <c r="K550" i="1" s="1"/>
  <c r="J551" i="1" s="1"/>
  <c r="K551" i="1" s="1"/>
  <c r="J552" i="1" s="1"/>
  <c r="K552" i="1" s="1"/>
  <c r="J553" i="1" s="1"/>
  <c r="K553" i="1" s="1"/>
  <c r="J554" i="1" s="1"/>
  <c r="K554" i="1" s="1"/>
  <c r="J555" i="1" s="1"/>
  <c r="K555" i="1" s="1"/>
  <c r="J556" i="1" s="1"/>
  <c r="K556" i="1" s="1"/>
  <c r="J557" i="1" s="1"/>
  <c r="K557" i="1" s="1"/>
  <c r="J558" i="1" s="1"/>
  <c r="K558" i="1" s="1"/>
  <c r="J559" i="1" s="1"/>
  <c r="K559" i="1" s="1"/>
  <c r="J560" i="1" s="1"/>
  <c r="K560" i="1" s="1"/>
  <c r="J561" i="1" s="1"/>
  <c r="K561" i="1" s="1"/>
  <c r="J562" i="1" s="1"/>
  <c r="K562" i="1" s="1"/>
  <c r="J563" i="1" s="1"/>
  <c r="K563" i="1" s="1"/>
  <c r="J564" i="1" s="1"/>
  <c r="K564" i="1" s="1"/>
  <c r="J565" i="1" s="1"/>
  <c r="K565" i="1" s="1"/>
  <c r="J566" i="1" s="1"/>
  <c r="K566" i="1" s="1"/>
  <c r="J567" i="1" s="1"/>
  <c r="K567" i="1" s="1"/>
  <c r="J568" i="1" s="1"/>
  <c r="K568" i="1" s="1"/>
  <c r="J569" i="1" s="1"/>
  <c r="K569" i="1" s="1"/>
  <c r="J570" i="1" s="1"/>
  <c r="K570" i="1" s="1"/>
  <c r="J571" i="1" s="1"/>
  <c r="K571" i="1" s="1"/>
  <c r="J572" i="1" s="1"/>
  <c r="K572" i="1" s="1"/>
  <c r="J573" i="1" s="1"/>
  <c r="K573" i="1" s="1"/>
  <c r="J574" i="1" s="1"/>
  <c r="K574" i="1" s="1"/>
  <c r="J575" i="1" s="1"/>
  <c r="K575" i="1" s="1"/>
  <c r="J576" i="1" s="1"/>
  <c r="K576" i="1" s="1"/>
  <c r="J577" i="1" s="1"/>
  <c r="K577" i="1" s="1"/>
  <c r="J578" i="1" s="1"/>
  <c r="K578" i="1" s="1"/>
  <c r="J579" i="1" s="1"/>
  <c r="K579" i="1" s="1"/>
  <c r="J580" i="1" s="1"/>
  <c r="K580" i="1" s="1"/>
  <c r="J581" i="1" s="1"/>
  <c r="K581" i="1" s="1"/>
  <c r="J582" i="1" s="1"/>
  <c r="K582" i="1" s="1"/>
  <c r="J583" i="1" s="1"/>
  <c r="K583" i="1" s="1"/>
  <c r="J584" i="1" s="1"/>
  <c r="K584" i="1" s="1"/>
  <c r="J585" i="1" s="1"/>
  <c r="K585" i="1" s="1"/>
  <c r="J586" i="1" s="1"/>
  <c r="K586" i="1" s="1"/>
  <c r="J587" i="1" s="1"/>
  <c r="K587" i="1" s="1"/>
  <c r="J588" i="1" s="1"/>
  <c r="K588" i="1" s="1"/>
  <c r="J589" i="1" s="1"/>
  <c r="K589" i="1" s="1"/>
  <c r="J590" i="1" s="1"/>
  <c r="K590" i="1" s="1"/>
  <c r="J591" i="1" s="1"/>
  <c r="K591" i="1" s="1"/>
  <c r="J592" i="1" s="1"/>
  <c r="K592" i="1" s="1"/>
  <c r="J593" i="1" s="1"/>
  <c r="K593" i="1" s="1"/>
  <c r="J594" i="1" s="1"/>
  <c r="K594" i="1" s="1"/>
  <c r="J595" i="1" s="1"/>
  <c r="K595" i="1" s="1"/>
  <c r="J596" i="1" s="1"/>
  <c r="K596" i="1" s="1"/>
  <c r="J597" i="1" s="1"/>
  <c r="K597" i="1" s="1"/>
  <c r="J598" i="1" s="1"/>
  <c r="K598" i="1" s="1"/>
  <c r="J599" i="1" s="1"/>
  <c r="K599" i="1" s="1"/>
  <c r="J600" i="1" s="1"/>
  <c r="K600" i="1" s="1"/>
  <c r="J601" i="1" s="1"/>
  <c r="K601" i="1" s="1"/>
  <c r="J602" i="1" s="1"/>
  <c r="K602" i="1" s="1"/>
  <c r="G188" i="1"/>
  <c r="G180" i="1"/>
  <c r="G166" i="1"/>
  <c r="G158" i="1"/>
  <c r="G139" i="1"/>
  <c r="G121" i="1"/>
  <c r="G115" i="1"/>
  <c r="G102" i="1"/>
  <c r="G82" i="1"/>
  <c r="G68" i="1"/>
  <c r="G56" i="1"/>
  <c r="G44" i="1"/>
  <c r="G32" i="1"/>
  <c r="G22" i="1"/>
  <c r="L17" i="1"/>
  <c r="G11" i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4" i="1" s="1"/>
  <c r="M845" i="1" s="1"/>
  <c r="M846" i="1" s="1"/>
  <c r="M847" i="1" s="1"/>
  <c r="M848" i="1" s="1"/>
  <c r="M849" i="1" s="1"/>
  <c r="M850" i="1" s="1"/>
  <c r="M851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2" i="1" s="1"/>
  <c r="M1173" i="1" s="1"/>
  <c r="M1174" i="1" s="1"/>
  <c r="M1175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400" i="1" s="1"/>
  <c r="M1401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4" i="1" s="1"/>
  <c r="M1915" i="1" s="1"/>
  <c r="M1916" i="1" s="1"/>
  <c r="M1917" i="1" s="1"/>
  <c r="M1929" i="1" s="1"/>
  <c r="M1930" i="1" s="1"/>
  <c r="M1931" i="1" s="1"/>
  <c r="M1932" i="1" s="1"/>
  <c r="M1933" i="1" s="1"/>
  <c r="M1934" i="1" s="1"/>
  <c r="M1935" i="1" s="1"/>
  <c r="M1936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6" i="1" s="1"/>
  <c r="M2307" i="1" s="1"/>
  <c r="M2308" i="1" s="1"/>
  <c r="M2309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G3" i="1"/>
</calcChain>
</file>

<file path=xl/sharedStrings.xml><?xml version="1.0" encoding="utf-8"?>
<sst xmlns="http://schemas.openxmlformats.org/spreadsheetml/2006/main" count="4773" uniqueCount="106">
  <si>
    <t>Дата</t>
  </si>
  <si>
    <t xml:space="preserve">Кол-во, л </t>
  </si>
  <si>
    <t>Стоимость, руб.</t>
  </si>
  <si>
    <t>Сумма</t>
  </si>
  <si>
    <t>Отправление</t>
  </si>
  <si>
    <t>Назначение</t>
  </si>
  <si>
    <t>Одометр до, км</t>
  </si>
  <si>
    <t>Одометр после, км</t>
  </si>
  <si>
    <t xml:space="preserve">Пройдено, км </t>
  </si>
  <si>
    <t>Остаток бензина</t>
  </si>
  <si>
    <t>Расход топлива, л</t>
  </si>
  <si>
    <t>Октябрь 2021</t>
  </si>
  <si>
    <t>Санкт-Петербург, репищева 10</t>
  </si>
  <si>
    <t>Санкт-Петербург, Приморский 70</t>
  </si>
  <si>
    <t>Санкт-Петербург, комсомола 19</t>
  </si>
  <si>
    <t>Санкт-Петербург, Лиговский 236</t>
  </si>
  <si>
    <t xml:space="preserve">Санкт-Петербург, Пулковское шоссе </t>
  </si>
  <si>
    <t>Итого:</t>
  </si>
  <si>
    <t>Ноябрь 2021</t>
  </si>
  <si>
    <t>Санкт-Петербург, Сызранская 15</t>
  </si>
  <si>
    <t>Санкт-Петербург, Дегтярный 5</t>
  </si>
  <si>
    <t>Санкт-Петербург, Дрезденская 10</t>
  </si>
  <si>
    <t>Санкт-Петербург, Дальневосточный 15</t>
  </si>
  <si>
    <t>Санкт-Петербург, Вязовая 10</t>
  </si>
  <si>
    <t>Санкт-Петербург, площадь Ломоносова, 2</t>
  </si>
  <si>
    <t>Декабрь 2021</t>
  </si>
  <si>
    <t>Санкт-Петербург, Глухарская 87</t>
  </si>
  <si>
    <t>Январь 2022</t>
  </si>
  <si>
    <t>Санкт-Петербург, Ивана Черных ул., 31/33</t>
  </si>
  <si>
    <t>Санкт-Петербург, ул. Сетевая, д.22, корпус 2</t>
  </si>
  <si>
    <t>Санкт-Петербург, Московский пр. 129</t>
  </si>
  <si>
    <t>Санкт-Петербург, Лиговский 124</t>
  </si>
  <si>
    <t>Санкт-Петербург, ул. Седова 9</t>
  </si>
  <si>
    <t>Февраль 2022</t>
  </si>
  <si>
    <t>Санкт-Петербург, Репищева 10</t>
  </si>
  <si>
    <t>Санкт-Петербург, Комсомола 19</t>
  </si>
  <si>
    <t>Санкт-Петербург, Фурштадская 24</t>
  </si>
  <si>
    <t>Санкт-Петербург, Пулковское шоссе 88</t>
  </si>
  <si>
    <t>Март 2022</t>
  </si>
  <si>
    <t>Санкт-Петербург, Автомобильная 1</t>
  </si>
  <si>
    <t>Санкт-Петербург, ул. Разъезжая, д. 22</t>
  </si>
  <si>
    <t>Апрель 2022</t>
  </si>
  <si>
    <t>Май 2022</t>
  </si>
  <si>
    <t>Санкт-Петербург, Марсово Поле 1</t>
  </si>
  <si>
    <t>Санкт-Петербург, Штурманская 19В</t>
  </si>
  <si>
    <t>Санкт-Петербург, Московский пр. 189-А</t>
  </si>
  <si>
    <t>Июнь 2022</t>
  </si>
  <si>
    <t>Июль 2022</t>
  </si>
  <si>
    <t>Август 2022</t>
  </si>
  <si>
    <t>Санкт-Петербург, Лиговский 240</t>
  </si>
  <si>
    <t>отпуск</t>
  </si>
  <si>
    <t>Сентябрь 2022</t>
  </si>
  <si>
    <t>Октябрь 2022</t>
  </si>
  <si>
    <t>Ноябрь 2022</t>
  </si>
  <si>
    <t>Санкт-Петербург, Смоленская 27</t>
  </si>
  <si>
    <t>Декабрь 2022</t>
  </si>
  <si>
    <t>Январь 2023</t>
  </si>
  <si>
    <t>Февраль 2023</t>
  </si>
  <si>
    <t>Санкт-Петербург, ул. Тосина д.3</t>
  </si>
  <si>
    <t>Санкт-Петербург, Лиговский 114А</t>
  </si>
  <si>
    <t>Март 2023</t>
  </si>
  <si>
    <t>Санкт-Петербург, ул. Глухарская д.16 корп.2</t>
  </si>
  <si>
    <t>Апрель 2023</t>
  </si>
  <si>
    <t>Май 2023</t>
  </si>
  <si>
    <t>Июнь 2023</t>
  </si>
  <si>
    <t>п. Войсковицы, Авиационная 10</t>
  </si>
  <si>
    <t>Июль 2023</t>
  </si>
  <si>
    <t>август 2023</t>
  </si>
  <si>
    <t>Смена машины на Чанган</t>
  </si>
  <si>
    <t>сентябрь 2023</t>
  </si>
  <si>
    <t>октябрь 2023</t>
  </si>
  <si>
    <t>ноябрь 2023</t>
  </si>
  <si>
    <t>декабрь 2023</t>
  </si>
  <si>
    <t>Январь 2024</t>
  </si>
  <si>
    <t>За свой счет</t>
  </si>
  <si>
    <t>Февраль 2024</t>
  </si>
  <si>
    <t>Март 2024</t>
  </si>
  <si>
    <t>Апрель 2024</t>
  </si>
  <si>
    <t>Май 2024</t>
  </si>
  <si>
    <t>Июнь 2024</t>
  </si>
  <si>
    <t>Июль 2024</t>
  </si>
  <si>
    <t>Санкт-Петербург, Масляный канал</t>
  </si>
  <si>
    <t>Август 2024</t>
  </si>
  <si>
    <t>Сентябрь 2024</t>
  </si>
  <si>
    <t>Октябрь 2024</t>
  </si>
  <si>
    <t>Санкт-Петербург, Московское шоссе, 304</t>
  </si>
  <si>
    <t>Санкт-Петербург, Савушкина 141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</si>
  <si>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</si>
  <si>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</si>
  <si>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</si>
  <si>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</si>
  <si>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</si>
  <si>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</si>
  <si>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</si>
  <si>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</si>
  <si>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</si>
  <si>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</si>
  <si>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</si>
  <si>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</si>
  <si>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Санкт-Петербург, Новое шоссе, 17</t>
  </si>
  <si>
    <t>Санкт-Петербург, пр. Юрия Гагарина 26</t>
  </si>
  <si>
    <t>Ноябрь 2025</t>
  </si>
  <si>
    <t>Санкт-Петербург, Новое шоссе, 15</t>
  </si>
  <si>
    <t>Декабрь 2025</t>
  </si>
  <si>
    <t>Февраль 2026</t>
  </si>
  <si>
    <t>Март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</si>
</sst>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\ h:mm:ss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04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O2545"/>
  <sheetViews>
    <sheetView tabSelected="1" zoomScale="85" zoomScaleNormal="85" workbookViewId="0">
      <pane ySplit="1" topLeftCell="A2512" activePane="bottomLeft" state="frozen"/>
      <selection pane="bottomLeft" activeCell="D2501" sqref="D2501"/>
    </sheetView>
  </sheetViews>
  <sheetFormatPr defaultColWidth="8.7109375" defaultRowHeight="15" x14ac:dyDescent="0.25"/>
  <cols>
    <col min="4" max="4" width="17.28515625" bestFit="1" customWidth="1"/>
    <col min="5" max="5" width="9.85546875" customWidth="1"/>
    <col min="6" max="6" width="15.7109375" style="3" customWidth="1"/>
    <col min="7" max="7" width="12.140625" customWidth="1"/>
    <col min="8" max="8" width="40.28515625" customWidth="1"/>
    <col min="9" max="9" width="42.42578125" customWidth="1"/>
    <col min="10" max="10" width="14.85546875" style="3" customWidth="1"/>
    <col min="11" max="11" width="17.42578125" style="3" customWidth="1"/>
    <col min="12" max="12" width="14.5703125" style="3" customWidth="1"/>
    <col min="13" max="13" width="16.28515625" customWidth="1"/>
    <col min="14" max="14" width="17.7109375" style="3" customWidth="1"/>
  </cols>
  <sheetData>
    <row r="1" spans="4:14" ht="15" customHeight="1" x14ac:dyDescent="0.25">
      <c r="D1" s="4" t="s">
        <v>0</v>
      </c>
      <c r="E1" s="4" t="s">
        <v>1</v>
      </c>
      <c r="F1" s="4" t="s">
        <v>2</v>
      </c>
      <c r="G1" s="5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</row>
    <row r="2" spans="4:14" ht="15" customHeight="1" x14ac:dyDescent="0.25">
      <c r="D2" s="2" t="s">
        <v>11</v>
      </c>
      <c r="E2" s="2"/>
      <c r="F2" s="2"/>
      <c r="G2" s="2"/>
      <c r="H2" s="4"/>
      <c r="I2" s="4"/>
      <c r="J2" s="4"/>
      <c r="K2" s="4"/>
      <c r="L2" s="4"/>
      <c r="M2" s="4"/>
      <c r="N2" s="4"/>
    </row>
    <row r="3" spans="4:14" ht="15" customHeight="1" x14ac:dyDescent="0.25">
      <c r="D3" s="7">
        <v>44494</v>
      </c>
      <c r="E3" s="3">
        <v>19.97</v>
      </c>
      <c r="F3" s="3">
        <v>50.4</v>
      </c>
      <c r="G3" s="8">
        <f>E3*F3</f>
        <v>1006.4879999999999</v>
      </c>
      <c r="H3" s="3" t="s">
        <v>12</v>
      </c>
      <c r="I3" s="3" t="s">
        <v>13</v>
      </c>
      <c r="L3" s="3">
        <v>11</v>
      </c>
      <c r="M3" s="3">
        <f>E3-N3</f>
        <v>18.72</v>
      </c>
      <c r="N3" s="3">
        <v>1.25</v>
      </c>
    </row>
    <row r="4" spans="4:14" ht="15" customHeight="1" x14ac:dyDescent="0.25">
      <c r="D4" s="3"/>
      <c r="E4" s="3"/>
      <c r="G4" s="8"/>
      <c r="H4" s="3" t="s">
        <v>13</v>
      </c>
      <c r="I4" s="3" t="s">
        <v>12</v>
      </c>
      <c r="L4" s="3">
        <v>11</v>
      </c>
      <c r="M4" s="3">
        <f t="shared" ref="M4:M10" si="0">M3-N4</f>
        <v>17.47</v>
      </c>
      <c r="N4" s="3">
        <v>1.25</v>
      </c>
    </row>
    <row r="5" spans="4:14" ht="15" customHeight="1" x14ac:dyDescent="0.25">
      <c r="D5" s="7">
        <v>44495</v>
      </c>
      <c r="E5" s="3"/>
      <c r="G5" s="8"/>
      <c r="H5" s="3" t="s">
        <v>12</v>
      </c>
      <c r="I5" s="3" t="s">
        <v>14</v>
      </c>
      <c r="L5" s="3">
        <v>12</v>
      </c>
      <c r="M5" s="3">
        <f t="shared" si="0"/>
        <v>16.22</v>
      </c>
      <c r="N5" s="3">
        <v>1.25</v>
      </c>
    </row>
    <row r="6" spans="4:14" ht="15" customHeight="1" x14ac:dyDescent="0.25">
      <c r="D6" s="7"/>
      <c r="E6" s="3"/>
      <c r="G6" s="8"/>
      <c r="H6" s="3" t="s">
        <v>14</v>
      </c>
      <c r="I6" s="3" t="s">
        <v>12</v>
      </c>
      <c r="L6" s="3">
        <v>12</v>
      </c>
      <c r="M6" s="3">
        <f t="shared" si="0"/>
        <v>14.969999999999999</v>
      </c>
      <c r="N6" s="3">
        <v>1.25</v>
      </c>
    </row>
    <row r="7" spans="4:14" ht="15" customHeight="1" x14ac:dyDescent="0.25">
      <c r="D7" s="7">
        <v>44496</v>
      </c>
      <c r="E7" s="3"/>
      <c r="G7" s="8"/>
      <c r="H7" s="3" t="s">
        <v>12</v>
      </c>
      <c r="I7" s="3" t="s">
        <v>13</v>
      </c>
      <c r="L7" s="3">
        <v>11</v>
      </c>
      <c r="M7" s="3">
        <f t="shared" si="0"/>
        <v>13.469999999999999</v>
      </c>
      <c r="N7" s="3">
        <v>1.5</v>
      </c>
    </row>
    <row r="8" spans="4:14" ht="15" customHeight="1" x14ac:dyDescent="0.25">
      <c r="D8" s="7"/>
      <c r="E8" s="3"/>
      <c r="G8" s="8"/>
      <c r="H8" s="3" t="s">
        <v>13</v>
      </c>
      <c r="I8" s="3" t="s">
        <v>12</v>
      </c>
      <c r="L8" s="3">
        <v>11</v>
      </c>
      <c r="M8" s="3">
        <f t="shared" si="0"/>
        <v>11.969999999999999</v>
      </c>
      <c r="N8" s="3">
        <v>1.5</v>
      </c>
    </row>
    <row r="9" spans="4:14" ht="15" customHeight="1" x14ac:dyDescent="0.25">
      <c r="D9" s="7"/>
      <c r="E9" s="3"/>
      <c r="G9" s="8"/>
      <c r="H9" s="3" t="s">
        <v>12</v>
      </c>
      <c r="I9" s="3" t="s">
        <v>14</v>
      </c>
      <c r="L9" s="3">
        <v>12</v>
      </c>
      <c r="M9" s="3">
        <f t="shared" si="0"/>
        <v>10.469999999999999</v>
      </c>
      <c r="N9" s="3">
        <v>1.5</v>
      </c>
    </row>
    <row r="10" spans="4:14" ht="15" customHeight="1" x14ac:dyDescent="0.25">
      <c r="D10" s="7"/>
      <c r="E10" s="3"/>
      <c r="G10" s="8"/>
      <c r="H10" s="3" t="s">
        <v>14</v>
      </c>
      <c r="I10" s="3" t="s">
        <v>12</v>
      </c>
      <c r="L10" s="3">
        <v>12</v>
      </c>
      <c r="M10" s="3">
        <f t="shared" si="0"/>
        <v>8.9699999999999989</v>
      </c>
      <c r="N10" s="3">
        <v>1.5</v>
      </c>
    </row>
    <row r="11" spans="4:14" ht="15" customHeight="1" x14ac:dyDescent="0.25">
      <c r="D11" s="7">
        <v>44497</v>
      </c>
      <c r="E11" s="3">
        <v>19.96</v>
      </c>
      <c r="F11" s="3">
        <v>50.4</v>
      </c>
      <c r="G11" s="8">
        <f>E11*F11</f>
        <v>1005.984</v>
      </c>
      <c r="H11" s="3" t="s">
        <v>12</v>
      </c>
      <c r="I11" s="3" t="s">
        <v>14</v>
      </c>
      <c r="L11" s="3">
        <v>12</v>
      </c>
      <c r="M11" s="3">
        <f>(E11+M10)-N11</f>
        <v>26.43</v>
      </c>
      <c r="N11" s="3">
        <v>2.5</v>
      </c>
    </row>
    <row r="12" spans="4:14" ht="15" customHeight="1" x14ac:dyDescent="0.25">
      <c r="D12" s="7"/>
      <c r="E12" s="3"/>
      <c r="G12" s="8"/>
      <c r="H12" s="3" t="s">
        <v>14</v>
      </c>
      <c r="I12" s="3" t="s">
        <v>12</v>
      </c>
      <c r="L12" s="3">
        <v>12</v>
      </c>
      <c r="M12" s="3">
        <f>M11-N12</f>
        <v>23.93</v>
      </c>
      <c r="N12" s="3">
        <v>2.5</v>
      </c>
    </row>
    <row r="13" spans="4:14" ht="15" customHeight="1" x14ac:dyDescent="0.25">
      <c r="D13" s="7"/>
      <c r="E13" s="3"/>
      <c r="G13" s="8"/>
      <c r="H13" s="3" t="s">
        <v>12</v>
      </c>
      <c r="I13" s="3" t="s">
        <v>15</v>
      </c>
      <c r="L13" s="3">
        <v>31</v>
      </c>
      <c r="M13" s="3">
        <f>M12-N13</f>
        <v>21.43</v>
      </c>
      <c r="N13" s="3">
        <v>2.5</v>
      </c>
    </row>
    <row r="14" spans="4:14" ht="15" customHeight="1" x14ac:dyDescent="0.25">
      <c r="D14" s="7"/>
      <c r="E14" s="3"/>
      <c r="G14" s="8"/>
      <c r="H14" s="3" t="s">
        <v>15</v>
      </c>
      <c r="I14" s="3" t="s">
        <v>12</v>
      </c>
      <c r="L14" s="3">
        <v>31</v>
      </c>
      <c r="M14" s="3">
        <f>M13-N14</f>
        <v>18.93</v>
      </c>
      <c r="N14" s="3">
        <v>2.5</v>
      </c>
    </row>
    <row r="15" spans="4:14" ht="15" customHeight="1" x14ac:dyDescent="0.25">
      <c r="D15" s="7">
        <v>44498</v>
      </c>
      <c r="E15" s="3"/>
      <c r="G15" s="8"/>
      <c r="H15" s="3" t="s">
        <v>12</v>
      </c>
      <c r="I15" s="3" t="s">
        <v>16</v>
      </c>
      <c r="L15" s="3">
        <v>40</v>
      </c>
      <c r="M15" s="3">
        <f>M14-N15</f>
        <v>13.93</v>
      </c>
      <c r="N15" s="3">
        <v>5</v>
      </c>
    </row>
    <row r="16" spans="4:14" ht="15" customHeight="1" x14ac:dyDescent="0.25">
      <c r="D16" s="7"/>
      <c r="E16" s="3"/>
      <c r="G16" s="8"/>
      <c r="H16" s="3" t="s">
        <v>16</v>
      </c>
      <c r="I16" s="3" t="s">
        <v>12</v>
      </c>
      <c r="L16" s="3">
        <v>40</v>
      </c>
      <c r="M16" s="3">
        <f>M15-N16</f>
        <v>8.93</v>
      </c>
      <c r="N16" s="3">
        <v>5</v>
      </c>
    </row>
    <row r="17" spans="4:14" ht="15" customHeight="1" x14ac:dyDescent="0.25">
      <c r="D17" s="9" t="s">
        <v>17</v>
      </c>
      <c r="E17" s="3"/>
      <c r="G17" s="8"/>
      <c r="H17" s="3"/>
      <c r="I17" s="3"/>
      <c r="L17" s="4">
        <f>SUM(L3:L16)</f>
        <v>258</v>
      </c>
      <c r="M17" s="3"/>
    </row>
    <row r="18" spans="4:14" ht="15" customHeight="1" x14ac:dyDescent="0.25">
      <c r="D18" s="2" t="s">
        <v>18</v>
      </c>
      <c r="E18" s="2"/>
      <c r="F18" s="2"/>
      <c r="G18" s="2"/>
      <c r="H18" s="3"/>
      <c r="I18" s="3"/>
      <c r="M18" s="3"/>
    </row>
    <row r="19" spans="4:14" ht="15" customHeight="1" x14ac:dyDescent="0.25">
      <c r="D19" s="7"/>
      <c r="E19" s="3"/>
      <c r="G19" s="8"/>
      <c r="H19" s="3"/>
      <c r="I19" s="3"/>
      <c r="M19" s="3"/>
    </row>
    <row r="20" spans="4:14" ht="15" customHeight="1" x14ac:dyDescent="0.25">
      <c r="D20" s="7">
        <v>44501</v>
      </c>
      <c r="E20" s="3"/>
      <c r="G20" s="8"/>
      <c r="H20" s="3" t="s">
        <v>12</v>
      </c>
      <c r="I20" s="3" t="s">
        <v>19</v>
      </c>
      <c r="L20" s="3">
        <v>30</v>
      </c>
      <c r="M20" s="3">
        <f>M16-N20</f>
        <v>5.43</v>
      </c>
      <c r="N20" s="3">
        <v>3.5</v>
      </c>
    </row>
    <row r="21" spans="4:14" ht="15" customHeight="1" x14ac:dyDescent="0.25">
      <c r="D21" s="7"/>
      <c r="E21" s="3"/>
      <c r="G21" s="8"/>
      <c r="H21" s="3" t="s">
        <v>19</v>
      </c>
      <c r="I21" s="3" t="s">
        <v>12</v>
      </c>
      <c r="L21" s="3">
        <v>30</v>
      </c>
      <c r="M21" s="3">
        <f>M20-N21</f>
        <v>1.9299999999999997</v>
      </c>
      <c r="N21" s="3">
        <v>3.5</v>
      </c>
    </row>
    <row r="22" spans="4:14" ht="15" customHeight="1" x14ac:dyDescent="0.25">
      <c r="D22" s="7">
        <v>44502</v>
      </c>
      <c r="E22" s="3">
        <v>20.13</v>
      </c>
      <c r="F22" s="3">
        <v>50.2</v>
      </c>
      <c r="G22" s="8">
        <f>E22*F22</f>
        <v>1010.526</v>
      </c>
      <c r="H22" s="3" t="s">
        <v>12</v>
      </c>
      <c r="I22" s="3" t="s">
        <v>14</v>
      </c>
      <c r="L22" s="3">
        <v>12</v>
      </c>
      <c r="M22" s="3">
        <f>(E22+M21)-N22</f>
        <v>19.559999999999999</v>
      </c>
      <c r="N22" s="3">
        <v>2.5</v>
      </c>
    </row>
    <row r="23" spans="4:14" ht="15" customHeight="1" x14ac:dyDescent="0.25">
      <c r="D23" s="7"/>
      <c r="E23" s="3"/>
      <c r="G23" s="8"/>
      <c r="H23" s="3" t="s">
        <v>14</v>
      </c>
      <c r="I23" s="3" t="s">
        <v>12</v>
      </c>
      <c r="L23" s="3">
        <v>12</v>
      </c>
      <c r="M23" s="3">
        <f t="shared" ref="M23:M31" si="1">M22-N23</f>
        <v>17.059999999999999</v>
      </c>
      <c r="N23" s="3">
        <v>2.5</v>
      </c>
    </row>
    <row r="24" spans="4:14" ht="15" customHeight="1" x14ac:dyDescent="0.25">
      <c r="D24" s="7"/>
      <c r="E24" s="3"/>
      <c r="G24" s="8"/>
      <c r="H24" s="3" t="s">
        <v>12</v>
      </c>
      <c r="I24" s="3" t="s">
        <v>13</v>
      </c>
      <c r="L24" s="3">
        <v>11</v>
      </c>
      <c r="M24" s="3">
        <f t="shared" si="1"/>
        <v>15.809999999999999</v>
      </c>
      <c r="N24" s="3">
        <v>1.25</v>
      </c>
    </row>
    <row r="25" spans="4:14" ht="15" customHeight="1" x14ac:dyDescent="0.25">
      <c r="D25" s="7"/>
      <c r="E25" s="3"/>
      <c r="G25" s="8"/>
      <c r="H25" s="3" t="s">
        <v>13</v>
      </c>
      <c r="I25" s="3" t="s">
        <v>12</v>
      </c>
      <c r="L25" s="3">
        <v>11</v>
      </c>
      <c r="M25" s="3">
        <f t="shared" si="1"/>
        <v>14.559999999999999</v>
      </c>
      <c r="N25" s="3">
        <v>1.25</v>
      </c>
    </row>
    <row r="26" spans="4:14" ht="15" customHeight="1" x14ac:dyDescent="0.25">
      <c r="D26" s="7">
        <v>44503</v>
      </c>
      <c r="E26" s="3"/>
      <c r="G26" s="8"/>
      <c r="H26" s="3" t="s">
        <v>12</v>
      </c>
      <c r="I26" s="3" t="s">
        <v>15</v>
      </c>
      <c r="L26" s="3">
        <v>31</v>
      </c>
      <c r="M26" s="3">
        <f t="shared" si="1"/>
        <v>12.059999999999999</v>
      </c>
      <c r="N26" s="3">
        <v>2.5</v>
      </c>
    </row>
    <row r="27" spans="4:14" ht="15" customHeight="1" x14ac:dyDescent="0.25">
      <c r="D27" s="7"/>
      <c r="E27" s="3"/>
      <c r="G27" s="8"/>
      <c r="H27" s="3" t="s">
        <v>15</v>
      </c>
      <c r="I27" s="3" t="s">
        <v>12</v>
      </c>
      <c r="L27" s="3">
        <v>31</v>
      </c>
      <c r="M27" s="3">
        <f t="shared" si="1"/>
        <v>9.5599999999999987</v>
      </c>
      <c r="N27" s="3">
        <v>2.5</v>
      </c>
    </row>
    <row r="28" spans="4:14" ht="15" customHeight="1" x14ac:dyDescent="0.25">
      <c r="D28" s="7">
        <v>44504</v>
      </c>
      <c r="E28" s="3"/>
      <c r="G28" s="8"/>
      <c r="H28" s="3" t="s">
        <v>12</v>
      </c>
      <c r="I28" s="3" t="s">
        <v>14</v>
      </c>
      <c r="L28" s="3">
        <v>12</v>
      </c>
      <c r="M28" s="3">
        <f t="shared" si="1"/>
        <v>8.3099999999999987</v>
      </c>
      <c r="N28" s="3">
        <v>1.25</v>
      </c>
    </row>
    <row r="29" spans="4:14" ht="15" customHeight="1" x14ac:dyDescent="0.25">
      <c r="D29" s="7"/>
      <c r="E29" s="3"/>
      <c r="G29" s="8"/>
      <c r="H29" s="3" t="s">
        <v>14</v>
      </c>
      <c r="I29" s="3" t="s">
        <v>12</v>
      </c>
      <c r="L29" s="3">
        <v>12</v>
      </c>
      <c r="M29" s="3">
        <f t="shared" si="1"/>
        <v>7.0599999999999987</v>
      </c>
      <c r="N29" s="3">
        <v>1.25</v>
      </c>
    </row>
    <row r="30" spans="4:14" ht="15" customHeight="1" x14ac:dyDescent="0.25">
      <c r="D30" s="7">
        <v>44505</v>
      </c>
      <c r="E30" s="3"/>
      <c r="G30" s="8"/>
      <c r="H30" s="3" t="s">
        <v>12</v>
      </c>
      <c r="I30" s="3" t="s">
        <v>20</v>
      </c>
      <c r="L30" s="3">
        <v>15</v>
      </c>
      <c r="M30" s="3">
        <f t="shared" si="1"/>
        <v>5.0599999999999987</v>
      </c>
      <c r="N30" s="3">
        <v>2</v>
      </c>
    </row>
    <row r="31" spans="4:14" ht="15" customHeight="1" x14ac:dyDescent="0.25">
      <c r="D31" s="7"/>
      <c r="E31" s="3"/>
      <c r="G31" s="8"/>
      <c r="H31" s="3" t="s">
        <v>20</v>
      </c>
      <c r="I31" s="3" t="s">
        <v>12</v>
      </c>
      <c r="L31" s="3">
        <v>15</v>
      </c>
      <c r="M31" s="3">
        <f t="shared" si="1"/>
        <v>3.0599999999999987</v>
      </c>
      <c r="N31" s="3">
        <v>2</v>
      </c>
    </row>
    <row r="32" spans="4:14" ht="15" customHeight="1" x14ac:dyDescent="0.25">
      <c r="D32" s="7">
        <v>44508</v>
      </c>
      <c r="E32" s="3">
        <v>25.85</v>
      </c>
      <c r="F32" s="3">
        <v>49.95</v>
      </c>
      <c r="G32" s="8">
        <f>E32*F32</f>
        <v>1291.2075000000002</v>
      </c>
      <c r="H32" s="3" t="s">
        <v>12</v>
      </c>
      <c r="I32" s="3" t="s">
        <v>21</v>
      </c>
      <c r="L32" s="3">
        <v>6</v>
      </c>
      <c r="M32" s="3">
        <f>(E32+M31)-N32</f>
        <v>28.16</v>
      </c>
      <c r="N32" s="3">
        <v>0.75</v>
      </c>
    </row>
    <row r="33" spans="4:14" ht="15" customHeight="1" x14ac:dyDescent="0.25">
      <c r="D33" s="7"/>
      <c r="E33" s="3"/>
      <c r="G33" s="8"/>
      <c r="H33" s="3" t="s">
        <v>21</v>
      </c>
      <c r="I33" s="3" t="s">
        <v>12</v>
      </c>
      <c r="L33" s="3">
        <v>6</v>
      </c>
      <c r="M33" s="3">
        <f t="shared" ref="M33:M43" si="2">M32-N33</f>
        <v>27.41</v>
      </c>
      <c r="N33" s="3">
        <v>0.75</v>
      </c>
    </row>
    <row r="34" spans="4:14" ht="15" customHeight="1" x14ac:dyDescent="0.25">
      <c r="D34" s="7"/>
      <c r="E34" s="3"/>
      <c r="G34" s="8"/>
      <c r="H34" s="3" t="s">
        <v>12</v>
      </c>
      <c r="I34" s="3" t="s">
        <v>15</v>
      </c>
      <c r="L34" s="3">
        <v>31</v>
      </c>
      <c r="M34" s="3">
        <f t="shared" si="2"/>
        <v>24.91</v>
      </c>
      <c r="N34" s="3">
        <v>2.5</v>
      </c>
    </row>
    <row r="35" spans="4:14" ht="15" customHeight="1" x14ac:dyDescent="0.25">
      <c r="D35" s="7"/>
      <c r="E35" s="3"/>
      <c r="G35" s="8"/>
      <c r="H35" s="3" t="s">
        <v>15</v>
      </c>
      <c r="I35" s="3" t="s">
        <v>12</v>
      </c>
      <c r="L35" s="3">
        <v>31</v>
      </c>
      <c r="M35" s="3">
        <f t="shared" si="2"/>
        <v>22.41</v>
      </c>
      <c r="N35" s="3">
        <v>2.5</v>
      </c>
    </row>
    <row r="36" spans="4:14" ht="15" customHeight="1" x14ac:dyDescent="0.25">
      <c r="D36" s="7">
        <v>44509</v>
      </c>
      <c r="E36" s="3"/>
      <c r="G36" s="8"/>
      <c r="H36" s="3" t="s">
        <v>12</v>
      </c>
      <c r="I36" s="3" t="s">
        <v>13</v>
      </c>
      <c r="L36" s="3">
        <v>11</v>
      </c>
      <c r="M36" s="3">
        <f t="shared" si="2"/>
        <v>21.16</v>
      </c>
      <c r="N36" s="3">
        <v>1.25</v>
      </c>
    </row>
    <row r="37" spans="4:14" ht="15" customHeight="1" x14ac:dyDescent="0.25">
      <c r="D37" s="7"/>
      <c r="E37" s="3"/>
      <c r="G37" s="8"/>
      <c r="H37" s="3" t="s">
        <v>13</v>
      </c>
      <c r="I37" s="3" t="s">
        <v>12</v>
      </c>
      <c r="L37" s="3">
        <v>11</v>
      </c>
      <c r="M37" s="3">
        <f t="shared" si="2"/>
        <v>19.91</v>
      </c>
      <c r="N37" s="3">
        <v>1.25</v>
      </c>
    </row>
    <row r="38" spans="4:14" ht="15" customHeight="1" x14ac:dyDescent="0.25">
      <c r="D38" s="7">
        <v>44510</v>
      </c>
      <c r="E38" s="3"/>
      <c r="G38" s="8"/>
      <c r="H38" s="3" t="s">
        <v>12</v>
      </c>
      <c r="I38" s="3" t="s">
        <v>21</v>
      </c>
      <c r="L38" s="3">
        <v>6</v>
      </c>
      <c r="M38" s="3">
        <f t="shared" si="2"/>
        <v>19.16</v>
      </c>
      <c r="N38" s="3">
        <v>0.75</v>
      </c>
    </row>
    <row r="39" spans="4:14" ht="15" customHeight="1" x14ac:dyDescent="0.25">
      <c r="D39" s="7"/>
      <c r="E39" s="3"/>
      <c r="G39" s="8"/>
      <c r="H39" s="3" t="s">
        <v>21</v>
      </c>
      <c r="I39" s="3" t="s">
        <v>12</v>
      </c>
      <c r="L39" s="3">
        <v>6</v>
      </c>
      <c r="M39" s="3">
        <f t="shared" si="2"/>
        <v>18.41</v>
      </c>
      <c r="N39" s="3">
        <v>0.75</v>
      </c>
    </row>
    <row r="40" spans="4:14" ht="15" customHeight="1" x14ac:dyDescent="0.25">
      <c r="D40" s="7"/>
      <c r="E40" s="3"/>
      <c r="G40" s="8"/>
      <c r="H40" s="3" t="s">
        <v>12</v>
      </c>
      <c r="I40" s="3" t="s">
        <v>15</v>
      </c>
      <c r="L40" s="3">
        <v>31</v>
      </c>
      <c r="M40" s="3">
        <f t="shared" si="2"/>
        <v>15.91</v>
      </c>
      <c r="N40" s="3">
        <v>2.5</v>
      </c>
    </row>
    <row r="41" spans="4:14" ht="15" customHeight="1" x14ac:dyDescent="0.25">
      <c r="D41" s="7"/>
      <c r="E41" s="3"/>
      <c r="G41" s="8"/>
      <c r="H41" s="3" t="s">
        <v>15</v>
      </c>
      <c r="I41" s="3" t="s">
        <v>12</v>
      </c>
      <c r="L41" s="3">
        <v>31</v>
      </c>
      <c r="M41" s="3">
        <f t="shared" si="2"/>
        <v>13.41</v>
      </c>
      <c r="N41" s="3">
        <v>2.5</v>
      </c>
    </row>
    <row r="42" spans="4:14" ht="15" customHeight="1" x14ac:dyDescent="0.25">
      <c r="D42" s="7">
        <v>44511</v>
      </c>
      <c r="E42" s="3"/>
      <c r="G42" s="8"/>
      <c r="H42" s="3" t="s">
        <v>12</v>
      </c>
      <c r="I42" s="3" t="s">
        <v>22</v>
      </c>
      <c r="L42" s="3">
        <v>25</v>
      </c>
      <c r="M42" s="3">
        <f t="shared" si="2"/>
        <v>10.41</v>
      </c>
      <c r="N42" s="3">
        <v>3</v>
      </c>
    </row>
    <row r="43" spans="4:14" ht="15" customHeight="1" x14ac:dyDescent="0.25">
      <c r="D43" s="7"/>
      <c r="E43" s="3"/>
      <c r="G43" s="8"/>
      <c r="H43" s="3" t="s">
        <v>22</v>
      </c>
      <c r="I43" s="3" t="s">
        <v>12</v>
      </c>
      <c r="L43" s="3">
        <v>25</v>
      </c>
      <c r="M43" s="3">
        <f t="shared" si="2"/>
        <v>7.41</v>
      </c>
      <c r="N43" s="3">
        <v>3</v>
      </c>
    </row>
    <row r="44" spans="4:14" ht="15" customHeight="1" x14ac:dyDescent="0.25">
      <c r="D44" s="7">
        <v>44512</v>
      </c>
      <c r="E44" s="3">
        <v>21.91</v>
      </c>
      <c r="F44" s="3">
        <v>50.5</v>
      </c>
      <c r="G44" s="8">
        <f>E44*F44</f>
        <v>1106.4549999999999</v>
      </c>
      <c r="H44" s="3" t="s">
        <v>12</v>
      </c>
      <c r="I44" s="3" t="s">
        <v>15</v>
      </c>
      <c r="L44" s="3">
        <v>31</v>
      </c>
      <c r="M44" s="3">
        <f>(E44+M43)-N44</f>
        <v>26.82</v>
      </c>
      <c r="N44" s="3">
        <v>2.5</v>
      </c>
    </row>
    <row r="45" spans="4:14" ht="15" customHeight="1" x14ac:dyDescent="0.25">
      <c r="D45" s="7"/>
      <c r="E45" s="3"/>
      <c r="G45" s="8"/>
      <c r="H45" s="3" t="s">
        <v>15</v>
      </c>
      <c r="I45" s="3" t="s">
        <v>12</v>
      </c>
      <c r="L45" s="3">
        <v>31</v>
      </c>
      <c r="M45" s="3">
        <f t="shared" ref="M45:M55" si="3">M44-N45</f>
        <v>24.32</v>
      </c>
      <c r="N45" s="3">
        <v>2.5</v>
      </c>
    </row>
    <row r="46" spans="4:14" ht="15" customHeight="1" x14ac:dyDescent="0.25">
      <c r="D46" s="7"/>
      <c r="E46" s="3"/>
      <c r="G46" s="8"/>
      <c r="H46" s="3" t="s">
        <v>12</v>
      </c>
      <c r="I46" s="3" t="s">
        <v>13</v>
      </c>
      <c r="L46" s="3">
        <v>11</v>
      </c>
      <c r="M46" s="3">
        <f t="shared" si="3"/>
        <v>23.07</v>
      </c>
      <c r="N46" s="3">
        <v>1.25</v>
      </c>
    </row>
    <row r="47" spans="4:14" ht="15" customHeight="1" x14ac:dyDescent="0.25">
      <c r="D47" s="7"/>
      <c r="E47" s="3"/>
      <c r="G47" s="8"/>
      <c r="H47" s="3" t="s">
        <v>13</v>
      </c>
      <c r="I47" s="3" t="s">
        <v>12</v>
      </c>
      <c r="L47" s="3">
        <v>11</v>
      </c>
      <c r="M47" s="3">
        <f t="shared" si="3"/>
        <v>21.82</v>
      </c>
      <c r="N47" s="3">
        <v>1.25</v>
      </c>
    </row>
    <row r="48" spans="4:14" ht="15" customHeight="1" x14ac:dyDescent="0.25">
      <c r="D48" s="7">
        <v>44515</v>
      </c>
      <c r="E48" s="3"/>
      <c r="G48" s="8"/>
      <c r="H48" s="3" t="s">
        <v>12</v>
      </c>
      <c r="I48" s="3" t="s">
        <v>13</v>
      </c>
      <c r="L48" s="3">
        <v>11</v>
      </c>
      <c r="M48" s="3">
        <f t="shared" si="3"/>
        <v>20.57</v>
      </c>
      <c r="N48" s="3">
        <v>1.25</v>
      </c>
    </row>
    <row r="49" spans="4:14" ht="15" customHeight="1" x14ac:dyDescent="0.25">
      <c r="D49" s="7"/>
      <c r="E49" s="3"/>
      <c r="G49" s="8"/>
      <c r="H49" s="3" t="s">
        <v>13</v>
      </c>
      <c r="I49" s="3" t="s">
        <v>12</v>
      </c>
      <c r="L49" s="3">
        <v>11</v>
      </c>
      <c r="M49" s="3">
        <f t="shared" si="3"/>
        <v>19.32</v>
      </c>
      <c r="N49" s="3">
        <v>1.25</v>
      </c>
    </row>
    <row r="50" spans="4:14" ht="15" customHeight="1" x14ac:dyDescent="0.25">
      <c r="D50" s="7">
        <v>44516</v>
      </c>
      <c r="E50" s="3"/>
      <c r="G50" s="8"/>
      <c r="H50" s="3" t="s">
        <v>12</v>
      </c>
      <c r="I50" s="3" t="s">
        <v>13</v>
      </c>
      <c r="L50" s="3">
        <v>11</v>
      </c>
      <c r="M50" s="3">
        <f t="shared" si="3"/>
        <v>18.07</v>
      </c>
      <c r="N50" s="3">
        <v>1.25</v>
      </c>
    </row>
    <row r="51" spans="4:14" ht="15" customHeight="1" x14ac:dyDescent="0.25">
      <c r="D51" s="7"/>
      <c r="E51" s="3"/>
      <c r="G51" s="8"/>
      <c r="H51" s="3" t="s">
        <v>13</v>
      </c>
      <c r="I51" s="3" t="s">
        <v>12</v>
      </c>
      <c r="L51" s="3">
        <v>11</v>
      </c>
      <c r="M51" s="3">
        <f t="shared" si="3"/>
        <v>16.82</v>
      </c>
      <c r="N51" s="3">
        <v>1.25</v>
      </c>
    </row>
    <row r="52" spans="4:14" ht="15" customHeight="1" x14ac:dyDescent="0.25">
      <c r="D52" s="7">
        <v>44517</v>
      </c>
      <c r="E52" s="3"/>
      <c r="G52" s="8"/>
      <c r="H52" s="3" t="s">
        <v>12</v>
      </c>
      <c r="I52" s="3" t="s">
        <v>13</v>
      </c>
      <c r="L52" s="3">
        <v>11</v>
      </c>
      <c r="M52" s="3">
        <f t="shared" si="3"/>
        <v>15.57</v>
      </c>
      <c r="N52" s="3">
        <v>1.25</v>
      </c>
    </row>
    <row r="53" spans="4:14" ht="15" customHeight="1" x14ac:dyDescent="0.25">
      <c r="D53" s="7"/>
      <c r="E53" s="3"/>
      <c r="G53" s="8"/>
      <c r="H53" s="3" t="s">
        <v>13</v>
      </c>
      <c r="I53" s="3" t="s">
        <v>12</v>
      </c>
      <c r="L53" s="3">
        <v>11</v>
      </c>
      <c r="M53" s="3">
        <f t="shared" si="3"/>
        <v>14.32</v>
      </c>
      <c r="N53" s="3">
        <v>1.25</v>
      </c>
    </row>
    <row r="54" spans="4:14" ht="15" customHeight="1" x14ac:dyDescent="0.25">
      <c r="D54" s="7">
        <v>44518</v>
      </c>
      <c r="E54" s="3"/>
      <c r="G54" s="8"/>
      <c r="H54" s="3" t="s">
        <v>12</v>
      </c>
      <c r="I54" s="3" t="s">
        <v>15</v>
      </c>
      <c r="L54" s="3">
        <v>31</v>
      </c>
      <c r="M54" s="3">
        <f t="shared" si="3"/>
        <v>11.82</v>
      </c>
      <c r="N54" s="3">
        <v>2.5</v>
      </c>
    </row>
    <row r="55" spans="4:14" ht="15" customHeight="1" x14ac:dyDescent="0.25">
      <c r="D55" s="7"/>
      <c r="E55" s="3"/>
      <c r="G55" s="8"/>
      <c r="H55" s="3" t="s">
        <v>15</v>
      </c>
      <c r="I55" s="3" t="s">
        <v>12</v>
      </c>
      <c r="L55" s="3">
        <v>31</v>
      </c>
      <c r="M55" s="3">
        <f t="shared" si="3"/>
        <v>9.32</v>
      </c>
      <c r="N55" s="3">
        <v>2.5</v>
      </c>
    </row>
    <row r="56" spans="4:14" ht="15" customHeight="1" x14ac:dyDescent="0.25">
      <c r="D56" s="7">
        <v>44519</v>
      </c>
      <c r="E56" s="3">
        <v>21.94</v>
      </c>
      <c r="F56" s="3">
        <v>50.7</v>
      </c>
      <c r="G56" s="8">
        <f>E56*F56</f>
        <v>1112.3580000000002</v>
      </c>
      <c r="H56" s="3" t="s">
        <v>12</v>
      </c>
      <c r="I56" s="3" t="s">
        <v>14</v>
      </c>
      <c r="L56" s="3">
        <v>12</v>
      </c>
      <c r="M56" s="3">
        <f>(E56+M55)-N56</f>
        <v>30.01</v>
      </c>
      <c r="N56" s="3">
        <v>1.25</v>
      </c>
    </row>
    <row r="57" spans="4:14" ht="15" customHeight="1" x14ac:dyDescent="0.25">
      <c r="D57" s="7"/>
      <c r="E57" s="3"/>
      <c r="G57" s="8"/>
      <c r="H57" s="3" t="s">
        <v>14</v>
      </c>
      <c r="I57" s="3" t="s">
        <v>12</v>
      </c>
      <c r="L57" s="3">
        <v>12</v>
      </c>
      <c r="M57" s="3">
        <f t="shared" ref="M57:M67" si="4">M56-N57</f>
        <v>28.76</v>
      </c>
      <c r="N57" s="3">
        <v>1.25</v>
      </c>
    </row>
    <row r="58" spans="4:14" ht="15" customHeight="1" x14ac:dyDescent="0.25">
      <c r="D58" s="7"/>
      <c r="E58" s="3"/>
      <c r="G58" s="8"/>
      <c r="H58" s="3" t="s">
        <v>12</v>
      </c>
      <c r="I58" s="3" t="s">
        <v>21</v>
      </c>
      <c r="L58" s="3">
        <v>6</v>
      </c>
      <c r="M58" s="3">
        <f t="shared" si="4"/>
        <v>28.01</v>
      </c>
      <c r="N58" s="3">
        <v>0.75</v>
      </c>
    </row>
    <row r="59" spans="4:14" ht="15" customHeight="1" x14ac:dyDescent="0.25">
      <c r="D59" s="7"/>
      <c r="E59" s="3"/>
      <c r="G59" s="8"/>
      <c r="H59" s="3" t="s">
        <v>21</v>
      </c>
      <c r="I59" s="3" t="s">
        <v>12</v>
      </c>
      <c r="L59" s="3">
        <v>6</v>
      </c>
      <c r="M59" s="3">
        <f t="shared" si="4"/>
        <v>27.26</v>
      </c>
      <c r="N59" s="3">
        <v>0.75</v>
      </c>
    </row>
    <row r="60" spans="4:14" ht="15" customHeight="1" x14ac:dyDescent="0.25">
      <c r="D60" s="7">
        <v>44522</v>
      </c>
      <c r="E60" s="3"/>
      <c r="G60" s="8"/>
      <c r="H60" s="3" t="s">
        <v>12</v>
      </c>
      <c r="I60" s="3" t="s">
        <v>15</v>
      </c>
      <c r="L60" s="3">
        <v>31</v>
      </c>
      <c r="M60" s="3">
        <f t="shared" si="4"/>
        <v>24.76</v>
      </c>
      <c r="N60" s="3">
        <v>2.5</v>
      </c>
    </row>
    <row r="61" spans="4:14" ht="15" customHeight="1" x14ac:dyDescent="0.25">
      <c r="D61" s="7"/>
      <c r="E61" s="3"/>
      <c r="G61" s="8"/>
      <c r="H61" s="3" t="s">
        <v>15</v>
      </c>
      <c r="I61" s="3" t="s">
        <v>12</v>
      </c>
      <c r="L61" s="3">
        <v>31</v>
      </c>
      <c r="M61" s="3">
        <f t="shared" si="4"/>
        <v>22.26</v>
      </c>
      <c r="N61" s="3">
        <v>2.5</v>
      </c>
    </row>
    <row r="62" spans="4:14" ht="15" customHeight="1" x14ac:dyDescent="0.25">
      <c r="D62" s="7">
        <v>44523</v>
      </c>
      <c r="E62" s="3"/>
      <c r="G62" s="8"/>
      <c r="H62" s="3" t="s">
        <v>12</v>
      </c>
      <c r="I62" s="3" t="s">
        <v>14</v>
      </c>
      <c r="L62" s="3">
        <v>12</v>
      </c>
      <c r="M62" s="3">
        <f t="shared" si="4"/>
        <v>21.01</v>
      </c>
      <c r="N62" s="3">
        <v>1.25</v>
      </c>
    </row>
    <row r="63" spans="4:14" ht="15" customHeight="1" x14ac:dyDescent="0.25">
      <c r="D63" s="7"/>
      <c r="E63" s="3"/>
      <c r="G63" s="8"/>
      <c r="H63" s="3" t="s">
        <v>14</v>
      </c>
      <c r="I63" s="3" t="s">
        <v>12</v>
      </c>
      <c r="L63" s="3">
        <v>12</v>
      </c>
      <c r="M63" s="3">
        <f t="shared" si="4"/>
        <v>19.760000000000002</v>
      </c>
      <c r="N63" s="3">
        <v>1.25</v>
      </c>
    </row>
    <row r="64" spans="4:14" ht="15" customHeight="1" x14ac:dyDescent="0.25">
      <c r="D64" s="7"/>
      <c r="E64" s="3"/>
      <c r="G64" s="8"/>
      <c r="H64" s="3" t="s">
        <v>12</v>
      </c>
      <c r="I64" s="3" t="s">
        <v>23</v>
      </c>
      <c r="L64" s="3">
        <v>8</v>
      </c>
      <c r="M64" s="3">
        <f t="shared" si="4"/>
        <v>18.860000000000003</v>
      </c>
      <c r="N64" s="3">
        <v>0.9</v>
      </c>
    </row>
    <row r="65" spans="4:14" ht="15" customHeight="1" x14ac:dyDescent="0.25">
      <c r="D65" s="7"/>
      <c r="E65" s="3"/>
      <c r="G65" s="8"/>
      <c r="H65" s="3" t="s">
        <v>23</v>
      </c>
      <c r="I65" s="3" t="s">
        <v>12</v>
      </c>
      <c r="L65" s="3">
        <v>8</v>
      </c>
      <c r="M65" s="3">
        <f t="shared" si="4"/>
        <v>17.960000000000004</v>
      </c>
      <c r="N65" s="3">
        <v>0.9</v>
      </c>
    </row>
    <row r="66" spans="4:14" ht="15" customHeight="1" x14ac:dyDescent="0.25">
      <c r="D66" s="7"/>
      <c r="E66" s="3"/>
      <c r="G66" s="8"/>
      <c r="H66" s="3" t="s">
        <v>12</v>
      </c>
      <c r="I66" s="3" t="s">
        <v>15</v>
      </c>
      <c r="L66" s="3">
        <v>31</v>
      </c>
      <c r="M66" s="3">
        <f t="shared" si="4"/>
        <v>15.460000000000004</v>
      </c>
      <c r="N66" s="3">
        <v>2.5</v>
      </c>
    </row>
    <row r="67" spans="4:14" ht="15" customHeight="1" x14ac:dyDescent="0.25">
      <c r="D67" s="7"/>
      <c r="E67" s="3"/>
      <c r="G67" s="8"/>
      <c r="H67" s="3" t="s">
        <v>15</v>
      </c>
      <c r="I67" s="3" t="s">
        <v>12</v>
      </c>
      <c r="L67" s="3">
        <v>31</v>
      </c>
      <c r="M67" s="3">
        <f t="shared" si="4"/>
        <v>12.960000000000004</v>
      </c>
      <c r="N67" s="3">
        <v>2.5</v>
      </c>
    </row>
    <row r="68" spans="4:14" ht="15" customHeight="1" x14ac:dyDescent="0.25">
      <c r="D68" s="7">
        <v>44524</v>
      </c>
      <c r="E68" s="3">
        <v>21.94</v>
      </c>
      <c r="F68" s="3">
        <v>50.55</v>
      </c>
      <c r="G68" s="8">
        <f>E68*F68</f>
        <v>1109.067</v>
      </c>
      <c r="H68" s="3" t="s">
        <v>12</v>
      </c>
      <c r="I68" s="3" t="s">
        <v>19</v>
      </c>
      <c r="L68" s="3">
        <v>30</v>
      </c>
      <c r="M68" s="3">
        <f>(E68+M67)-N68</f>
        <v>31.400000000000006</v>
      </c>
      <c r="N68" s="3">
        <v>3.5</v>
      </c>
    </row>
    <row r="69" spans="4:14" ht="15" customHeight="1" x14ac:dyDescent="0.25">
      <c r="D69" s="7"/>
      <c r="E69" s="3"/>
      <c r="G69" s="8"/>
      <c r="H69" s="3" t="s">
        <v>19</v>
      </c>
      <c r="I69" s="3" t="s">
        <v>12</v>
      </c>
      <c r="L69" s="3">
        <v>30</v>
      </c>
      <c r="M69" s="3">
        <f t="shared" ref="M69:M81" si="5">M68-N69</f>
        <v>27.900000000000006</v>
      </c>
      <c r="N69" s="3">
        <v>3.5</v>
      </c>
    </row>
    <row r="70" spans="4:14" ht="15" customHeight="1" x14ac:dyDescent="0.25">
      <c r="H70" s="3" t="s">
        <v>12</v>
      </c>
      <c r="I70" s="3" t="s">
        <v>14</v>
      </c>
      <c r="L70" s="3">
        <v>12</v>
      </c>
      <c r="M70" s="3">
        <f t="shared" si="5"/>
        <v>26.650000000000006</v>
      </c>
      <c r="N70" s="3">
        <v>1.25</v>
      </c>
    </row>
    <row r="71" spans="4:14" ht="15" customHeight="1" x14ac:dyDescent="0.25">
      <c r="H71" s="3" t="s">
        <v>14</v>
      </c>
      <c r="I71" s="3" t="s">
        <v>12</v>
      </c>
      <c r="L71" s="3">
        <v>12</v>
      </c>
      <c r="M71" s="3">
        <f t="shared" si="5"/>
        <v>25.400000000000006</v>
      </c>
      <c r="N71" s="3">
        <v>1.25</v>
      </c>
    </row>
    <row r="72" spans="4:14" ht="15" customHeight="1" x14ac:dyDescent="0.25">
      <c r="D72" s="7">
        <v>44525</v>
      </c>
      <c r="E72" s="3"/>
      <c r="G72" s="8"/>
      <c r="H72" s="3" t="s">
        <v>12</v>
      </c>
      <c r="I72" s="3" t="s">
        <v>23</v>
      </c>
      <c r="L72" s="3">
        <v>8</v>
      </c>
      <c r="M72" s="3">
        <f t="shared" si="5"/>
        <v>24.500000000000007</v>
      </c>
      <c r="N72" s="3">
        <v>0.9</v>
      </c>
    </row>
    <row r="73" spans="4:14" ht="15" customHeight="1" x14ac:dyDescent="0.25">
      <c r="D73" s="7"/>
      <c r="E73" s="3"/>
      <c r="G73" s="8"/>
      <c r="H73" s="3" t="s">
        <v>23</v>
      </c>
      <c r="I73" s="3" t="s">
        <v>12</v>
      </c>
      <c r="L73" s="3">
        <v>8</v>
      </c>
      <c r="M73" s="3">
        <f t="shared" si="5"/>
        <v>23.600000000000009</v>
      </c>
      <c r="N73" s="3">
        <v>0.9</v>
      </c>
    </row>
    <row r="74" spans="4:14" ht="15" customHeight="1" x14ac:dyDescent="0.25">
      <c r="D74" s="7">
        <v>44526</v>
      </c>
      <c r="E74" s="3"/>
      <c r="G74" s="8"/>
      <c r="H74" s="3" t="s">
        <v>12</v>
      </c>
      <c r="I74" s="3" t="s">
        <v>15</v>
      </c>
      <c r="L74" s="3">
        <v>31</v>
      </c>
      <c r="M74" s="3">
        <f t="shared" si="5"/>
        <v>21.100000000000009</v>
      </c>
      <c r="N74" s="3">
        <v>2.5</v>
      </c>
    </row>
    <row r="75" spans="4:14" ht="15" customHeight="1" x14ac:dyDescent="0.25">
      <c r="D75" s="7"/>
      <c r="E75" s="3"/>
      <c r="G75" s="8"/>
      <c r="H75" s="3" t="s">
        <v>15</v>
      </c>
      <c r="I75" s="3" t="s">
        <v>12</v>
      </c>
      <c r="L75" s="3">
        <v>31</v>
      </c>
      <c r="M75" s="3">
        <f t="shared" si="5"/>
        <v>18.600000000000009</v>
      </c>
      <c r="N75" s="3">
        <v>2.5</v>
      </c>
    </row>
    <row r="76" spans="4:14" ht="15" customHeight="1" x14ac:dyDescent="0.25">
      <c r="D76" s="7"/>
      <c r="E76" s="3"/>
      <c r="G76" s="8"/>
      <c r="H76" s="3" t="s">
        <v>12</v>
      </c>
      <c r="I76" s="3" t="s">
        <v>13</v>
      </c>
      <c r="L76" s="3">
        <v>11</v>
      </c>
      <c r="M76" s="3">
        <f t="shared" si="5"/>
        <v>17.350000000000009</v>
      </c>
      <c r="N76" s="3">
        <v>1.25</v>
      </c>
    </row>
    <row r="77" spans="4:14" ht="15" customHeight="1" x14ac:dyDescent="0.25">
      <c r="D77" s="7"/>
      <c r="E77" s="3"/>
      <c r="G77" s="8"/>
      <c r="H77" s="3" t="s">
        <v>13</v>
      </c>
      <c r="I77" s="3" t="s">
        <v>12</v>
      </c>
      <c r="L77" s="3">
        <v>11</v>
      </c>
      <c r="M77" s="3">
        <f t="shared" si="5"/>
        <v>16.100000000000009</v>
      </c>
      <c r="N77" s="3">
        <v>1.25</v>
      </c>
    </row>
    <row r="78" spans="4:14" ht="15" customHeight="1" x14ac:dyDescent="0.25">
      <c r="D78" s="7">
        <v>44529</v>
      </c>
      <c r="E78" s="3"/>
      <c r="G78" s="8"/>
      <c r="H78" s="3" t="s">
        <v>12</v>
      </c>
      <c r="I78" s="3" t="s">
        <v>19</v>
      </c>
      <c r="L78" s="3">
        <v>30</v>
      </c>
      <c r="M78" s="3">
        <f t="shared" si="5"/>
        <v>12.600000000000009</v>
      </c>
      <c r="N78" s="3">
        <v>3.5</v>
      </c>
    </row>
    <row r="79" spans="4:14" ht="15" customHeight="1" x14ac:dyDescent="0.25">
      <c r="D79" s="7"/>
      <c r="E79" s="3"/>
      <c r="G79" s="8"/>
      <c r="H79" s="3" t="s">
        <v>19</v>
      </c>
      <c r="I79" s="3" t="s">
        <v>12</v>
      </c>
      <c r="L79" s="3">
        <v>30</v>
      </c>
      <c r="M79" s="3">
        <f t="shared" si="5"/>
        <v>9.1000000000000085</v>
      </c>
      <c r="N79" s="3">
        <v>3.5</v>
      </c>
    </row>
    <row r="80" spans="4:14" ht="15" customHeight="1" x14ac:dyDescent="0.25">
      <c r="D80" s="7"/>
      <c r="E80" s="3"/>
      <c r="G80" s="8"/>
      <c r="H80" s="3" t="s">
        <v>12</v>
      </c>
      <c r="I80" s="3" t="s">
        <v>14</v>
      </c>
      <c r="L80" s="3">
        <v>12</v>
      </c>
      <c r="M80" s="3">
        <f t="shared" si="5"/>
        <v>7.8500000000000085</v>
      </c>
      <c r="N80" s="3">
        <v>1.25</v>
      </c>
    </row>
    <row r="81" spans="4:14" ht="15" customHeight="1" x14ac:dyDescent="0.25">
      <c r="D81" s="7"/>
      <c r="E81" s="3"/>
      <c r="G81" s="8"/>
      <c r="H81" s="3" t="s">
        <v>14</v>
      </c>
      <c r="I81" s="3" t="s">
        <v>12</v>
      </c>
      <c r="L81" s="3">
        <v>12</v>
      </c>
      <c r="M81" s="3">
        <f t="shared" si="5"/>
        <v>6.6000000000000085</v>
      </c>
      <c r="N81" s="3">
        <v>1.25</v>
      </c>
    </row>
    <row r="82" spans="4:14" ht="15" customHeight="1" x14ac:dyDescent="0.25">
      <c r="D82" s="7">
        <v>44530</v>
      </c>
      <c r="E82" s="3">
        <v>23.84</v>
      </c>
      <c r="F82" s="3">
        <v>50.7</v>
      </c>
      <c r="G82" s="8">
        <f>E82*F82</f>
        <v>1208.6880000000001</v>
      </c>
      <c r="H82" s="3" t="s">
        <v>12</v>
      </c>
      <c r="I82" s="3" t="s">
        <v>24</v>
      </c>
      <c r="L82" s="3">
        <v>14</v>
      </c>
      <c r="M82" s="3">
        <f>(E82+M81)-N82</f>
        <v>28.940000000000008</v>
      </c>
      <c r="N82" s="3">
        <v>1.5</v>
      </c>
    </row>
    <row r="83" spans="4:14" ht="15" customHeight="1" x14ac:dyDescent="0.25">
      <c r="D83" s="3"/>
      <c r="E83" s="3"/>
      <c r="G83" s="8"/>
      <c r="H83" s="3" t="s">
        <v>24</v>
      </c>
      <c r="I83" s="3" t="s">
        <v>12</v>
      </c>
      <c r="L83" s="3">
        <v>14</v>
      </c>
      <c r="M83" s="3">
        <f>M82-N83</f>
        <v>27.440000000000008</v>
      </c>
      <c r="N83" s="3">
        <v>1.5</v>
      </c>
    </row>
    <row r="84" spans="4:14" ht="15" customHeight="1" x14ac:dyDescent="0.25">
      <c r="D84" s="3"/>
      <c r="E84" s="3"/>
      <c r="G84" s="8"/>
      <c r="H84" s="3" t="s">
        <v>12</v>
      </c>
      <c r="I84" s="3" t="s">
        <v>14</v>
      </c>
      <c r="L84" s="3">
        <v>12</v>
      </c>
      <c r="M84" s="3">
        <f>M83-N84</f>
        <v>26.190000000000008</v>
      </c>
      <c r="N84" s="3">
        <v>1.25</v>
      </c>
    </row>
    <row r="85" spans="4:14" ht="15" customHeight="1" x14ac:dyDescent="0.25">
      <c r="D85" s="3"/>
      <c r="E85" s="3"/>
      <c r="G85" s="8"/>
      <c r="H85" s="3" t="s">
        <v>14</v>
      </c>
      <c r="I85" s="3" t="s">
        <v>12</v>
      </c>
      <c r="L85" s="3">
        <v>12</v>
      </c>
      <c r="M85" s="3">
        <f>M84-N85</f>
        <v>24.940000000000008</v>
      </c>
      <c r="N85" s="3">
        <v>1.25</v>
      </c>
    </row>
    <row r="87" spans="4:14" ht="15" customHeight="1" x14ac:dyDescent="0.25">
      <c r="D87" s="2" t="s">
        <v>25</v>
      </c>
      <c r="E87" s="2"/>
      <c r="F87" s="2"/>
      <c r="G87" s="2"/>
    </row>
    <row r="88" spans="4:14" ht="15" customHeight="1" x14ac:dyDescent="0.25">
      <c r="D88" s="7">
        <v>44531</v>
      </c>
      <c r="H88" s="3" t="s">
        <v>12</v>
      </c>
      <c r="I88" s="3" t="s">
        <v>14</v>
      </c>
      <c r="L88" s="3">
        <v>12</v>
      </c>
      <c r="M88" s="3">
        <f>M85-N88</f>
        <v>23.690000000000008</v>
      </c>
      <c r="N88" s="3">
        <v>1.25</v>
      </c>
    </row>
    <row r="89" spans="4:14" ht="15" customHeight="1" x14ac:dyDescent="0.25">
      <c r="D89" s="7"/>
      <c r="H89" s="3" t="s">
        <v>14</v>
      </c>
      <c r="I89" s="3" t="s">
        <v>12</v>
      </c>
      <c r="L89" s="3">
        <v>12</v>
      </c>
      <c r="M89" s="3">
        <f t="shared" ref="M89:M101" si="6">M88-N89</f>
        <v>22.440000000000008</v>
      </c>
      <c r="N89" s="3">
        <v>1.25</v>
      </c>
    </row>
    <row r="90" spans="4:14" ht="15" customHeight="1" x14ac:dyDescent="0.25">
      <c r="D90" s="7"/>
      <c r="H90" s="3" t="s">
        <v>12</v>
      </c>
      <c r="I90" s="3" t="s">
        <v>19</v>
      </c>
      <c r="L90" s="3">
        <v>30</v>
      </c>
      <c r="M90" s="3">
        <f t="shared" si="6"/>
        <v>18.940000000000008</v>
      </c>
      <c r="N90" s="3">
        <v>3.5</v>
      </c>
    </row>
    <row r="91" spans="4:14" ht="15" customHeight="1" x14ac:dyDescent="0.25">
      <c r="D91" s="7"/>
      <c r="H91" s="3" t="s">
        <v>19</v>
      </c>
      <c r="I91" s="3" t="s">
        <v>12</v>
      </c>
      <c r="L91" s="3">
        <v>30</v>
      </c>
      <c r="M91" s="3">
        <f t="shared" si="6"/>
        <v>15.440000000000008</v>
      </c>
      <c r="N91" s="3">
        <v>3.5</v>
      </c>
    </row>
    <row r="92" spans="4:14" ht="15" customHeight="1" x14ac:dyDescent="0.25">
      <c r="D92" s="7">
        <v>44532</v>
      </c>
      <c r="H92" s="3" t="s">
        <v>12</v>
      </c>
      <c r="I92" s="3" t="s">
        <v>23</v>
      </c>
      <c r="L92" s="3">
        <v>8</v>
      </c>
      <c r="M92" s="3">
        <f t="shared" si="6"/>
        <v>14.540000000000008</v>
      </c>
      <c r="N92" s="3">
        <v>0.9</v>
      </c>
    </row>
    <row r="93" spans="4:14" ht="15" customHeight="1" x14ac:dyDescent="0.25">
      <c r="D93" s="7"/>
      <c r="H93" s="3" t="s">
        <v>23</v>
      </c>
      <c r="I93" s="3" t="s">
        <v>12</v>
      </c>
      <c r="L93" s="3">
        <v>8</v>
      </c>
      <c r="M93" s="3">
        <f t="shared" si="6"/>
        <v>13.640000000000008</v>
      </c>
      <c r="N93" s="3">
        <v>0.9</v>
      </c>
    </row>
    <row r="94" spans="4:14" ht="15" customHeight="1" x14ac:dyDescent="0.25">
      <c r="D94" s="7"/>
      <c r="H94" s="3" t="s">
        <v>12</v>
      </c>
      <c r="I94" s="3" t="s">
        <v>15</v>
      </c>
      <c r="L94" s="3">
        <v>31</v>
      </c>
      <c r="M94" s="3">
        <f t="shared" si="6"/>
        <v>11.140000000000008</v>
      </c>
      <c r="N94" s="3">
        <v>2.5</v>
      </c>
    </row>
    <row r="95" spans="4:14" ht="15" customHeight="1" x14ac:dyDescent="0.25">
      <c r="D95" s="7"/>
      <c r="H95" s="3" t="s">
        <v>15</v>
      </c>
      <c r="I95" s="3" t="s">
        <v>12</v>
      </c>
      <c r="L95" s="3">
        <v>31</v>
      </c>
      <c r="M95" s="3">
        <f t="shared" si="6"/>
        <v>8.6400000000000077</v>
      </c>
      <c r="N95" s="3">
        <v>2.5</v>
      </c>
    </row>
    <row r="96" spans="4:14" ht="15" customHeight="1" x14ac:dyDescent="0.25">
      <c r="D96" s="7">
        <v>44533</v>
      </c>
      <c r="H96" s="3" t="s">
        <v>12</v>
      </c>
      <c r="I96" s="3" t="s">
        <v>14</v>
      </c>
      <c r="L96" s="3">
        <v>12</v>
      </c>
      <c r="M96" s="3">
        <f t="shared" si="6"/>
        <v>7.3900000000000077</v>
      </c>
      <c r="N96" s="3">
        <v>1.25</v>
      </c>
    </row>
    <row r="97" spans="4:14" ht="15" customHeight="1" x14ac:dyDescent="0.25">
      <c r="D97" s="7"/>
      <c r="H97" s="3" t="s">
        <v>14</v>
      </c>
      <c r="I97" s="3" t="s">
        <v>12</v>
      </c>
      <c r="L97" s="3">
        <v>12</v>
      </c>
      <c r="M97" s="3">
        <f t="shared" si="6"/>
        <v>6.1400000000000077</v>
      </c>
      <c r="N97" s="3">
        <v>1.25</v>
      </c>
    </row>
    <row r="98" spans="4:14" ht="15" customHeight="1" x14ac:dyDescent="0.25">
      <c r="D98" s="7">
        <v>44536</v>
      </c>
      <c r="H98" s="3" t="s">
        <v>12</v>
      </c>
      <c r="I98" s="3" t="s">
        <v>14</v>
      </c>
      <c r="L98" s="3">
        <v>12</v>
      </c>
      <c r="M98" s="3">
        <f t="shared" si="6"/>
        <v>4.8900000000000077</v>
      </c>
      <c r="N98" s="3">
        <v>1.25</v>
      </c>
    </row>
    <row r="99" spans="4:14" ht="15" customHeight="1" x14ac:dyDescent="0.25">
      <c r="D99" s="7"/>
      <c r="H99" s="3" t="s">
        <v>14</v>
      </c>
      <c r="I99" s="3" t="s">
        <v>12</v>
      </c>
      <c r="L99" s="3">
        <v>12</v>
      </c>
      <c r="M99" s="3">
        <f t="shared" si="6"/>
        <v>3.6400000000000077</v>
      </c>
      <c r="N99" s="3">
        <v>1.25</v>
      </c>
    </row>
    <row r="100" spans="4:14" ht="15" customHeight="1" x14ac:dyDescent="0.25">
      <c r="D100" s="7">
        <v>44537</v>
      </c>
      <c r="H100" s="3" t="s">
        <v>12</v>
      </c>
      <c r="I100" s="3" t="s">
        <v>14</v>
      </c>
      <c r="L100" s="3">
        <v>12</v>
      </c>
      <c r="M100" s="3">
        <f t="shared" si="6"/>
        <v>2.3900000000000077</v>
      </c>
      <c r="N100" s="3">
        <v>1.25</v>
      </c>
    </row>
    <row r="101" spans="4:14" ht="15" customHeight="1" x14ac:dyDescent="0.25">
      <c r="D101" s="7"/>
      <c r="H101" s="3" t="s">
        <v>14</v>
      </c>
      <c r="I101" s="3" t="s">
        <v>12</v>
      </c>
      <c r="L101" s="3">
        <v>12</v>
      </c>
      <c r="M101" s="3">
        <f t="shared" si="6"/>
        <v>1.1400000000000077</v>
      </c>
      <c r="N101" s="3">
        <v>1.25</v>
      </c>
    </row>
    <row r="102" spans="4:14" ht="15" customHeight="1" x14ac:dyDescent="0.25">
      <c r="D102" s="7">
        <v>44538</v>
      </c>
      <c r="E102">
        <v>23.1</v>
      </c>
      <c r="F102" s="3">
        <v>50.65</v>
      </c>
      <c r="G102" s="8">
        <f>E102*F102</f>
        <v>1170.0150000000001</v>
      </c>
      <c r="H102" s="3" t="s">
        <v>12</v>
      </c>
      <c r="I102" s="3" t="s">
        <v>19</v>
      </c>
      <c r="L102" s="3">
        <v>30</v>
      </c>
      <c r="M102" s="3">
        <f>(E102+M101)-N102</f>
        <v>20.740000000000009</v>
      </c>
      <c r="N102" s="3">
        <v>3.5</v>
      </c>
    </row>
    <row r="103" spans="4:14" ht="15" customHeight="1" x14ac:dyDescent="0.25">
      <c r="D103" s="7"/>
      <c r="G103" s="8"/>
      <c r="H103" s="3" t="s">
        <v>19</v>
      </c>
      <c r="I103" s="3" t="s">
        <v>12</v>
      </c>
      <c r="L103" s="3">
        <v>30</v>
      </c>
      <c r="M103" s="3">
        <f t="shared" ref="M103:M113" si="7">M102-N103</f>
        <v>17.240000000000009</v>
      </c>
      <c r="N103" s="3">
        <v>3.5</v>
      </c>
    </row>
    <row r="104" spans="4:14" ht="15" customHeight="1" x14ac:dyDescent="0.25">
      <c r="D104" s="7">
        <v>44539</v>
      </c>
      <c r="H104" s="3" t="s">
        <v>12</v>
      </c>
      <c r="I104" s="3" t="s">
        <v>14</v>
      </c>
      <c r="L104" s="3">
        <v>12</v>
      </c>
      <c r="M104" s="3">
        <f t="shared" si="7"/>
        <v>15.990000000000009</v>
      </c>
      <c r="N104" s="3">
        <v>1.25</v>
      </c>
    </row>
    <row r="105" spans="4:14" ht="15" customHeight="1" x14ac:dyDescent="0.25">
      <c r="D105" s="7"/>
      <c r="H105" s="3" t="s">
        <v>14</v>
      </c>
      <c r="I105" s="3" t="s">
        <v>12</v>
      </c>
      <c r="L105" s="3">
        <v>12</v>
      </c>
      <c r="M105" s="3">
        <f t="shared" si="7"/>
        <v>14.740000000000009</v>
      </c>
      <c r="N105" s="3">
        <v>1.25</v>
      </c>
    </row>
    <row r="106" spans="4:14" ht="15" customHeight="1" x14ac:dyDescent="0.25">
      <c r="D106" s="7">
        <v>44540</v>
      </c>
      <c r="H106" s="3" t="s">
        <v>12</v>
      </c>
      <c r="I106" s="3" t="s">
        <v>24</v>
      </c>
      <c r="L106" s="3">
        <v>14</v>
      </c>
      <c r="M106" s="3">
        <f t="shared" si="7"/>
        <v>13.240000000000009</v>
      </c>
      <c r="N106" s="3">
        <v>1.5</v>
      </c>
    </row>
    <row r="107" spans="4:14" ht="15" customHeight="1" x14ac:dyDescent="0.25">
      <c r="D107" s="7"/>
      <c r="H107" s="3" t="s">
        <v>24</v>
      </c>
      <c r="I107" s="3" t="s">
        <v>12</v>
      </c>
      <c r="L107" s="3">
        <v>14</v>
      </c>
      <c r="M107" s="3">
        <f t="shared" si="7"/>
        <v>11.740000000000009</v>
      </c>
      <c r="N107" s="3">
        <v>1.5</v>
      </c>
    </row>
    <row r="108" spans="4:14" ht="15" customHeight="1" x14ac:dyDescent="0.25">
      <c r="D108" s="7">
        <v>44543</v>
      </c>
      <c r="H108" s="3" t="s">
        <v>12</v>
      </c>
      <c r="I108" s="3" t="s">
        <v>13</v>
      </c>
      <c r="L108" s="3">
        <v>11</v>
      </c>
      <c r="M108" s="3">
        <f t="shared" si="7"/>
        <v>10.490000000000009</v>
      </c>
      <c r="N108" s="3">
        <v>1.25</v>
      </c>
    </row>
    <row r="109" spans="4:14" ht="15" customHeight="1" x14ac:dyDescent="0.25">
      <c r="D109" s="7"/>
      <c r="H109" s="3" t="s">
        <v>13</v>
      </c>
      <c r="I109" s="3" t="s">
        <v>12</v>
      </c>
      <c r="L109" s="3">
        <v>11</v>
      </c>
      <c r="M109" s="3">
        <f t="shared" si="7"/>
        <v>9.2400000000000091</v>
      </c>
      <c r="N109" s="3">
        <v>1.25</v>
      </c>
    </row>
    <row r="110" spans="4:14" ht="15" customHeight="1" x14ac:dyDescent="0.25">
      <c r="D110" s="7">
        <v>44544</v>
      </c>
      <c r="H110" s="3" t="s">
        <v>12</v>
      </c>
      <c r="I110" s="3" t="s">
        <v>23</v>
      </c>
      <c r="L110" s="3">
        <v>8</v>
      </c>
      <c r="M110" s="3">
        <f t="shared" si="7"/>
        <v>8.3400000000000087</v>
      </c>
      <c r="N110" s="3">
        <v>0.9</v>
      </c>
    </row>
    <row r="111" spans="4:14" ht="15" customHeight="1" x14ac:dyDescent="0.25">
      <c r="D111" s="7"/>
      <c r="H111" s="3" t="s">
        <v>23</v>
      </c>
      <c r="I111" s="3" t="s">
        <v>12</v>
      </c>
      <c r="L111" s="3">
        <v>8</v>
      </c>
      <c r="M111" s="3">
        <f t="shared" si="7"/>
        <v>7.4400000000000084</v>
      </c>
      <c r="N111" s="3">
        <v>0.9</v>
      </c>
    </row>
    <row r="112" spans="4:14" ht="15" customHeight="1" x14ac:dyDescent="0.25">
      <c r="D112" s="7">
        <v>44545</v>
      </c>
      <c r="H112" s="3" t="s">
        <v>12</v>
      </c>
      <c r="I112" s="3" t="s">
        <v>19</v>
      </c>
      <c r="L112" s="3">
        <v>30</v>
      </c>
      <c r="M112" s="3">
        <f t="shared" si="7"/>
        <v>3.9400000000000084</v>
      </c>
      <c r="N112" s="3">
        <v>3.5</v>
      </c>
    </row>
    <row r="113" spans="4:14" ht="15" customHeight="1" x14ac:dyDescent="0.25">
      <c r="D113" s="7"/>
      <c r="H113" s="3" t="s">
        <v>19</v>
      </c>
      <c r="I113" s="3" t="s">
        <v>12</v>
      </c>
      <c r="L113" s="3">
        <v>30</v>
      </c>
      <c r="M113" s="3">
        <f t="shared" si="7"/>
        <v>0.44000000000000838</v>
      </c>
      <c r="N113" s="3">
        <v>3.5</v>
      </c>
    </row>
    <row r="114" spans="4:14" ht="15" customHeight="1" x14ac:dyDescent="0.25">
      <c r="D114" s="7">
        <v>44546</v>
      </c>
    </row>
    <row r="115" spans="4:14" ht="15" customHeight="1" x14ac:dyDescent="0.25">
      <c r="D115" s="7">
        <v>44547</v>
      </c>
      <c r="E115">
        <v>22.69</v>
      </c>
      <c r="F115" s="3">
        <v>50.9</v>
      </c>
      <c r="G115" s="8">
        <f>E115*F115</f>
        <v>1154.921</v>
      </c>
      <c r="H115" s="3" t="s">
        <v>12</v>
      </c>
      <c r="I115" s="3" t="s">
        <v>24</v>
      </c>
      <c r="L115" s="3">
        <v>14</v>
      </c>
      <c r="M115" s="3">
        <f>(E115+M113)-N115</f>
        <v>21.63000000000001</v>
      </c>
      <c r="N115" s="3">
        <v>1.5</v>
      </c>
    </row>
    <row r="116" spans="4:14" ht="15" customHeight="1" x14ac:dyDescent="0.25">
      <c r="D116" s="7"/>
      <c r="G116" s="8"/>
      <c r="H116" s="3" t="s">
        <v>24</v>
      </c>
      <c r="I116" s="3" t="s">
        <v>12</v>
      </c>
      <c r="L116" s="3">
        <v>14</v>
      </c>
      <c r="M116" s="3">
        <f>M115-N116</f>
        <v>20.13000000000001</v>
      </c>
      <c r="N116" s="3">
        <v>1.5</v>
      </c>
    </row>
    <row r="117" spans="4:14" ht="15" customHeight="1" x14ac:dyDescent="0.25">
      <c r="D117" s="7">
        <v>44550</v>
      </c>
      <c r="H117" s="3" t="s">
        <v>12</v>
      </c>
      <c r="I117" s="3" t="s">
        <v>19</v>
      </c>
      <c r="L117" s="3">
        <v>30</v>
      </c>
      <c r="M117" s="3">
        <f>M116-N117</f>
        <v>16.63000000000001</v>
      </c>
      <c r="N117" s="3">
        <v>3.5</v>
      </c>
    </row>
    <row r="118" spans="4:14" ht="15" customHeight="1" x14ac:dyDescent="0.25">
      <c r="D118" s="7"/>
      <c r="H118" s="3" t="s">
        <v>19</v>
      </c>
      <c r="I118" s="3" t="s">
        <v>12</v>
      </c>
      <c r="L118" s="3">
        <v>30</v>
      </c>
      <c r="M118" s="3">
        <f>M117-N118</f>
        <v>13.13000000000001</v>
      </c>
      <c r="N118" s="3">
        <v>3.5</v>
      </c>
    </row>
    <row r="119" spans="4:14" ht="15" customHeight="1" x14ac:dyDescent="0.25">
      <c r="D119" s="7"/>
      <c r="H119" s="3" t="s">
        <v>12</v>
      </c>
      <c r="I119" s="3" t="s">
        <v>14</v>
      </c>
      <c r="L119" s="3">
        <v>12</v>
      </c>
      <c r="M119" s="3">
        <f>M118-N119</f>
        <v>11.88000000000001</v>
      </c>
      <c r="N119" s="3">
        <v>1.25</v>
      </c>
    </row>
    <row r="120" spans="4:14" ht="15" customHeight="1" x14ac:dyDescent="0.25">
      <c r="D120" s="7"/>
      <c r="H120" s="3" t="s">
        <v>14</v>
      </c>
      <c r="I120" s="3" t="s">
        <v>12</v>
      </c>
      <c r="L120" s="3">
        <v>12</v>
      </c>
      <c r="M120" s="3">
        <f>M119-N120</f>
        <v>10.63000000000001</v>
      </c>
      <c r="N120" s="3">
        <v>1.25</v>
      </c>
    </row>
    <row r="121" spans="4:14" ht="15" customHeight="1" x14ac:dyDescent="0.25">
      <c r="D121" s="7">
        <v>44551</v>
      </c>
      <c r="E121">
        <v>23</v>
      </c>
      <c r="F121" s="3">
        <v>50.25</v>
      </c>
      <c r="G121" s="8">
        <f>E121*F121</f>
        <v>1155.75</v>
      </c>
      <c r="H121" s="3" t="s">
        <v>12</v>
      </c>
      <c r="I121" s="3" t="s">
        <v>14</v>
      </c>
      <c r="L121" s="3">
        <v>12</v>
      </c>
      <c r="M121" s="3">
        <f>(E121+M120)-N121</f>
        <v>32.38000000000001</v>
      </c>
      <c r="N121" s="3">
        <v>1.25</v>
      </c>
    </row>
    <row r="122" spans="4:14" ht="15" customHeight="1" x14ac:dyDescent="0.25">
      <c r="D122" s="7"/>
      <c r="G122" s="8"/>
      <c r="H122" s="3" t="s">
        <v>14</v>
      </c>
      <c r="I122" s="3" t="s">
        <v>12</v>
      </c>
      <c r="L122" s="3">
        <v>12</v>
      </c>
      <c r="M122" s="3">
        <f t="shared" ref="M122:M138" si="8">M121-N122</f>
        <v>31.13000000000001</v>
      </c>
      <c r="N122" s="3">
        <v>1.25</v>
      </c>
    </row>
    <row r="123" spans="4:14" ht="15" customHeight="1" x14ac:dyDescent="0.25">
      <c r="D123" s="7"/>
      <c r="G123" s="8"/>
      <c r="H123" s="3" t="s">
        <v>12</v>
      </c>
      <c r="I123" s="3" t="s">
        <v>13</v>
      </c>
      <c r="L123" s="3">
        <v>11</v>
      </c>
      <c r="M123" s="3">
        <f t="shared" si="8"/>
        <v>29.88000000000001</v>
      </c>
      <c r="N123" s="3">
        <v>1.25</v>
      </c>
    </row>
    <row r="124" spans="4:14" ht="15" customHeight="1" x14ac:dyDescent="0.25">
      <c r="D124" s="7"/>
      <c r="G124" s="8"/>
      <c r="H124" s="3" t="s">
        <v>13</v>
      </c>
      <c r="I124" s="3" t="s">
        <v>12</v>
      </c>
      <c r="L124" s="3">
        <v>11</v>
      </c>
      <c r="M124" s="3">
        <f t="shared" si="8"/>
        <v>28.63000000000001</v>
      </c>
      <c r="N124" s="3">
        <v>1.25</v>
      </c>
    </row>
    <row r="125" spans="4:14" ht="15" customHeight="1" x14ac:dyDescent="0.25">
      <c r="D125" s="7">
        <v>44552</v>
      </c>
      <c r="H125" s="3" t="s">
        <v>12</v>
      </c>
      <c r="I125" s="3" t="s">
        <v>14</v>
      </c>
      <c r="L125" s="3">
        <v>12</v>
      </c>
      <c r="M125" s="3">
        <f t="shared" si="8"/>
        <v>27.38000000000001</v>
      </c>
      <c r="N125" s="3">
        <v>1.25</v>
      </c>
    </row>
    <row r="126" spans="4:14" ht="15" customHeight="1" x14ac:dyDescent="0.25">
      <c r="D126" s="7"/>
      <c r="H126" s="3" t="s">
        <v>14</v>
      </c>
      <c r="I126" s="3" t="s">
        <v>12</v>
      </c>
      <c r="L126" s="3">
        <v>12</v>
      </c>
      <c r="M126" s="3">
        <f t="shared" si="8"/>
        <v>26.13000000000001</v>
      </c>
      <c r="N126" s="3">
        <v>1.25</v>
      </c>
    </row>
    <row r="127" spans="4:14" ht="15" customHeight="1" x14ac:dyDescent="0.25">
      <c r="D127" s="7">
        <v>44553</v>
      </c>
      <c r="H127" s="3" t="s">
        <v>12</v>
      </c>
      <c r="I127" s="3" t="s">
        <v>14</v>
      </c>
      <c r="L127" s="3">
        <v>12</v>
      </c>
      <c r="M127" s="3">
        <f t="shared" si="8"/>
        <v>24.88000000000001</v>
      </c>
      <c r="N127" s="3">
        <v>1.25</v>
      </c>
    </row>
    <row r="128" spans="4:14" ht="15" customHeight="1" x14ac:dyDescent="0.25">
      <c r="D128" s="7"/>
      <c r="H128" s="3" t="s">
        <v>14</v>
      </c>
      <c r="I128" s="3" t="s">
        <v>12</v>
      </c>
      <c r="L128" s="3">
        <v>12</v>
      </c>
      <c r="M128" s="3">
        <f t="shared" si="8"/>
        <v>23.63000000000001</v>
      </c>
      <c r="N128" s="3">
        <v>1.25</v>
      </c>
    </row>
    <row r="129" spans="4:14" ht="15" customHeight="1" x14ac:dyDescent="0.25">
      <c r="D129" s="7"/>
      <c r="H129" s="3" t="s">
        <v>12</v>
      </c>
      <c r="I129" s="3" t="s">
        <v>24</v>
      </c>
      <c r="L129" s="3">
        <v>14</v>
      </c>
      <c r="M129" s="3">
        <f t="shared" si="8"/>
        <v>22.13000000000001</v>
      </c>
      <c r="N129" s="3">
        <v>1.5</v>
      </c>
    </row>
    <row r="130" spans="4:14" ht="15" customHeight="1" x14ac:dyDescent="0.25">
      <c r="D130" s="7"/>
      <c r="H130" s="3" t="s">
        <v>24</v>
      </c>
      <c r="I130" s="3" t="s">
        <v>12</v>
      </c>
      <c r="L130" s="3">
        <v>14</v>
      </c>
      <c r="M130" s="3">
        <f t="shared" si="8"/>
        <v>20.63000000000001</v>
      </c>
      <c r="N130" s="3">
        <v>1.5</v>
      </c>
    </row>
    <row r="131" spans="4:14" ht="15" customHeight="1" x14ac:dyDescent="0.25">
      <c r="D131" s="7">
        <v>44554</v>
      </c>
      <c r="H131" s="3" t="s">
        <v>12</v>
      </c>
      <c r="I131" s="3" t="s">
        <v>14</v>
      </c>
      <c r="L131" s="3">
        <v>12</v>
      </c>
      <c r="M131" s="3">
        <f t="shared" si="8"/>
        <v>19.38000000000001</v>
      </c>
      <c r="N131" s="3">
        <v>1.25</v>
      </c>
    </row>
    <row r="132" spans="4:14" ht="15" customHeight="1" x14ac:dyDescent="0.25">
      <c r="D132" s="7"/>
      <c r="H132" s="3" t="s">
        <v>14</v>
      </c>
      <c r="I132" s="3" t="s">
        <v>12</v>
      </c>
      <c r="L132" s="3">
        <v>12</v>
      </c>
      <c r="M132" s="3">
        <f t="shared" si="8"/>
        <v>18.13000000000001</v>
      </c>
      <c r="N132" s="3">
        <v>1.25</v>
      </c>
    </row>
    <row r="133" spans="4:14" ht="15" customHeight="1" x14ac:dyDescent="0.25">
      <c r="D133" s="7">
        <v>44557</v>
      </c>
      <c r="H133" s="3" t="s">
        <v>12</v>
      </c>
      <c r="I133" s="3" t="s">
        <v>14</v>
      </c>
      <c r="L133" s="3">
        <v>12</v>
      </c>
      <c r="M133" s="3">
        <f t="shared" si="8"/>
        <v>16.88000000000001</v>
      </c>
      <c r="N133" s="3">
        <v>1.25</v>
      </c>
    </row>
    <row r="134" spans="4:14" ht="15" customHeight="1" x14ac:dyDescent="0.25">
      <c r="D134" s="7"/>
      <c r="H134" s="3" t="s">
        <v>14</v>
      </c>
      <c r="I134" s="3" t="s">
        <v>12</v>
      </c>
      <c r="L134" s="3">
        <v>12</v>
      </c>
      <c r="M134" s="3">
        <f t="shared" si="8"/>
        <v>15.63000000000001</v>
      </c>
      <c r="N134" s="3">
        <v>1.25</v>
      </c>
    </row>
    <row r="135" spans="4:14" ht="15" customHeight="1" x14ac:dyDescent="0.25">
      <c r="D135" s="7"/>
      <c r="H135" s="3" t="s">
        <v>12</v>
      </c>
      <c r="I135" s="3" t="s">
        <v>23</v>
      </c>
      <c r="L135" s="3">
        <v>8</v>
      </c>
      <c r="M135" s="3">
        <f t="shared" si="8"/>
        <v>14.730000000000009</v>
      </c>
      <c r="N135" s="3">
        <v>0.9</v>
      </c>
    </row>
    <row r="136" spans="4:14" ht="15" customHeight="1" x14ac:dyDescent="0.25">
      <c r="D136" s="7"/>
      <c r="H136" s="3" t="s">
        <v>23</v>
      </c>
      <c r="I136" s="3" t="s">
        <v>12</v>
      </c>
      <c r="L136" s="3">
        <v>8</v>
      </c>
      <c r="M136" s="3">
        <f t="shared" si="8"/>
        <v>13.830000000000009</v>
      </c>
      <c r="N136" s="3">
        <v>0.9</v>
      </c>
    </row>
    <row r="137" spans="4:14" ht="15" customHeight="1" x14ac:dyDescent="0.25">
      <c r="D137" s="7">
        <v>44558</v>
      </c>
      <c r="H137" s="3" t="s">
        <v>12</v>
      </c>
      <c r="I137" s="3" t="s">
        <v>19</v>
      </c>
      <c r="L137" s="3">
        <v>30</v>
      </c>
      <c r="M137" s="3">
        <f t="shared" si="8"/>
        <v>10.330000000000009</v>
      </c>
      <c r="N137" s="3">
        <v>3.5</v>
      </c>
    </row>
    <row r="138" spans="4:14" ht="15" customHeight="1" x14ac:dyDescent="0.25">
      <c r="D138" s="7"/>
      <c r="H138" s="3" t="s">
        <v>19</v>
      </c>
      <c r="I138" s="3" t="s">
        <v>12</v>
      </c>
      <c r="L138" s="3">
        <v>30</v>
      </c>
      <c r="M138" s="3">
        <f t="shared" si="8"/>
        <v>6.830000000000009</v>
      </c>
      <c r="N138" s="3">
        <v>3.5</v>
      </c>
    </row>
    <row r="139" spans="4:14" ht="15" customHeight="1" x14ac:dyDescent="0.25">
      <c r="D139" s="7">
        <v>44559</v>
      </c>
      <c r="E139">
        <v>23.54</v>
      </c>
      <c r="F139" s="3">
        <v>50.9</v>
      </c>
      <c r="G139" s="8">
        <f>E139*F139</f>
        <v>1198.1859999999999</v>
      </c>
      <c r="H139" s="3" t="s">
        <v>12</v>
      </c>
      <c r="I139" s="3" t="s">
        <v>14</v>
      </c>
      <c r="L139" s="3">
        <v>12</v>
      </c>
      <c r="M139" s="3">
        <f>(E139+M138)-N139</f>
        <v>29.120000000000008</v>
      </c>
      <c r="N139" s="3">
        <v>1.25</v>
      </c>
    </row>
    <row r="140" spans="4:14" ht="15" customHeight="1" x14ac:dyDescent="0.25">
      <c r="D140" s="7"/>
      <c r="G140" s="8"/>
      <c r="H140" s="3" t="s">
        <v>14</v>
      </c>
      <c r="I140" s="3" t="s">
        <v>12</v>
      </c>
      <c r="L140" s="3">
        <v>12</v>
      </c>
      <c r="M140" s="3">
        <f t="shared" ref="M140:M150" si="9">M139-N140</f>
        <v>27.870000000000008</v>
      </c>
      <c r="N140" s="3">
        <v>1.25</v>
      </c>
    </row>
    <row r="141" spans="4:14" ht="15" customHeight="1" x14ac:dyDescent="0.25">
      <c r="D141" s="7"/>
      <c r="G141" s="8"/>
      <c r="H141" s="3" t="s">
        <v>12</v>
      </c>
      <c r="I141" s="3" t="s">
        <v>19</v>
      </c>
      <c r="L141" s="3">
        <v>30</v>
      </c>
      <c r="M141" s="3">
        <f t="shared" si="9"/>
        <v>24.370000000000008</v>
      </c>
      <c r="N141" s="3">
        <v>3.5</v>
      </c>
    </row>
    <row r="142" spans="4:14" ht="15" customHeight="1" x14ac:dyDescent="0.25">
      <c r="D142" s="7"/>
      <c r="G142" s="8"/>
      <c r="H142" s="3" t="s">
        <v>19</v>
      </c>
      <c r="I142" s="3" t="s">
        <v>12</v>
      </c>
      <c r="L142" s="3">
        <v>30</v>
      </c>
      <c r="M142" s="3">
        <f t="shared" si="9"/>
        <v>20.870000000000008</v>
      </c>
      <c r="N142" s="3">
        <v>3.5</v>
      </c>
    </row>
    <row r="143" spans="4:14" ht="15" customHeight="1" x14ac:dyDescent="0.25">
      <c r="D143" s="7"/>
      <c r="G143" s="8"/>
      <c r="H143" s="3" t="s">
        <v>12</v>
      </c>
      <c r="I143" s="3" t="s">
        <v>14</v>
      </c>
      <c r="L143" s="3">
        <v>12</v>
      </c>
      <c r="M143" s="3">
        <f t="shared" si="9"/>
        <v>19.620000000000008</v>
      </c>
      <c r="N143" s="3">
        <v>1.25</v>
      </c>
    </row>
    <row r="144" spans="4:14" ht="15" customHeight="1" x14ac:dyDescent="0.25">
      <c r="D144" s="7"/>
      <c r="G144" s="8"/>
      <c r="H144" s="3" t="s">
        <v>14</v>
      </c>
      <c r="I144" s="3" t="s">
        <v>12</v>
      </c>
      <c r="L144" s="3">
        <v>12</v>
      </c>
      <c r="M144" s="3">
        <f t="shared" si="9"/>
        <v>18.370000000000008</v>
      </c>
      <c r="N144" s="3">
        <v>1.25</v>
      </c>
    </row>
    <row r="145" spans="4:14" ht="15" customHeight="1" x14ac:dyDescent="0.25">
      <c r="D145" s="7">
        <v>44560</v>
      </c>
      <c r="H145" s="3" t="s">
        <v>12</v>
      </c>
      <c r="I145" s="3" t="s">
        <v>14</v>
      </c>
      <c r="L145" s="3">
        <v>12</v>
      </c>
      <c r="M145" s="3">
        <f t="shared" si="9"/>
        <v>17.120000000000008</v>
      </c>
      <c r="N145" s="3">
        <v>1.25</v>
      </c>
    </row>
    <row r="146" spans="4:14" ht="15" customHeight="1" x14ac:dyDescent="0.25">
      <c r="D146" s="7"/>
      <c r="H146" s="3" t="s">
        <v>14</v>
      </c>
      <c r="I146" s="3" t="s">
        <v>12</v>
      </c>
      <c r="L146" s="3">
        <v>12</v>
      </c>
      <c r="M146" s="3">
        <f t="shared" si="9"/>
        <v>15.870000000000008</v>
      </c>
      <c r="N146" s="3">
        <v>1.25</v>
      </c>
    </row>
    <row r="147" spans="4:14" ht="15" customHeight="1" x14ac:dyDescent="0.25">
      <c r="D147" s="7"/>
      <c r="H147" s="3" t="s">
        <v>12</v>
      </c>
      <c r="I147" s="3" t="s">
        <v>24</v>
      </c>
      <c r="L147" s="3">
        <v>14</v>
      </c>
      <c r="M147" s="3">
        <f t="shared" si="9"/>
        <v>14.370000000000008</v>
      </c>
      <c r="N147" s="3">
        <v>1.5</v>
      </c>
    </row>
    <row r="148" spans="4:14" ht="15" customHeight="1" x14ac:dyDescent="0.25">
      <c r="D148" s="7"/>
      <c r="H148" s="3" t="s">
        <v>24</v>
      </c>
      <c r="I148" s="3" t="s">
        <v>12</v>
      </c>
      <c r="L148" s="3">
        <v>14</v>
      </c>
      <c r="M148" s="3">
        <f t="shared" si="9"/>
        <v>12.870000000000008</v>
      </c>
      <c r="N148" s="3">
        <v>1.5</v>
      </c>
    </row>
    <row r="149" spans="4:14" ht="15" customHeight="1" x14ac:dyDescent="0.25">
      <c r="H149" s="3" t="s">
        <v>12</v>
      </c>
      <c r="I149" s="3" t="s">
        <v>26</v>
      </c>
      <c r="L149" s="3">
        <v>6</v>
      </c>
      <c r="M149" s="3">
        <f t="shared" si="9"/>
        <v>12.070000000000007</v>
      </c>
      <c r="N149" s="3">
        <v>0.8</v>
      </c>
    </row>
    <row r="150" spans="4:14" ht="15" customHeight="1" x14ac:dyDescent="0.25">
      <c r="D150" s="7"/>
      <c r="H150" s="3" t="s">
        <v>26</v>
      </c>
      <c r="I150" s="3" t="s">
        <v>12</v>
      </c>
      <c r="L150" s="3">
        <v>6</v>
      </c>
      <c r="M150" s="3">
        <f t="shared" si="9"/>
        <v>11.270000000000007</v>
      </c>
      <c r="N150" s="3">
        <v>0.8</v>
      </c>
    </row>
    <row r="151" spans="4:14" ht="15" customHeight="1" x14ac:dyDescent="0.25">
      <c r="D151" s="7">
        <v>44561</v>
      </c>
    </row>
    <row r="153" spans="4:14" ht="15" customHeight="1" x14ac:dyDescent="0.25">
      <c r="D153" s="2" t="s">
        <v>27</v>
      </c>
      <c r="E153" s="2"/>
      <c r="F153" s="2"/>
      <c r="G153" s="2"/>
    </row>
    <row r="154" spans="4:14" ht="15" customHeight="1" x14ac:dyDescent="0.25">
      <c r="D154" s="7">
        <v>44571</v>
      </c>
      <c r="H154" s="3" t="s">
        <v>12</v>
      </c>
      <c r="I154" s="3" t="s">
        <v>14</v>
      </c>
      <c r="L154" s="3">
        <v>12</v>
      </c>
      <c r="M154" s="3">
        <f>M150-N154</f>
        <v>10.020000000000007</v>
      </c>
      <c r="N154" s="3">
        <v>1.25</v>
      </c>
    </row>
    <row r="155" spans="4:14" ht="15" customHeight="1" x14ac:dyDescent="0.25">
      <c r="H155" s="3" t="s">
        <v>14</v>
      </c>
      <c r="I155" s="3" t="s">
        <v>12</v>
      </c>
      <c r="L155" s="3">
        <v>12</v>
      </c>
      <c r="M155" s="3">
        <f>M154-N155</f>
        <v>8.7700000000000067</v>
      </c>
      <c r="N155" s="3">
        <v>1.25</v>
      </c>
    </row>
    <row r="156" spans="4:14" ht="15" customHeight="1" x14ac:dyDescent="0.25">
      <c r="D156" s="7">
        <v>44572</v>
      </c>
      <c r="H156" s="3" t="s">
        <v>12</v>
      </c>
      <c r="I156" s="3" t="s">
        <v>28</v>
      </c>
      <c r="L156" s="3">
        <v>24</v>
      </c>
      <c r="M156" s="3">
        <f>M155-N156</f>
        <v>5.9700000000000069</v>
      </c>
      <c r="N156" s="3">
        <v>2.8</v>
      </c>
    </row>
    <row r="157" spans="4:14" ht="15" customHeight="1" x14ac:dyDescent="0.25">
      <c r="D157" s="7"/>
      <c r="H157" s="3" t="s">
        <v>28</v>
      </c>
      <c r="I157" s="3" t="s">
        <v>12</v>
      </c>
      <c r="L157" s="3">
        <v>24</v>
      </c>
      <c r="M157" s="3">
        <f>M156-N157</f>
        <v>3.170000000000007</v>
      </c>
      <c r="N157" s="3">
        <v>2.8</v>
      </c>
    </row>
    <row r="158" spans="4:14" ht="15" customHeight="1" x14ac:dyDescent="0.25">
      <c r="D158" s="7">
        <v>44573</v>
      </c>
      <c r="E158">
        <v>23.53</v>
      </c>
      <c r="F158" s="3">
        <v>51.05</v>
      </c>
      <c r="G158" s="8">
        <f>E158*F158</f>
        <v>1201.2065</v>
      </c>
      <c r="H158" s="3" t="s">
        <v>12</v>
      </c>
      <c r="I158" s="3" t="s">
        <v>29</v>
      </c>
      <c r="L158" s="3">
        <v>49</v>
      </c>
      <c r="M158" s="3">
        <f>(E158+M157)-N158</f>
        <v>20.900000000000009</v>
      </c>
      <c r="N158" s="3">
        <v>5.8</v>
      </c>
    </row>
    <row r="159" spans="4:14" ht="15" customHeight="1" x14ac:dyDescent="0.25">
      <c r="D159" s="7"/>
      <c r="H159" s="3" t="s">
        <v>29</v>
      </c>
      <c r="I159" s="3" t="s">
        <v>12</v>
      </c>
      <c r="L159" s="3">
        <v>49</v>
      </c>
      <c r="M159" s="3">
        <f t="shared" ref="M159:M165" si="10">M158-N159</f>
        <v>15.100000000000009</v>
      </c>
      <c r="N159" s="3">
        <v>5.8</v>
      </c>
    </row>
    <row r="160" spans="4:14" ht="15" customHeight="1" x14ac:dyDescent="0.25">
      <c r="D160" s="7">
        <v>44574</v>
      </c>
      <c r="H160" s="3" t="s">
        <v>12</v>
      </c>
      <c r="I160" s="3" t="s">
        <v>14</v>
      </c>
      <c r="L160" s="3">
        <v>12</v>
      </c>
      <c r="M160" s="3">
        <f t="shared" si="10"/>
        <v>13.850000000000009</v>
      </c>
      <c r="N160" s="3">
        <v>1.25</v>
      </c>
    </row>
    <row r="161" spans="4:14" ht="15" customHeight="1" x14ac:dyDescent="0.25">
      <c r="D161" s="7"/>
      <c r="H161" s="3" t="s">
        <v>14</v>
      </c>
      <c r="I161" s="3" t="s">
        <v>12</v>
      </c>
      <c r="L161" s="3">
        <v>12</v>
      </c>
      <c r="M161" s="3">
        <f t="shared" si="10"/>
        <v>12.600000000000009</v>
      </c>
      <c r="N161" s="3">
        <v>1.25</v>
      </c>
    </row>
    <row r="162" spans="4:14" ht="15" customHeight="1" x14ac:dyDescent="0.25">
      <c r="D162" s="7">
        <v>44575</v>
      </c>
      <c r="H162" s="3" t="s">
        <v>12</v>
      </c>
      <c r="I162" s="3" t="s">
        <v>30</v>
      </c>
      <c r="L162" s="3">
        <v>27</v>
      </c>
      <c r="M162" s="3">
        <f t="shared" si="10"/>
        <v>9.4000000000000092</v>
      </c>
      <c r="N162" s="3">
        <v>3.2</v>
      </c>
    </row>
    <row r="163" spans="4:14" ht="15" customHeight="1" x14ac:dyDescent="0.25">
      <c r="D163" s="7"/>
      <c r="H163" s="3" t="s">
        <v>30</v>
      </c>
      <c r="I163" s="3" t="s">
        <v>12</v>
      </c>
      <c r="L163" s="3">
        <v>27</v>
      </c>
      <c r="M163" s="3">
        <f t="shared" si="10"/>
        <v>6.2000000000000091</v>
      </c>
      <c r="N163" s="3">
        <v>3.2</v>
      </c>
    </row>
    <row r="164" spans="4:14" ht="15" customHeight="1" x14ac:dyDescent="0.25">
      <c r="D164" s="7">
        <v>44578</v>
      </c>
      <c r="H164" s="3" t="s">
        <v>12</v>
      </c>
      <c r="I164" s="3" t="s">
        <v>24</v>
      </c>
      <c r="L164" s="3">
        <v>14</v>
      </c>
      <c r="M164" s="3">
        <f t="shared" si="10"/>
        <v>4.7000000000000091</v>
      </c>
      <c r="N164" s="3">
        <v>1.5</v>
      </c>
    </row>
    <row r="165" spans="4:14" ht="15" customHeight="1" x14ac:dyDescent="0.25">
      <c r="D165" s="7"/>
      <c r="H165" s="3" t="s">
        <v>24</v>
      </c>
      <c r="I165" s="3" t="s">
        <v>12</v>
      </c>
      <c r="L165" s="3">
        <v>14</v>
      </c>
      <c r="M165" s="3">
        <f t="shared" si="10"/>
        <v>3.2000000000000091</v>
      </c>
      <c r="N165" s="3">
        <v>1.5</v>
      </c>
    </row>
    <row r="166" spans="4:14" ht="15" customHeight="1" x14ac:dyDescent="0.25">
      <c r="D166" s="7">
        <v>44579</v>
      </c>
      <c r="E166">
        <v>22.28</v>
      </c>
      <c r="F166" s="3">
        <v>51.4</v>
      </c>
      <c r="G166" s="8">
        <f>E166*F166</f>
        <v>1145.192</v>
      </c>
      <c r="H166" s="3" t="s">
        <v>12</v>
      </c>
      <c r="I166" s="3" t="s">
        <v>31</v>
      </c>
      <c r="L166" s="3">
        <v>27</v>
      </c>
      <c r="M166" s="3">
        <f>(E166+M165)-N166</f>
        <v>22.280000000000012</v>
      </c>
      <c r="N166" s="3">
        <v>3.2</v>
      </c>
    </row>
    <row r="167" spans="4:14" ht="15" customHeight="1" x14ac:dyDescent="0.25">
      <c r="D167" s="7"/>
      <c r="H167" s="3" t="s">
        <v>31</v>
      </c>
      <c r="I167" s="3" t="s">
        <v>12</v>
      </c>
      <c r="L167" s="3">
        <v>27</v>
      </c>
      <c r="M167" s="3">
        <f t="shared" ref="M167:M179" si="11">M166-N167</f>
        <v>19.080000000000013</v>
      </c>
      <c r="N167" s="3">
        <v>3.2</v>
      </c>
    </row>
    <row r="168" spans="4:14" ht="15" customHeight="1" x14ac:dyDescent="0.25">
      <c r="D168" s="7">
        <v>44580</v>
      </c>
      <c r="H168" s="3" t="s">
        <v>12</v>
      </c>
      <c r="I168" s="3" t="s">
        <v>14</v>
      </c>
      <c r="L168" s="3">
        <v>12</v>
      </c>
      <c r="M168" s="3">
        <f t="shared" si="11"/>
        <v>17.830000000000013</v>
      </c>
      <c r="N168" s="3">
        <v>1.25</v>
      </c>
    </row>
    <row r="169" spans="4:14" ht="15" customHeight="1" x14ac:dyDescent="0.25">
      <c r="D169" s="7"/>
      <c r="H169" s="3" t="s">
        <v>14</v>
      </c>
      <c r="I169" s="3" t="s">
        <v>12</v>
      </c>
      <c r="L169" s="3">
        <v>12</v>
      </c>
      <c r="M169" s="3">
        <f t="shared" si="11"/>
        <v>16.580000000000013</v>
      </c>
      <c r="N169" s="3">
        <v>1.25</v>
      </c>
    </row>
    <row r="170" spans="4:14" ht="15" customHeight="1" x14ac:dyDescent="0.25">
      <c r="D170" s="7">
        <v>44581</v>
      </c>
      <c r="H170" s="3" t="s">
        <v>12</v>
      </c>
      <c r="I170" s="3" t="s">
        <v>24</v>
      </c>
      <c r="L170" s="3">
        <v>14</v>
      </c>
      <c r="M170" s="3">
        <f t="shared" si="11"/>
        <v>15.080000000000013</v>
      </c>
      <c r="N170" s="3">
        <v>1.5</v>
      </c>
    </row>
    <row r="171" spans="4:14" ht="15" customHeight="1" x14ac:dyDescent="0.25">
      <c r="D171" s="7"/>
      <c r="H171" s="3" t="s">
        <v>24</v>
      </c>
      <c r="I171" s="3" t="s">
        <v>12</v>
      </c>
      <c r="L171" s="3">
        <v>14</v>
      </c>
      <c r="M171" s="3">
        <f t="shared" si="11"/>
        <v>13.580000000000013</v>
      </c>
      <c r="N171" s="3">
        <v>1.5</v>
      </c>
    </row>
    <row r="172" spans="4:14" ht="15" customHeight="1" x14ac:dyDescent="0.25">
      <c r="D172" s="7">
        <v>44582</v>
      </c>
      <c r="H172" s="3" t="s">
        <v>12</v>
      </c>
      <c r="I172" s="3" t="s">
        <v>32</v>
      </c>
      <c r="L172" s="3">
        <v>25</v>
      </c>
      <c r="M172" s="3">
        <f t="shared" si="11"/>
        <v>10.580000000000013</v>
      </c>
      <c r="N172" s="3">
        <v>3</v>
      </c>
    </row>
    <row r="173" spans="4:14" ht="15" customHeight="1" x14ac:dyDescent="0.25">
      <c r="D173" s="7"/>
      <c r="H173" s="3" t="s">
        <v>32</v>
      </c>
      <c r="I173" s="3" t="s">
        <v>12</v>
      </c>
      <c r="L173" s="3">
        <v>25</v>
      </c>
      <c r="M173" s="3">
        <f t="shared" si="11"/>
        <v>7.5800000000000125</v>
      </c>
      <c r="N173" s="3">
        <v>3</v>
      </c>
    </row>
    <row r="174" spans="4:14" ht="15" customHeight="1" x14ac:dyDescent="0.25">
      <c r="D174" s="7">
        <v>44585</v>
      </c>
      <c r="H174" s="3" t="s">
        <v>12</v>
      </c>
      <c r="I174" s="3" t="s">
        <v>14</v>
      </c>
      <c r="L174" s="3">
        <v>12</v>
      </c>
      <c r="M174" s="3">
        <f t="shared" si="11"/>
        <v>6.3300000000000125</v>
      </c>
      <c r="N174" s="3">
        <v>1.25</v>
      </c>
    </row>
    <row r="175" spans="4:14" ht="15" customHeight="1" x14ac:dyDescent="0.25">
      <c r="D175" s="7"/>
      <c r="H175" s="3" t="s">
        <v>14</v>
      </c>
      <c r="I175" s="3" t="s">
        <v>12</v>
      </c>
      <c r="L175" s="3">
        <v>12</v>
      </c>
      <c r="M175" s="3">
        <f t="shared" si="11"/>
        <v>5.0800000000000125</v>
      </c>
      <c r="N175" s="3">
        <v>1.25</v>
      </c>
    </row>
    <row r="176" spans="4:14" ht="15" customHeight="1" x14ac:dyDescent="0.25">
      <c r="D176" s="7">
        <v>44586</v>
      </c>
      <c r="H176" s="3" t="s">
        <v>12</v>
      </c>
      <c r="I176" s="3" t="s">
        <v>14</v>
      </c>
      <c r="L176" s="3">
        <v>12</v>
      </c>
      <c r="M176" s="3">
        <f t="shared" si="11"/>
        <v>3.8300000000000125</v>
      </c>
      <c r="N176" s="3">
        <v>1.25</v>
      </c>
    </row>
    <row r="177" spans="4:14" ht="15" customHeight="1" x14ac:dyDescent="0.25">
      <c r="D177" s="7"/>
      <c r="H177" s="3" t="s">
        <v>14</v>
      </c>
      <c r="I177" s="3" t="s">
        <v>12</v>
      </c>
      <c r="L177" s="3">
        <v>12</v>
      </c>
      <c r="M177" s="3">
        <f t="shared" si="11"/>
        <v>2.5800000000000125</v>
      </c>
      <c r="N177" s="3">
        <v>1.25</v>
      </c>
    </row>
    <row r="178" spans="4:14" ht="15" customHeight="1" x14ac:dyDescent="0.25">
      <c r="D178" s="7">
        <v>44587</v>
      </c>
      <c r="H178" s="3" t="s">
        <v>12</v>
      </c>
      <c r="I178" s="3" t="s">
        <v>14</v>
      </c>
      <c r="L178" s="3">
        <v>12</v>
      </c>
      <c r="M178" s="3">
        <f t="shared" si="11"/>
        <v>1.3300000000000125</v>
      </c>
      <c r="N178" s="3">
        <v>1.25</v>
      </c>
    </row>
    <row r="179" spans="4:14" ht="15" customHeight="1" x14ac:dyDescent="0.25">
      <c r="D179" s="7"/>
      <c r="H179" s="3" t="s">
        <v>14</v>
      </c>
      <c r="I179" s="3" t="s">
        <v>12</v>
      </c>
      <c r="L179" s="3">
        <v>12</v>
      </c>
      <c r="M179" s="3">
        <f t="shared" si="11"/>
        <v>8.0000000000012506E-2</v>
      </c>
      <c r="N179" s="3">
        <v>1.25</v>
      </c>
    </row>
    <row r="180" spans="4:14" ht="15" customHeight="1" x14ac:dyDescent="0.25">
      <c r="D180" s="7">
        <v>44588</v>
      </c>
      <c r="E180">
        <v>22.57</v>
      </c>
      <c r="F180" s="3">
        <v>51.6</v>
      </c>
      <c r="G180" s="8">
        <f>E180*F180</f>
        <v>1164.6120000000001</v>
      </c>
      <c r="H180" s="3" t="s">
        <v>12</v>
      </c>
      <c r="I180" s="3" t="s">
        <v>31</v>
      </c>
      <c r="L180" s="3">
        <v>27</v>
      </c>
      <c r="M180" s="3">
        <f>(E180+M179)-N180</f>
        <v>19.450000000000014</v>
      </c>
      <c r="N180" s="3">
        <v>3.2</v>
      </c>
    </row>
    <row r="181" spans="4:14" ht="15" customHeight="1" x14ac:dyDescent="0.25">
      <c r="D181" s="7"/>
      <c r="G181" s="8"/>
      <c r="H181" s="3" t="s">
        <v>31</v>
      </c>
      <c r="I181" s="3" t="s">
        <v>12</v>
      </c>
      <c r="L181" s="3">
        <v>27</v>
      </c>
      <c r="M181" s="3">
        <f t="shared" ref="M181:M187" si="12">M180-N181</f>
        <v>16.250000000000014</v>
      </c>
      <c r="N181" s="3">
        <v>3.2</v>
      </c>
    </row>
    <row r="182" spans="4:14" ht="15" customHeight="1" x14ac:dyDescent="0.25">
      <c r="D182" s="7"/>
      <c r="G182" s="8"/>
      <c r="H182" s="3" t="s">
        <v>12</v>
      </c>
      <c r="I182" s="3" t="s">
        <v>32</v>
      </c>
      <c r="L182" s="3">
        <v>25</v>
      </c>
      <c r="M182" s="3">
        <f t="shared" si="12"/>
        <v>13.250000000000014</v>
      </c>
      <c r="N182" s="3">
        <v>3</v>
      </c>
    </row>
    <row r="183" spans="4:14" ht="15" customHeight="1" x14ac:dyDescent="0.25">
      <c r="D183" s="7"/>
      <c r="G183" s="8"/>
      <c r="H183" s="3" t="s">
        <v>32</v>
      </c>
      <c r="I183" s="3" t="s">
        <v>12</v>
      </c>
      <c r="L183" s="3">
        <v>25</v>
      </c>
      <c r="M183" s="3">
        <f t="shared" si="12"/>
        <v>10.250000000000014</v>
      </c>
      <c r="N183" s="3">
        <v>3</v>
      </c>
    </row>
    <row r="184" spans="4:14" ht="15" customHeight="1" x14ac:dyDescent="0.25">
      <c r="D184" s="7">
        <v>44589</v>
      </c>
      <c r="H184" s="3" t="s">
        <v>12</v>
      </c>
      <c r="I184" s="3" t="s">
        <v>24</v>
      </c>
      <c r="L184" s="3">
        <v>14</v>
      </c>
      <c r="M184" s="3">
        <f t="shared" si="12"/>
        <v>8.7500000000000142</v>
      </c>
      <c r="N184" s="3">
        <v>1.5</v>
      </c>
    </row>
    <row r="185" spans="4:14" ht="15" customHeight="1" x14ac:dyDescent="0.25">
      <c r="D185" s="7"/>
      <c r="H185" s="3" t="s">
        <v>24</v>
      </c>
      <c r="I185" s="3" t="s">
        <v>12</v>
      </c>
      <c r="L185" s="3">
        <v>14</v>
      </c>
      <c r="M185" s="3">
        <f t="shared" si="12"/>
        <v>7.2500000000000142</v>
      </c>
      <c r="N185" s="3">
        <v>1.5</v>
      </c>
    </row>
    <row r="186" spans="4:14" ht="15" customHeight="1" x14ac:dyDescent="0.25">
      <c r="D186" s="7"/>
      <c r="H186" s="3" t="s">
        <v>12</v>
      </c>
      <c r="I186" s="3" t="s">
        <v>28</v>
      </c>
      <c r="L186" s="3">
        <v>24</v>
      </c>
      <c r="M186" s="3">
        <f t="shared" si="12"/>
        <v>4.4500000000000144</v>
      </c>
      <c r="N186" s="3">
        <v>2.8</v>
      </c>
    </row>
    <row r="187" spans="4:14" ht="15" customHeight="1" x14ac:dyDescent="0.25">
      <c r="D187" s="7"/>
      <c r="H187" s="3" t="s">
        <v>28</v>
      </c>
      <c r="I187" s="3" t="s">
        <v>12</v>
      </c>
      <c r="L187" s="3">
        <v>24</v>
      </c>
      <c r="M187" s="3">
        <f t="shared" si="12"/>
        <v>1.6500000000000146</v>
      </c>
      <c r="N187" s="3">
        <v>2.8</v>
      </c>
    </row>
    <row r="188" spans="4:14" ht="15" customHeight="1" x14ac:dyDescent="0.25">
      <c r="D188" s="7">
        <v>44592</v>
      </c>
      <c r="E188">
        <v>24.2</v>
      </c>
      <c r="F188" s="3">
        <v>51.5</v>
      </c>
      <c r="G188" s="8">
        <f>E188*F188</f>
        <v>1246.3</v>
      </c>
      <c r="H188" s="3" t="s">
        <v>12</v>
      </c>
      <c r="I188" s="3" t="s">
        <v>29</v>
      </c>
      <c r="J188" s="3">
        <v>145668</v>
      </c>
      <c r="K188" s="3">
        <f>J188+L188</f>
        <v>145717</v>
      </c>
      <c r="L188" s="3">
        <v>49</v>
      </c>
      <c r="M188" s="3">
        <f>(E188+M187)-N188</f>
        <v>20.050000000000015</v>
      </c>
      <c r="N188" s="3">
        <v>5.8</v>
      </c>
    </row>
    <row r="189" spans="4:14" ht="15" customHeight="1" x14ac:dyDescent="0.25">
      <c r="H189" s="3" t="s">
        <v>29</v>
      </c>
      <c r="I189" s="3" t="s">
        <v>12</v>
      </c>
      <c r="J189" s="3">
        <f>K188</f>
        <v>145717</v>
      </c>
      <c r="K189" s="3">
        <f>J189+L189</f>
        <v>145766</v>
      </c>
      <c r="L189" s="3">
        <v>49</v>
      </c>
      <c r="M189" s="3">
        <f>M188-N189</f>
        <v>14.250000000000014</v>
      </c>
      <c r="N189" s="3">
        <v>5.8</v>
      </c>
    </row>
    <row r="191" spans="4:14" ht="15" customHeight="1" x14ac:dyDescent="0.25">
      <c r="D191" s="2" t="s">
        <v>33</v>
      </c>
      <c r="E191" s="2"/>
      <c r="F191" s="2"/>
      <c r="G191" s="2"/>
    </row>
    <row r="192" spans="4:14" ht="15" customHeight="1" x14ac:dyDescent="0.25">
      <c r="D192" s="7">
        <v>44593</v>
      </c>
      <c r="H192" s="3" t="s">
        <v>34</v>
      </c>
      <c r="I192" s="3" t="s">
        <v>35</v>
      </c>
      <c r="J192" s="3">
        <f>K189</f>
        <v>145766</v>
      </c>
      <c r="K192" s="3">
        <f t="shared" ref="K192:K237" si="13">J192+L192</f>
        <v>145778</v>
      </c>
      <c r="L192" s="3">
        <v>12</v>
      </c>
      <c r="M192" s="3">
        <f>M189-N192</f>
        <v>13.000000000000014</v>
      </c>
      <c r="N192" s="3">
        <v>1.25</v>
      </c>
    </row>
    <row r="193" spans="4:14" ht="15" customHeight="1" x14ac:dyDescent="0.25">
      <c r="H193" s="3" t="s">
        <v>35</v>
      </c>
      <c r="I193" s="3" t="s">
        <v>34</v>
      </c>
      <c r="J193" s="3">
        <f t="shared" ref="J193:J237" si="14">K192</f>
        <v>145778</v>
      </c>
      <c r="K193" s="3">
        <f t="shared" si="13"/>
        <v>145790</v>
      </c>
      <c r="L193" s="3">
        <v>12</v>
      </c>
      <c r="M193" s="3">
        <f t="shared" ref="M193:M199" si="15">M192-N193</f>
        <v>11.750000000000014</v>
      </c>
      <c r="N193" s="3">
        <v>1.25</v>
      </c>
    </row>
    <row r="194" spans="4:14" ht="15" customHeight="1" x14ac:dyDescent="0.25">
      <c r="D194" s="7">
        <v>44594</v>
      </c>
      <c r="H194" s="3" t="s">
        <v>34</v>
      </c>
      <c r="I194" s="3" t="s">
        <v>35</v>
      </c>
      <c r="J194" s="3">
        <f t="shared" si="14"/>
        <v>145790</v>
      </c>
      <c r="K194" s="3">
        <f t="shared" si="13"/>
        <v>145802</v>
      </c>
      <c r="L194" s="3">
        <v>12</v>
      </c>
      <c r="M194" s="3">
        <f t="shared" si="15"/>
        <v>10.500000000000014</v>
      </c>
      <c r="N194" s="3">
        <v>1.25</v>
      </c>
    </row>
    <row r="195" spans="4:14" ht="15" customHeight="1" x14ac:dyDescent="0.25">
      <c r="D195" s="7"/>
      <c r="H195" s="3" t="s">
        <v>35</v>
      </c>
      <c r="I195" s="3" t="s">
        <v>34</v>
      </c>
      <c r="J195" s="3">
        <f t="shared" si="14"/>
        <v>145802</v>
      </c>
      <c r="K195" s="3">
        <f t="shared" si="13"/>
        <v>145814</v>
      </c>
      <c r="L195" s="3">
        <v>12</v>
      </c>
      <c r="M195" s="3">
        <f t="shared" si="15"/>
        <v>9.2500000000000142</v>
      </c>
      <c r="N195" s="3">
        <v>1.25</v>
      </c>
    </row>
    <row r="196" spans="4:14" ht="15" customHeight="1" x14ac:dyDescent="0.25">
      <c r="D196" s="7">
        <v>44595</v>
      </c>
      <c r="H196" s="3" t="s">
        <v>34</v>
      </c>
      <c r="I196" s="3" t="s">
        <v>24</v>
      </c>
      <c r="J196" s="3">
        <f t="shared" si="14"/>
        <v>145814</v>
      </c>
      <c r="K196" s="3">
        <f t="shared" si="13"/>
        <v>145828</v>
      </c>
      <c r="L196" s="3">
        <v>14</v>
      </c>
      <c r="M196" s="3">
        <f t="shared" si="15"/>
        <v>7.7500000000000142</v>
      </c>
      <c r="N196" s="3">
        <v>1.5</v>
      </c>
    </row>
    <row r="197" spans="4:14" ht="15" customHeight="1" x14ac:dyDescent="0.25">
      <c r="D197" s="7"/>
      <c r="H197" s="3" t="s">
        <v>24</v>
      </c>
      <c r="I197" s="3" t="s">
        <v>34</v>
      </c>
      <c r="J197" s="3">
        <f t="shared" si="14"/>
        <v>145828</v>
      </c>
      <c r="K197" s="3">
        <f t="shared" si="13"/>
        <v>145842</v>
      </c>
      <c r="L197" s="3">
        <v>14</v>
      </c>
      <c r="M197" s="3">
        <f t="shared" si="15"/>
        <v>6.2500000000000142</v>
      </c>
      <c r="N197" s="3">
        <v>1.5</v>
      </c>
    </row>
    <row r="198" spans="4:14" ht="15" customHeight="1" x14ac:dyDescent="0.25">
      <c r="D198" s="7">
        <v>44596</v>
      </c>
      <c r="H198" s="3" t="s">
        <v>34</v>
      </c>
      <c r="I198" s="3" t="s">
        <v>32</v>
      </c>
      <c r="J198" s="3">
        <f t="shared" si="14"/>
        <v>145842</v>
      </c>
      <c r="K198" s="3">
        <f t="shared" si="13"/>
        <v>145867</v>
      </c>
      <c r="L198" s="3">
        <v>25</v>
      </c>
      <c r="M198" s="3">
        <f t="shared" si="15"/>
        <v>3.2500000000000142</v>
      </c>
      <c r="N198" s="3">
        <v>3</v>
      </c>
    </row>
    <row r="199" spans="4:14" ht="15" customHeight="1" x14ac:dyDescent="0.25">
      <c r="D199" s="7"/>
      <c r="H199" s="3" t="s">
        <v>32</v>
      </c>
      <c r="I199" s="3" t="s">
        <v>34</v>
      </c>
      <c r="J199" s="3">
        <f t="shared" si="14"/>
        <v>145867</v>
      </c>
      <c r="K199" s="3">
        <f t="shared" si="13"/>
        <v>145892</v>
      </c>
      <c r="L199" s="3">
        <v>25</v>
      </c>
      <c r="M199" s="3">
        <f t="shared" si="15"/>
        <v>0.25000000000001421</v>
      </c>
      <c r="N199" s="3">
        <v>3</v>
      </c>
    </row>
    <row r="200" spans="4:14" ht="15" customHeight="1" x14ac:dyDescent="0.25">
      <c r="D200" s="7">
        <v>44599</v>
      </c>
      <c r="E200">
        <v>23.59</v>
      </c>
      <c r="F200" s="3">
        <v>51.9</v>
      </c>
      <c r="G200" s="8">
        <f>E200*F200</f>
        <v>1224.3209999999999</v>
      </c>
      <c r="H200" s="3" t="s">
        <v>34</v>
      </c>
      <c r="I200" s="3" t="s">
        <v>29</v>
      </c>
      <c r="J200" s="3">
        <f t="shared" si="14"/>
        <v>145892</v>
      </c>
      <c r="K200" s="3">
        <f t="shared" si="13"/>
        <v>145941</v>
      </c>
      <c r="L200" s="3">
        <v>49</v>
      </c>
      <c r="M200" s="3">
        <f>(E200+M199)-N200</f>
        <v>18.040000000000013</v>
      </c>
      <c r="N200" s="3">
        <v>5.8</v>
      </c>
    </row>
    <row r="201" spans="4:14" ht="15" customHeight="1" x14ac:dyDescent="0.25">
      <c r="D201" s="7"/>
      <c r="G201" s="8"/>
      <c r="H201" s="3" t="s">
        <v>29</v>
      </c>
      <c r="I201" s="3" t="s">
        <v>34</v>
      </c>
      <c r="J201" s="3">
        <f t="shared" si="14"/>
        <v>145941</v>
      </c>
      <c r="K201" s="3">
        <f t="shared" si="13"/>
        <v>145990</v>
      </c>
      <c r="L201" s="3">
        <v>49</v>
      </c>
      <c r="M201" s="3">
        <f>M200-N201</f>
        <v>12.240000000000013</v>
      </c>
      <c r="N201" s="3">
        <v>5.8</v>
      </c>
    </row>
    <row r="202" spans="4:14" ht="15" customHeight="1" x14ac:dyDescent="0.25">
      <c r="D202" s="7">
        <v>44600</v>
      </c>
      <c r="H202" s="3" t="s">
        <v>12</v>
      </c>
      <c r="I202" s="3" t="s">
        <v>31</v>
      </c>
      <c r="J202" s="3">
        <f t="shared" si="14"/>
        <v>145990</v>
      </c>
      <c r="K202" s="3">
        <f t="shared" si="13"/>
        <v>146017</v>
      </c>
      <c r="L202" s="3">
        <v>27</v>
      </c>
      <c r="M202" s="3">
        <f>M201-N202</f>
        <v>9.0400000000000134</v>
      </c>
      <c r="N202" s="3">
        <v>3.2</v>
      </c>
    </row>
    <row r="203" spans="4:14" ht="15" customHeight="1" x14ac:dyDescent="0.25">
      <c r="D203" s="7"/>
      <c r="H203" s="3" t="s">
        <v>31</v>
      </c>
      <c r="I203" s="3" t="s">
        <v>12</v>
      </c>
      <c r="J203" s="3">
        <f t="shared" si="14"/>
        <v>146017</v>
      </c>
      <c r="K203" s="3">
        <f t="shared" si="13"/>
        <v>146044</v>
      </c>
      <c r="L203" s="3">
        <v>27</v>
      </c>
      <c r="M203" s="3">
        <f>M202-N203</f>
        <v>5.8400000000000132</v>
      </c>
      <c r="N203" s="3">
        <v>3.2</v>
      </c>
    </row>
    <row r="204" spans="4:14" ht="15" customHeight="1" x14ac:dyDescent="0.25">
      <c r="D204" s="7">
        <v>44601</v>
      </c>
      <c r="H204" s="3" t="s">
        <v>12</v>
      </c>
      <c r="I204" s="3" t="s">
        <v>28</v>
      </c>
      <c r="J204" s="3">
        <f t="shared" si="14"/>
        <v>146044</v>
      </c>
      <c r="K204" s="3">
        <f t="shared" si="13"/>
        <v>146068</v>
      </c>
      <c r="L204" s="3">
        <v>24</v>
      </c>
      <c r="M204" s="3">
        <f>M203-N204</f>
        <v>3.0400000000000134</v>
      </c>
      <c r="N204" s="3">
        <v>2.8</v>
      </c>
    </row>
    <row r="205" spans="4:14" ht="15" customHeight="1" x14ac:dyDescent="0.25">
      <c r="D205" s="7"/>
      <c r="H205" s="3" t="s">
        <v>28</v>
      </c>
      <c r="I205" s="3" t="s">
        <v>12</v>
      </c>
      <c r="J205" s="3">
        <f t="shared" si="14"/>
        <v>146068</v>
      </c>
      <c r="K205" s="3">
        <f t="shared" si="13"/>
        <v>146092</v>
      </c>
      <c r="L205" s="3">
        <v>24</v>
      </c>
      <c r="M205" s="3">
        <f>M204-N205</f>
        <v>0.24000000000001354</v>
      </c>
      <c r="N205" s="3">
        <v>2.8</v>
      </c>
    </row>
    <row r="206" spans="4:14" ht="15" customHeight="1" x14ac:dyDescent="0.25">
      <c r="D206" s="7">
        <v>44602</v>
      </c>
      <c r="E206">
        <v>23.56</v>
      </c>
      <c r="F206" s="3">
        <v>51.9</v>
      </c>
      <c r="G206" s="8">
        <f>E206*F206</f>
        <v>1222.7639999999999</v>
      </c>
      <c r="H206" s="3" t="s">
        <v>12</v>
      </c>
      <c r="I206" s="3" t="s">
        <v>29</v>
      </c>
      <c r="J206" s="3">
        <f t="shared" si="14"/>
        <v>146092</v>
      </c>
      <c r="K206" s="3">
        <f t="shared" si="13"/>
        <v>146141</v>
      </c>
      <c r="L206" s="3">
        <v>49</v>
      </c>
      <c r="M206" s="3">
        <f>(E206+M205)-N206</f>
        <v>18.000000000000011</v>
      </c>
      <c r="N206" s="3">
        <v>5.8</v>
      </c>
    </row>
    <row r="207" spans="4:14" ht="15" customHeight="1" x14ac:dyDescent="0.25">
      <c r="D207" s="7"/>
      <c r="G207" s="8"/>
      <c r="H207" s="3" t="s">
        <v>29</v>
      </c>
      <c r="I207" s="3" t="s">
        <v>12</v>
      </c>
      <c r="J207" s="3">
        <f t="shared" si="14"/>
        <v>146141</v>
      </c>
      <c r="K207" s="3">
        <f t="shared" si="13"/>
        <v>146190</v>
      </c>
      <c r="L207" s="3">
        <v>49</v>
      </c>
      <c r="M207" s="3">
        <f>M206-N207</f>
        <v>12.20000000000001</v>
      </c>
      <c r="N207" s="3">
        <v>5.8</v>
      </c>
    </row>
    <row r="208" spans="4:14" ht="15" customHeight="1" x14ac:dyDescent="0.25">
      <c r="D208" s="7">
        <v>44603</v>
      </c>
      <c r="H208" s="3" t="s">
        <v>34</v>
      </c>
      <c r="I208" s="3" t="s">
        <v>35</v>
      </c>
      <c r="J208" s="3">
        <f t="shared" si="14"/>
        <v>146190</v>
      </c>
      <c r="K208" s="3">
        <f t="shared" si="13"/>
        <v>146202</v>
      </c>
      <c r="L208" s="3">
        <v>12</v>
      </c>
      <c r="M208" s="3">
        <f>M207-N208</f>
        <v>10.95000000000001</v>
      </c>
      <c r="N208" s="3">
        <v>1.25</v>
      </c>
    </row>
    <row r="209" spans="4:14" ht="15" customHeight="1" x14ac:dyDescent="0.25">
      <c r="D209" s="7"/>
      <c r="H209" s="3" t="s">
        <v>35</v>
      </c>
      <c r="I209" s="3" t="s">
        <v>34</v>
      </c>
      <c r="J209" s="3">
        <f t="shared" si="14"/>
        <v>146202</v>
      </c>
      <c r="K209" s="3">
        <f t="shared" si="13"/>
        <v>146214</v>
      </c>
      <c r="L209" s="3">
        <v>12</v>
      </c>
      <c r="M209" s="3">
        <f>M208-N209</f>
        <v>9.7000000000000099</v>
      </c>
      <c r="N209" s="3">
        <v>1.25</v>
      </c>
    </row>
    <row r="210" spans="4:14" ht="15" customHeight="1" x14ac:dyDescent="0.25">
      <c r="D210" s="7">
        <v>44606</v>
      </c>
      <c r="E210">
        <v>24.02</v>
      </c>
      <c r="F210" s="3">
        <v>52.25</v>
      </c>
      <c r="G210" s="8">
        <f>E210*F210</f>
        <v>1255.0450000000001</v>
      </c>
      <c r="H210" s="3" t="s">
        <v>34</v>
      </c>
      <c r="I210" s="3" t="s">
        <v>30</v>
      </c>
      <c r="J210" s="3">
        <f t="shared" si="14"/>
        <v>146214</v>
      </c>
      <c r="K210" s="3">
        <f t="shared" si="13"/>
        <v>146241</v>
      </c>
      <c r="L210" s="3">
        <v>27</v>
      </c>
      <c r="M210" s="3">
        <f>(E210+M209)-N210</f>
        <v>30.520000000000014</v>
      </c>
      <c r="N210" s="3">
        <v>3.2</v>
      </c>
    </row>
    <row r="211" spans="4:14" ht="15" customHeight="1" x14ac:dyDescent="0.25">
      <c r="D211" s="7"/>
      <c r="G211" s="8"/>
      <c r="H211" s="3" t="s">
        <v>30</v>
      </c>
      <c r="I211" s="3" t="s">
        <v>34</v>
      </c>
      <c r="J211" s="3">
        <f t="shared" si="14"/>
        <v>146241</v>
      </c>
      <c r="K211" s="3">
        <f t="shared" si="13"/>
        <v>146268</v>
      </c>
      <c r="L211" s="3">
        <v>27</v>
      </c>
      <c r="M211" s="3">
        <f t="shared" ref="M211:M219" si="16">M210-N211</f>
        <v>27.320000000000014</v>
      </c>
      <c r="N211" s="3">
        <v>3.2</v>
      </c>
    </row>
    <row r="212" spans="4:14" ht="15" customHeight="1" x14ac:dyDescent="0.25">
      <c r="D212" s="7"/>
      <c r="G212" s="8"/>
      <c r="H212" s="3" t="s">
        <v>34</v>
      </c>
      <c r="I212" s="3" t="s">
        <v>36</v>
      </c>
      <c r="J212" s="3">
        <f t="shared" si="14"/>
        <v>146268</v>
      </c>
      <c r="K212" s="3">
        <f t="shared" si="13"/>
        <v>146283</v>
      </c>
      <c r="L212" s="3">
        <v>15</v>
      </c>
      <c r="M212" s="3">
        <f t="shared" si="16"/>
        <v>25.520000000000014</v>
      </c>
      <c r="N212" s="3">
        <v>1.8</v>
      </c>
    </row>
    <row r="213" spans="4:14" ht="15" customHeight="1" x14ac:dyDescent="0.25">
      <c r="D213" s="7"/>
      <c r="G213" s="8"/>
      <c r="H213" s="3" t="s">
        <v>36</v>
      </c>
      <c r="I213" s="3" t="s">
        <v>34</v>
      </c>
      <c r="J213" s="3">
        <f t="shared" si="14"/>
        <v>146283</v>
      </c>
      <c r="K213" s="3">
        <f t="shared" si="13"/>
        <v>146298</v>
      </c>
      <c r="L213" s="3">
        <v>15</v>
      </c>
      <c r="M213" s="3">
        <f t="shared" si="16"/>
        <v>23.720000000000013</v>
      </c>
      <c r="N213" s="3">
        <v>1.8</v>
      </c>
    </row>
    <row r="214" spans="4:14" ht="15" customHeight="1" x14ac:dyDescent="0.25">
      <c r="D214" s="7"/>
      <c r="G214" s="8"/>
      <c r="H214" s="3" t="s">
        <v>34</v>
      </c>
      <c r="I214" s="3" t="s">
        <v>35</v>
      </c>
      <c r="J214" s="3">
        <f t="shared" si="14"/>
        <v>146298</v>
      </c>
      <c r="K214" s="3">
        <f t="shared" si="13"/>
        <v>146310</v>
      </c>
      <c r="L214" s="3">
        <v>12</v>
      </c>
      <c r="M214" s="3">
        <f t="shared" si="16"/>
        <v>22.470000000000013</v>
      </c>
      <c r="N214" s="3">
        <v>1.25</v>
      </c>
    </row>
    <row r="215" spans="4:14" ht="15" customHeight="1" x14ac:dyDescent="0.25">
      <c r="D215" s="7"/>
      <c r="G215" s="8"/>
      <c r="H215" s="3" t="s">
        <v>35</v>
      </c>
      <c r="I215" s="3" t="s">
        <v>34</v>
      </c>
      <c r="J215" s="3">
        <f t="shared" si="14"/>
        <v>146310</v>
      </c>
      <c r="K215" s="3">
        <f t="shared" si="13"/>
        <v>146322</v>
      </c>
      <c r="L215" s="3">
        <v>12</v>
      </c>
      <c r="M215" s="3">
        <f t="shared" si="16"/>
        <v>21.220000000000013</v>
      </c>
      <c r="N215" s="3">
        <v>1.25</v>
      </c>
    </row>
    <row r="216" spans="4:14" ht="15" customHeight="1" x14ac:dyDescent="0.25">
      <c r="D216" s="7">
        <v>44607</v>
      </c>
      <c r="H216" s="3" t="s">
        <v>34</v>
      </c>
      <c r="I216" s="3" t="s">
        <v>36</v>
      </c>
      <c r="J216" s="3">
        <f t="shared" si="14"/>
        <v>146322</v>
      </c>
      <c r="K216" s="3">
        <f t="shared" si="13"/>
        <v>146337</v>
      </c>
      <c r="L216" s="3">
        <v>15</v>
      </c>
      <c r="M216" s="3">
        <f t="shared" si="16"/>
        <v>19.420000000000012</v>
      </c>
      <c r="N216" s="3">
        <v>1.8</v>
      </c>
    </row>
    <row r="217" spans="4:14" ht="15" customHeight="1" x14ac:dyDescent="0.25">
      <c r="D217" s="7"/>
      <c r="H217" s="3" t="s">
        <v>36</v>
      </c>
      <c r="I217" s="3" t="s">
        <v>34</v>
      </c>
      <c r="J217" s="3">
        <f t="shared" si="14"/>
        <v>146337</v>
      </c>
      <c r="K217" s="3">
        <f t="shared" si="13"/>
        <v>146352</v>
      </c>
      <c r="L217" s="3">
        <v>15</v>
      </c>
      <c r="M217" s="3">
        <f t="shared" si="16"/>
        <v>17.620000000000012</v>
      </c>
      <c r="N217" s="3">
        <v>1.8</v>
      </c>
    </row>
    <row r="218" spans="4:14" ht="15" customHeight="1" x14ac:dyDescent="0.25">
      <c r="D218" s="7"/>
      <c r="H218" s="3" t="s">
        <v>34</v>
      </c>
      <c r="I218" s="3" t="s">
        <v>32</v>
      </c>
      <c r="J218" s="3">
        <f t="shared" si="14"/>
        <v>146352</v>
      </c>
      <c r="K218" s="3">
        <f t="shared" si="13"/>
        <v>146377</v>
      </c>
      <c r="L218" s="3">
        <v>25</v>
      </c>
      <c r="M218" s="3">
        <f t="shared" si="16"/>
        <v>14.820000000000011</v>
      </c>
      <c r="N218" s="3">
        <v>2.8</v>
      </c>
    </row>
    <row r="219" spans="4:14" ht="15" customHeight="1" x14ac:dyDescent="0.25">
      <c r="D219" s="7"/>
      <c r="H219" s="3" t="s">
        <v>32</v>
      </c>
      <c r="I219" s="3" t="s">
        <v>34</v>
      </c>
      <c r="J219" s="3">
        <f t="shared" si="14"/>
        <v>146377</v>
      </c>
      <c r="K219" s="3">
        <f t="shared" si="13"/>
        <v>146402</v>
      </c>
      <c r="L219" s="3">
        <v>25</v>
      </c>
      <c r="M219" s="3">
        <f t="shared" si="16"/>
        <v>12.02000000000001</v>
      </c>
      <c r="N219" s="3">
        <v>2.8</v>
      </c>
    </row>
    <row r="220" spans="4:14" ht="15" customHeight="1" x14ac:dyDescent="0.25">
      <c r="D220" s="7">
        <v>44608</v>
      </c>
      <c r="E220">
        <v>24.41</v>
      </c>
      <c r="F220" s="3">
        <v>51.35</v>
      </c>
      <c r="G220" s="8">
        <f>E220*F220</f>
        <v>1253.4535000000001</v>
      </c>
      <c r="H220" s="3" t="s">
        <v>34</v>
      </c>
      <c r="I220" s="3" t="s">
        <v>31</v>
      </c>
      <c r="J220" s="3">
        <f t="shared" si="14"/>
        <v>146402</v>
      </c>
      <c r="K220" s="3">
        <f t="shared" si="13"/>
        <v>146429</v>
      </c>
      <c r="L220" s="3">
        <v>27</v>
      </c>
      <c r="M220" s="3">
        <f>(E220+M219)-N220</f>
        <v>33.230000000000004</v>
      </c>
      <c r="N220" s="3">
        <v>3.2</v>
      </c>
    </row>
    <row r="221" spans="4:14" ht="15" customHeight="1" x14ac:dyDescent="0.25">
      <c r="D221" s="7"/>
      <c r="G221" s="8"/>
      <c r="H221" s="3" t="s">
        <v>31</v>
      </c>
      <c r="I221" s="3" t="s">
        <v>34</v>
      </c>
      <c r="J221" s="3">
        <f t="shared" si="14"/>
        <v>146429</v>
      </c>
      <c r="K221" s="3">
        <f t="shared" si="13"/>
        <v>146456</v>
      </c>
      <c r="L221" s="3">
        <v>27</v>
      </c>
      <c r="M221" s="3">
        <f t="shared" ref="M221:M229" si="17">M220-N221</f>
        <v>30.030000000000005</v>
      </c>
      <c r="N221" s="3">
        <v>3.2</v>
      </c>
    </row>
    <row r="222" spans="4:14" ht="15" customHeight="1" x14ac:dyDescent="0.25">
      <c r="D222" s="7"/>
      <c r="G222" s="8"/>
      <c r="H222" s="3" t="s">
        <v>34</v>
      </c>
      <c r="I222" s="3" t="s">
        <v>29</v>
      </c>
      <c r="J222" s="3">
        <f t="shared" si="14"/>
        <v>146456</v>
      </c>
      <c r="K222" s="3">
        <f t="shared" si="13"/>
        <v>146505</v>
      </c>
      <c r="L222" s="3">
        <v>49</v>
      </c>
      <c r="M222" s="3">
        <f t="shared" si="17"/>
        <v>24.230000000000004</v>
      </c>
      <c r="N222" s="3">
        <v>5.8</v>
      </c>
    </row>
    <row r="223" spans="4:14" ht="15" customHeight="1" x14ac:dyDescent="0.25">
      <c r="D223" s="7"/>
      <c r="G223" s="8"/>
      <c r="H223" s="3" t="s">
        <v>29</v>
      </c>
      <c r="I223" s="3" t="s">
        <v>34</v>
      </c>
      <c r="J223" s="3">
        <f t="shared" si="14"/>
        <v>146505</v>
      </c>
      <c r="K223" s="3">
        <f t="shared" si="13"/>
        <v>146554</v>
      </c>
      <c r="L223" s="3">
        <v>49</v>
      </c>
      <c r="M223" s="3">
        <f t="shared" si="17"/>
        <v>18.430000000000003</v>
      </c>
      <c r="N223" s="3">
        <v>5.8</v>
      </c>
    </row>
    <row r="224" spans="4:14" ht="15" customHeight="1" x14ac:dyDescent="0.25">
      <c r="D224" s="7">
        <v>44609</v>
      </c>
      <c r="H224" s="3" t="s">
        <v>34</v>
      </c>
      <c r="I224" s="3" t="s">
        <v>37</v>
      </c>
      <c r="J224" s="3">
        <f t="shared" si="14"/>
        <v>146554</v>
      </c>
      <c r="K224" s="3">
        <f t="shared" si="13"/>
        <v>146594</v>
      </c>
      <c r="L224" s="3">
        <v>40</v>
      </c>
      <c r="M224" s="3">
        <f t="shared" si="17"/>
        <v>13.630000000000003</v>
      </c>
      <c r="N224" s="3">
        <v>4.8</v>
      </c>
    </row>
    <row r="225" spans="4:14" ht="15" customHeight="1" x14ac:dyDescent="0.25">
      <c r="D225" s="7"/>
      <c r="H225" s="3" t="s">
        <v>37</v>
      </c>
      <c r="I225" s="3" t="s">
        <v>34</v>
      </c>
      <c r="J225" s="3">
        <f t="shared" si="14"/>
        <v>146594</v>
      </c>
      <c r="K225" s="3">
        <f t="shared" si="13"/>
        <v>146634</v>
      </c>
      <c r="L225" s="3">
        <v>40</v>
      </c>
      <c r="M225" s="3">
        <f t="shared" si="17"/>
        <v>8.8300000000000018</v>
      </c>
      <c r="N225" s="3">
        <v>4.8</v>
      </c>
    </row>
    <row r="226" spans="4:14" ht="15" customHeight="1" x14ac:dyDescent="0.25">
      <c r="D226" s="7">
        <v>44610</v>
      </c>
      <c r="H226" s="3" t="s">
        <v>34</v>
      </c>
      <c r="I226" s="3" t="s">
        <v>35</v>
      </c>
      <c r="J226" s="3">
        <f t="shared" si="14"/>
        <v>146634</v>
      </c>
      <c r="K226" s="3">
        <f t="shared" si="13"/>
        <v>146646</v>
      </c>
      <c r="L226" s="3">
        <v>12</v>
      </c>
      <c r="M226" s="3">
        <f t="shared" si="17"/>
        <v>7.5800000000000018</v>
      </c>
      <c r="N226" s="3">
        <v>1.25</v>
      </c>
    </row>
    <row r="227" spans="4:14" ht="15" customHeight="1" x14ac:dyDescent="0.25">
      <c r="D227" s="7"/>
      <c r="H227" s="3" t="s">
        <v>35</v>
      </c>
      <c r="I227" s="3" t="s">
        <v>34</v>
      </c>
      <c r="J227" s="3">
        <f t="shared" si="14"/>
        <v>146646</v>
      </c>
      <c r="K227" s="3">
        <f t="shared" si="13"/>
        <v>146658</v>
      </c>
      <c r="L227" s="3">
        <v>12</v>
      </c>
      <c r="M227" s="3">
        <f t="shared" si="17"/>
        <v>6.3300000000000018</v>
      </c>
      <c r="N227" s="3">
        <v>1.25</v>
      </c>
    </row>
    <row r="228" spans="4:14" ht="15" customHeight="1" x14ac:dyDescent="0.25">
      <c r="D228" s="7">
        <v>44613</v>
      </c>
      <c r="H228" s="3" t="s">
        <v>34</v>
      </c>
      <c r="I228" s="3" t="s">
        <v>35</v>
      </c>
      <c r="J228" s="3">
        <f t="shared" si="14"/>
        <v>146658</v>
      </c>
      <c r="K228" s="3">
        <f t="shared" si="13"/>
        <v>146670</v>
      </c>
      <c r="L228" s="3">
        <v>12</v>
      </c>
      <c r="M228" s="3">
        <f t="shared" si="17"/>
        <v>5.0800000000000018</v>
      </c>
      <c r="N228" s="3">
        <v>1.25</v>
      </c>
    </row>
    <row r="229" spans="4:14" ht="15" customHeight="1" x14ac:dyDescent="0.25">
      <c r="D229" s="7"/>
      <c r="H229" s="3" t="s">
        <v>35</v>
      </c>
      <c r="I229" s="3" t="s">
        <v>34</v>
      </c>
      <c r="J229" s="3">
        <f t="shared" si="14"/>
        <v>146670</v>
      </c>
      <c r="K229" s="3">
        <f t="shared" si="13"/>
        <v>146682</v>
      </c>
      <c r="L229" s="3">
        <v>12</v>
      </c>
      <c r="M229" s="3">
        <f t="shared" si="17"/>
        <v>3.8300000000000018</v>
      </c>
      <c r="N229" s="3">
        <v>1.25</v>
      </c>
    </row>
    <row r="230" spans="4:14" ht="15" customHeight="1" x14ac:dyDescent="0.25">
      <c r="D230" s="7">
        <v>44614</v>
      </c>
      <c r="E230">
        <v>23.32</v>
      </c>
      <c r="F230" s="3">
        <v>51.9</v>
      </c>
      <c r="G230" s="8">
        <f>E230*F230</f>
        <v>1210.308</v>
      </c>
      <c r="H230" s="3" t="s">
        <v>34</v>
      </c>
      <c r="I230" s="3" t="s">
        <v>30</v>
      </c>
      <c r="J230" s="3">
        <f t="shared" si="14"/>
        <v>146682</v>
      </c>
      <c r="K230" s="3">
        <f t="shared" si="13"/>
        <v>146709</v>
      </c>
      <c r="L230" s="3">
        <v>27</v>
      </c>
      <c r="M230" s="3">
        <f>(E230+M229)-N230</f>
        <v>23.950000000000003</v>
      </c>
      <c r="N230" s="3">
        <v>3.2</v>
      </c>
    </row>
    <row r="231" spans="4:14" ht="15" customHeight="1" x14ac:dyDescent="0.25">
      <c r="D231" s="7"/>
      <c r="G231" s="8"/>
      <c r="H231" s="3" t="s">
        <v>30</v>
      </c>
      <c r="I231" s="3" t="s">
        <v>34</v>
      </c>
      <c r="J231" s="3">
        <f t="shared" si="14"/>
        <v>146709</v>
      </c>
      <c r="K231" s="3">
        <f t="shared" si="13"/>
        <v>146736</v>
      </c>
      <c r="L231" s="3">
        <v>27</v>
      </c>
      <c r="M231" s="3">
        <f t="shared" ref="M231:M237" si="18">M230-N231</f>
        <v>20.750000000000004</v>
      </c>
      <c r="N231" s="3">
        <v>3.2</v>
      </c>
    </row>
    <row r="232" spans="4:14" ht="15" customHeight="1" x14ac:dyDescent="0.25">
      <c r="D232" s="7">
        <v>44616</v>
      </c>
      <c r="H232" s="3" t="s">
        <v>12</v>
      </c>
      <c r="I232" s="3" t="s">
        <v>24</v>
      </c>
      <c r="J232" s="3">
        <f t="shared" si="14"/>
        <v>146736</v>
      </c>
      <c r="K232" s="3">
        <f t="shared" si="13"/>
        <v>146750</v>
      </c>
      <c r="L232" s="3">
        <v>14</v>
      </c>
      <c r="M232" s="3">
        <f t="shared" si="18"/>
        <v>19.250000000000004</v>
      </c>
      <c r="N232" s="3">
        <v>1.5</v>
      </c>
    </row>
    <row r="233" spans="4:14" ht="15" customHeight="1" x14ac:dyDescent="0.25">
      <c r="D233" s="7"/>
      <c r="H233" s="3" t="s">
        <v>24</v>
      </c>
      <c r="I233" s="3" t="s">
        <v>12</v>
      </c>
      <c r="J233" s="3">
        <f t="shared" si="14"/>
        <v>146750</v>
      </c>
      <c r="K233" s="3">
        <f t="shared" si="13"/>
        <v>146764</v>
      </c>
      <c r="L233" s="3">
        <v>14</v>
      </c>
      <c r="M233" s="3">
        <f t="shared" si="18"/>
        <v>17.750000000000004</v>
      </c>
      <c r="N233" s="3">
        <v>1.5</v>
      </c>
    </row>
    <row r="234" spans="4:14" ht="15" customHeight="1" x14ac:dyDescent="0.25">
      <c r="D234" s="7">
        <v>44617</v>
      </c>
      <c r="H234" s="3" t="s">
        <v>34</v>
      </c>
      <c r="I234" s="3" t="s">
        <v>31</v>
      </c>
      <c r="J234" s="3">
        <f t="shared" si="14"/>
        <v>146764</v>
      </c>
      <c r="K234" s="3">
        <f t="shared" si="13"/>
        <v>146791</v>
      </c>
      <c r="L234" s="3">
        <v>27</v>
      </c>
      <c r="M234" s="3">
        <f t="shared" si="18"/>
        <v>14.550000000000004</v>
      </c>
      <c r="N234" s="3">
        <v>3.2</v>
      </c>
    </row>
    <row r="235" spans="4:14" ht="15" customHeight="1" x14ac:dyDescent="0.25">
      <c r="D235" s="7"/>
      <c r="H235" s="3" t="s">
        <v>31</v>
      </c>
      <c r="I235" s="3" t="s">
        <v>34</v>
      </c>
      <c r="J235" s="3">
        <f t="shared" si="14"/>
        <v>146791</v>
      </c>
      <c r="K235" s="3">
        <f t="shared" si="13"/>
        <v>146818</v>
      </c>
      <c r="L235" s="3">
        <v>27</v>
      </c>
      <c r="M235" s="3">
        <f t="shared" si="18"/>
        <v>11.350000000000005</v>
      </c>
      <c r="N235" s="3">
        <v>3.2</v>
      </c>
    </row>
    <row r="236" spans="4:14" ht="15" customHeight="1" x14ac:dyDescent="0.25">
      <c r="D236" s="7">
        <v>44620</v>
      </c>
      <c r="H236" s="3" t="s">
        <v>34</v>
      </c>
      <c r="I236" s="3" t="s">
        <v>36</v>
      </c>
      <c r="J236" s="3">
        <f t="shared" si="14"/>
        <v>146818</v>
      </c>
      <c r="K236" s="3">
        <f t="shared" si="13"/>
        <v>146833</v>
      </c>
      <c r="L236" s="3">
        <v>15</v>
      </c>
      <c r="M236" s="3">
        <f t="shared" si="18"/>
        <v>9.5500000000000043</v>
      </c>
      <c r="N236" s="3">
        <v>1.8</v>
      </c>
    </row>
    <row r="237" spans="4:14" ht="15" customHeight="1" x14ac:dyDescent="0.25">
      <c r="D237" s="7"/>
      <c r="H237" s="3" t="s">
        <v>36</v>
      </c>
      <c r="I237" s="3" t="s">
        <v>34</v>
      </c>
      <c r="J237" s="3">
        <f t="shared" si="14"/>
        <v>146833</v>
      </c>
      <c r="K237" s="3">
        <f t="shared" si="13"/>
        <v>146848</v>
      </c>
      <c r="L237" s="3">
        <v>15</v>
      </c>
      <c r="M237" s="3">
        <f t="shared" si="18"/>
        <v>7.7500000000000044</v>
      </c>
      <c r="N237" s="3">
        <v>1.8</v>
      </c>
    </row>
    <row r="239" spans="4:14" ht="15" customHeight="1" x14ac:dyDescent="0.25">
      <c r="D239" s="2" t="s">
        <v>38</v>
      </c>
      <c r="E239" s="2"/>
      <c r="F239" s="2"/>
      <c r="G239" s="2"/>
    </row>
    <row r="240" spans="4:14" ht="15" customHeight="1" x14ac:dyDescent="0.25">
      <c r="D240" s="7">
        <v>44621</v>
      </c>
      <c r="E240">
        <v>24.23</v>
      </c>
      <c r="F240" s="3">
        <v>51.8</v>
      </c>
      <c r="G240" s="8">
        <f>E240*F240</f>
        <v>1255.114</v>
      </c>
      <c r="H240" s="3" t="s">
        <v>34</v>
      </c>
      <c r="I240" s="3" t="s">
        <v>30</v>
      </c>
      <c r="J240" s="3">
        <f>K237</f>
        <v>146848</v>
      </c>
      <c r="K240" s="3">
        <f t="shared" ref="K240:K271" si="19">J240+L240</f>
        <v>146875</v>
      </c>
      <c r="L240" s="3">
        <v>27</v>
      </c>
      <c r="M240" s="3">
        <f>(E240+M237)-N240</f>
        <v>28.780000000000005</v>
      </c>
      <c r="N240" s="3">
        <v>3.2</v>
      </c>
    </row>
    <row r="241" spans="4:14" ht="15" customHeight="1" x14ac:dyDescent="0.25">
      <c r="D241" s="7"/>
      <c r="G241" s="8"/>
      <c r="H241" s="3" t="s">
        <v>30</v>
      </c>
      <c r="I241" s="3" t="s">
        <v>34</v>
      </c>
      <c r="J241" s="3">
        <f t="shared" ref="J241:J272" si="20">K240</f>
        <v>146875</v>
      </c>
      <c r="K241" s="3">
        <f t="shared" si="19"/>
        <v>146902</v>
      </c>
      <c r="L241" s="3">
        <v>27</v>
      </c>
      <c r="M241" s="3">
        <f t="shared" ref="M241:M251" si="21">M240-N241</f>
        <v>25.580000000000005</v>
      </c>
      <c r="N241" s="3">
        <v>3.2</v>
      </c>
    </row>
    <row r="242" spans="4:14" ht="15" customHeight="1" x14ac:dyDescent="0.25">
      <c r="D242" s="7">
        <v>44622</v>
      </c>
      <c r="H242" s="3" t="s">
        <v>34</v>
      </c>
      <c r="I242" s="3" t="s">
        <v>35</v>
      </c>
      <c r="J242" s="3">
        <f t="shared" si="20"/>
        <v>146902</v>
      </c>
      <c r="K242" s="3">
        <f t="shared" si="19"/>
        <v>146914</v>
      </c>
      <c r="L242" s="3">
        <v>12</v>
      </c>
      <c r="M242" s="3">
        <f t="shared" si="21"/>
        <v>24.330000000000005</v>
      </c>
      <c r="N242" s="3">
        <v>1.25</v>
      </c>
    </row>
    <row r="243" spans="4:14" ht="15" customHeight="1" x14ac:dyDescent="0.25">
      <c r="D243" s="7"/>
      <c r="H243" s="3" t="s">
        <v>35</v>
      </c>
      <c r="I243" s="3" t="s">
        <v>34</v>
      </c>
      <c r="J243" s="3">
        <f t="shared" si="20"/>
        <v>146914</v>
      </c>
      <c r="K243" s="3">
        <f t="shared" si="19"/>
        <v>146926</v>
      </c>
      <c r="L243" s="3">
        <v>12</v>
      </c>
      <c r="M243" s="3">
        <f t="shared" si="21"/>
        <v>23.080000000000005</v>
      </c>
      <c r="N243" s="3">
        <v>1.25</v>
      </c>
    </row>
    <row r="244" spans="4:14" ht="15" customHeight="1" x14ac:dyDescent="0.25">
      <c r="D244" s="7">
        <v>44623</v>
      </c>
      <c r="H244" s="3" t="s">
        <v>34</v>
      </c>
      <c r="I244" s="3" t="s">
        <v>32</v>
      </c>
      <c r="J244" s="3">
        <f t="shared" si="20"/>
        <v>146926</v>
      </c>
      <c r="K244" s="3">
        <f t="shared" si="19"/>
        <v>146951</v>
      </c>
      <c r="L244" s="3">
        <v>25</v>
      </c>
      <c r="M244" s="3">
        <f t="shared" si="21"/>
        <v>20.280000000000005</v>
      </c>
      <c r="N244" s="3">
        <v>2.8</v>
      </c>
    </row>
    <row r="245" spans="4:14" ht="15" customHeight="1" x14ac:dyDescent="0.25">
      <c r="D245" s="7"/>
      <c r="H245" s="3" t="s">
        <v>32</v>
      </c>
      <c r="I245" s="3" t="s">
        <v>34</v>
      </c>
      <c r="J245" s="3">
        <f t="shared" si="20"/>
        <v>146951</v>
      </c>
      <c r="K245" s="3">
        <f t="shared" si="19"/>
        <v>146976</v>
      </c>
      <c r="L245" s="3">
        <v>25</v>
      </c>
      <c r="M245" s="3">
        <f t="shared" si="21"/>
        <v>17.480000000000004</v>
      </c>
      <c r="N245" s="3">
        <v>2.8</v>
      </c>
    </row>
    <row r="246" spans="4:14" ht="15" customHeight="1" x14ac:dyDescent="0.25">
      <c r="D246" s="7">
        <v>44624</v>
      </c>
      <c r="H246" s="3" t="s">
        <v>34</v>
      </c>
      <c r="I246" s="3" t="s">
        <v>36</v>
      </c>
      <c r="J246" s="3">
        <f t="shared" si="20"/>
        <v>146976</v>
      </c>
      <c r="K246" s="3">
        <f t="shared" si="19"/>
        <v>146991</v>
      </c>
      <c r="L246" s="3">
        <v>15</v>
      </c>
      <c r="M246" s="3">
        <f t="shared" si="21"/>
        <v>15.680000000000003</v>
      </c>
      <c r="N246" s="3">
        <v>1.8</v>
      </c>
    </row>
    <row r="247" spans="4:14" ht="15" customHeight="1" x14ac:dyDescent="0.25">
      <c r="D247" s="7"/>
      <c r="H247" s="3" t="s">
        <v>36</v>
      </c>
      <c r="I247" s="3" t="s">
        <v>34</v>
      </c>
      <c r="J247" s="3">
        <f t="shared" si="20"/>
        <v>146991</v>
      </c>
      <c r="K247" s="3">
        <f t="shared" si="19"/>
        <v>147006</v>
      </c>
      <c r="L247" s="3">
        <v>15</v>
      </c>
      <c r="M247" s="3">
        <f t="shared" si="21"/>
        <v>13.880000000000003</v>
      </c>
      <c r="N247" s="3">
        <v>1.8</v>
      </c>
    </row>
    <row r="248" spans="4:14" ht="15" customHeight="1" x14ac:dyDescent="0.25">
      <c r="D248" s="7">
        <v>44625</v>
      </c>
      <c r="H248" s="3" t="s">
        <v>34</v>
      </c>
      <c r="I248" s="3" t="s">
        <v>35</v>
      </c>
      <c r="J248" s="3">
        <f t="shared" si="20"/>
        <v>147006</v>
      </c>
      <c r="K248" s="3">
        <f t="shared" si="19"/>
        <v>147018</v>
      </c>
      <c r="L248" s="3">
        <v>12</v>
      </c>
      <c r="M248" s="3">
        <f t="shared" si="21"/>
        <v>12.630000000000003</v>
      </c>
      <c r="N248" s="3">
        <v>1.25</v>
      </c>
    </row>
    <row r="249" spans="4:14" ht="15" customHeight="1" x14ac:dyDescent="0.25">
      <c r="D249" s="7"/>
      <c r="H249" s="3" t="s">
        <v>35</v>
      </c>
      <c r="I249" s="3" t="s">
        <v>34</v>
      </c>
      <c r="J249" s="3">
        <f t="shared" si="20"/>
        <v>147018</v>
      </c>
      <c r="K249" s="3">
        <f t="shared" si="19"/>
        <v>147030</v>
      </c>
      <c r="L249" s="3">
        <v>12</v>
      </c>
      <c r="M249" s="3">
        <f t="shared" si="21"/>
        <v>11.380000000000003</v>
      </c>
      <c r="N249" s="3">
        <v>1.25</v>
      </c>
    </row>
    <row r="250" spans="4:14" ht="15" customHeight="1" x14ac:dyDescent="0.25">
      <c r="D250" s="7">
        <v>44629</v>
      </c>
      <c r="H250" s="3" t="s">
        <v>34</v>
      </c>
      <c r="I250" s="3" t="s">
        <v>24</v>
      </c>
      <c r="J250" s="3">
        <f t="shared" si="20"/>
        <v>147030</v>
      </c>
      <c r="K250" s="3">
        <f t="shared" si="19"/>
        <v>147044</v>
      </c>
      <c r="L250" s="3">
        <v>14</v>
      </c>
      <c r="M250" s="3">
        <f t="shared" si="21"/>
        <v>9.8800000000000026</v>
      </c>
      <c r="N250" s="3">
        <v>1.5</v>
      </c>
    </row>
    <row r="251" spans="4:14" ht="15" customHeight="1" x14ac:dyDescent="0.25">
      <c r="D251" s="7"/>
      <c r="H251" s="3" t="s">
        <v>24</v>
      </c>
      <c r="I251" s="3" t="s">
        <v>34</v>
      </c>
      <c r="J251" s="3">
        <f t="shared" si="20"/>
        <v>147044</v>
      </c>
      <c r="K251" s="3">
        <f t="shared" si="19"/>
        <v>147058</v>
      </c>
      <c r="L251" s="3">
        <v>14</v>
      </c>
      <c r="M251" s="3">
        <f t="shared" si="21"/>
        <v>8.3800000000000026</v>
      </c>
      <c r="N251" s="3">
        <v>1.5</v>
      </c>
    </row>
    <row r="252" spans="4:14" ht="15" customHeight="1" x14ac:dyDescent="0.25">
      <c r="D252" s="7">
        <v>44630</v>
      </c>
      <c r="E252">
        <v>19.66</v>
      </c>
      <c r="F252" s="3">
        <v>50.85</v>
      </c>
      <c r="G252" s="8">
        <f>E252*F252</f>
        <v>999.71100000000001</v>
      </c>
      <c r="H252" s="3" t="s">
        <v>34</v>
      </c>
      <c r="I252" s="3" t="s">
        <v>32</v>
      </c>
      <c r="J252" s="3">
        <f t="shared" si="20"/>
        <v>147058</v>
      </c>
      <c r="K252" s="3">
        <f t="shared" si="19"/>
        <v>147083</v>
      </c>
      <c r="L252" s="3">
        <v>25</v>
      </c>
      <c r="M252" s="3">
        <f>(E252+M251)-N252</f>
        <v>25.240000000000002</v>
      </c>
      <c r="N252" s="3">
        <v>2.8</v>
      </c>
    </row>
    <row r="253" spans="4:14" ht="15" customHeight="1" x14ac:dyDescent="0.25">
      <c r="D253" s="7"/>
      <c r="G253" s="8"/>
      <c r="H253" s="3" t="s">
        <v>32</v>
      </c>
      <c r="I253" s="3" t="s">
        <v>34</v>
      </c>
      <c r="J253" s="3">
        <f t="shared" si="20"/>
        <v>147083</v>
      </c>
      <c r="K253" s="3">
        <f t="shared" si="19"/>
        <v>147108</v>
      </c>
      <c r="L253" s="3">
        <v>25</v>
      </c>
      <c r="M253" s="3">
        <f>M252-N253</f>
        <v>22.44</v>
      </c>
      <c r="N253" s="3">
        <v>2.8</v>
      </c>
    </row>
    <row r="254" spans="4:14" ht="15" customHeight="1" x14ac:dyDescent="0.25">
      <c r="D254" s="7"/>
      <c r="G254" s="8"/>
      <c r="H254" s="3" t="s">
        <v>34</v>
      </c>
      <c r="I254" s="3" t="s">
        <v>31</v>
      </c>
      <c r="J254" s="3">
        <f t="shared" si="20"/>
        <v>147108</v>
      </c>
      <c r="K254" s="3">
        <f t="shared" si="19"/>
        <v>147135</v>
      </c>
      <c r="L254" s="3">
        <v>27</v>
      </c>
      <c r="M254" s="3">
        <f>M253-N254</f>
        <v>19.240000000000002</v>
      </c>
      <c r="N254" s="3">
        <v>3.2</v>
      </c>
    </row>
    <row r="255" spans="4:14" ht="15" customHeight="1" x14ac:dyDescent="0.25">
      <c r="D255" s="7"/>
      <c r="G255" s="8"/>
      <c r="H255" s="3" t="s">
        <v>31</v>
      </c>
      <c r="I255" s="3" t="s">
        <v>34</v>
      </c>
      <c r="J255" s="3">
        <f t="shared" si="20"/>
        <v>147135</v>
      </c>
      <c r="K255" s="3">
        <f t="shared" si="19"/>
        <v>147162</v>
      </c>
      <c r="L255" s="3">
        <v>27</v>
      </c>
      <c r="M255" s="3">
        <f>M254-N255</f>
        <v>16.040000000000003</v>
      </c>
      <c r="N255" s="3">
        <v>3.2</v>
      </c>
    </row>
    <row r="256" spans="4:14" ht="15" customHeight="1" x14ac:dyDescent="0.25">
      <c r="D256" s="7">
        <v>44631</v>
      </c>
      <c r="H256" s="3" t="s">
        <v>34</v>
      </c>
      <c r="I256" s="3" t="s">
        <v>36</v>
      </c>
      <c r="J256" s="3">
        <f t="shared" si="20"/>
        <v>147162</v>
      </c>
      <c r="K256" s="3">
        <f t="shared" si="19"/>
        <v>147177</v>
      </c>
      <c r="L256" s="3">
        <v>15</v>
      </c>
      <c r="M256" s="3">
        <f>M255-N256</f>
        <v>14.240000000000002</v>
      </c>
      <c r="N256" s="3">
        <v>1.8</v>
      </c>
    </row>
    <row r="257" spans="4:14" ht="15" customHeight="1" x14ac:dyDescent="0.25">
      <c r="D257" s="7"/>
      <c r="H257" s="3" t="s">
        <v>36</v>
      </c>
      <c r="I257" s="3" t="s">
        <v>34</v>
      </c>
      <c r="J257" s="3">
        <f t="shared" si="20"/>
        <v>147177</v>
      </c>
      <c r="K257" s="3">
        <f t="shared" si="19"/>
        <v>147192</v>
      </c>
      <c r="L257" s="3">
        <v>15</v>
      </c>
      <c r="M257" s="3">
        <f>M256-N257</f>
        <v>12.440000000000001</v>
      </c>
      <c r="N257" s="3">
        <v>1.8</v>
      </c>
    </row>
    <row r="258" spans="4:14" ht="15" customHeight="1" x14ac:dyDescent="0.25">
      <c r="D258" s="7">
        <v>44633</v>
      </c>
      <c r="E258">
        <v>29.49</v>
      </c>
      <c r="F258" s="3">
        <v>50.85</v>
      </c>
      <c r="G258" s="8">
        <f>E258*F258</f>
        <v>1499.5664999999999</v>
      </c>
      <c r="H258" s="3" t="s">
        <v>34</v>
      </c>
      <c r="I258" s="3" t="s">
        <v>39</v>
      </c>
      <c r="J258" s="3">
        <f t="shared" si="20"/>
        <v>147192</v>
      </c>
      <c r="K258" s="3">
        <f t="shared" si="19"/>
        <v>147242</v>
      </c>
      <c r="L258" s="3">
        <v>50</v>
      </c>
      <c r="M258" s="3">
        <f>(E258+M257)-N258</f>
        <v>36.43</v>
      </c>
      <c r="N258" s="3">
        <v>5.5</v>
      </c>
    </row>
    <row r="259" spans="4:14" ht="15" customHeight="1" x14ac:dyDescent="0.25">
      <c r="D259" s="7"/>
      <c r="G259" s="8"/>
      <c r="H259" s="3" t="s">
        <v>39</v>
      </c>
      <c r="I259" s="3" t="s">
        <v>34</v>
      </c>
      <c r="J259" s="3">
        <f t="shared" si="20"/>
        <v>147242</v>
      </c>
      <c r="K259" s="3">
        <f t="shared" si="19"/>
        <v>147292</v>
      </c>
      <c r="L259" s="3">
        <v>50</v>
      </c>
      <c r="M259" s="3">
        <f t="shared" ref="M259:M269" si="22">M258-N259</f>
        <v>30.93</v>
      </c>
      <c r="N259" s="3">
        <v>5.5</v>
      </c>
    </row>
    <row r="260" spans="4:14" ht="15" customHeight="1" x14ac:dyDescent="0.25">
      <c r="D260" s="7">
        <v>44634</v>
      </c>
      <c r="H260" s="3" t="s">
        <v>34</v>
      </c>
      <c r="I260" s="3" t="s">
        <v>36</v>
      </c>
      <c r="J260" s="3">
        <f t="shared" si="20"/>
        <v>147292</v>
      </c>
      <c r="K260" s="3">
        <f t="shared" si="19"/>
        <v>147307</v>
      </c>
      <c r="L260" s="3">
        <v>15</v>
      </c>
      <c r="M260" s="3">
        <f t="shared" si="22"/>
        <v>29.13</v>
      </c>
      <c r="N260" s="3">
        <v>1.8</v>
      </c>
    </row>
    <row r="261" spans="4:14" ht="15" customHeight="1" x14ac:dyDescent="0.25">
      <c r="D261" s="7"/>
      <c r="H261" s="3" t="s">
        <v>36</v>
      </c>
      <c r="I261" s="3" t="s">
        <v>34</v>
      </c>
      <c r="J261" s="3">
        <f t="shared" si="20"/>
        <v>147307</v>
      </c>
      <c r="K261" s="3">
        <f t="shared" si="19"/>
        <v>147322</v>
      </c>
      <c r="L261" s="3">
        <v>15</v>
      </c>
      <c r="M261" s="3">
        <f t="shared" si="22"/>
        <v>27.33</v>
      </c>
      <c r="N261" s="3">
        <v>1.8</v>
      </c>
    </row>
    <row r="262" spans="4:14" ht="15" customHeight="1" x14ac:dyDescent="0.25">
      <c r="D262" s="7">
        <v>44635</v>
      </c>
      <c r="H262" s="3" t="s">
        <v>34</v>
      </c>
      <c r="I262" s="3" t="s">
        <v>35</v>
      </c>
      <c r="J262" s="3">
        <f t="shared" si="20"/>
        <v>147322</v>
      </c>
      <c r="K262" s="3">
        <f t="shared" si="19"/>
        <v>147334</v>
      </c>
      <c r="L262" s="3">
        <v>12</v>
      </c>
      <c r="M262" s="3">
        <f t="shared" si="22"/>
        <v>26.08</v>
      </c>
      <c r="N262" s="3">
        <v>1.25</v>
      </c>
    </row>
    <row r="263" spans="4:14" ht="15" customHeight="1" x14ac:dyDescent="0.25">
      <c r="D263" s="7"/>
      <c r="H263" s="3" t="s">
        <v>35</v>
      </c>
      <c r="I263" s="3" t="s">
        <v>34</v>
      </c>
      <c r="J263" s="3">
        <f t="shared" si="20"/>
        <v>147334</v>
      </c>
      <c r="K263" s="3">
        <f t="shared" si="19"/>
        <v>147346</v>
      </c>
      <c r="L263" s="3">
        <v>12</v>
      </c>
      <c r="M263" s="3">
        <f t="shared" si="22"/>
        <v>24.83</v>
      </c>
      <c r="N263" s="3">
        <v>1.25</v>
      </c>
    </row>
    <row r="264" spans="4:14" ht="15" customHeight="1" x14ac:dyDescent="0.25">
      <c r="D264" s="7"/>
      <c r="H264" s="3" t="s">
        <v>34</v>
      </c>
      <c r="I264" s="3" t="s">
        <v>24</v>
      </c>
      <c r="J264" s="3">
        <f t="shared" si="20"/>
        <v>147346</v>
      </c>
      <c r="K264" s="3">
        <f t="shared" si="19"/>
        <v>147360</v>
      </c>
      <c r="L264" s="3">
        <v>14</v>
      </c>
      <c r="M264" s="3">
        <f t="shared" si="22"/>
        <v>23.33</v>
      </c>
      <c r="N264" s="3">
        <v>1.5</v>
      </c>
    </row>
    <row r="265" spans="4:14" ht="15" customHeight="1" x14ac:dyDescent="0.25">
      <c r="D265" s="7"/>
      <c r="H265" s="3" t="s">
        <v>24</v>
      </c>
      <c r="I265" s="3" t="s">
        <v>34</v>
      </c>
      <c r="J265" s="3">
        <f t="shared" si="20"/>
        <v>147360</v>
      </c>
      <c r="K265" s="3">
        <f t="shared" si="19"/>
        <v>147374</v>
      </c>
      <c r="L265" s="3">
        <v>14</v>
      </c>
      <c r="M265" s="3">
        <f t="shared" si="22"/>
        <v>21.83</v>
      </c>
      <c r="N265" s="3">
        <v>1.5</v>
      </c>
    </row>
    <row r="266" spans="4:14" ht="15" customHeight="1" x14ac:dyDescent="0.25">
      <c r="D266" s="7">
        <v>44636</v>
      </c>
      <c r="H266" s="3" t="s">
        <v>34</v>
      </c>
      <c r="I266" s="3" t="s">
        <v>36</v>
      </c>
      <c r="J266" s="3">
        <f t="shared" si="20"/>
        <v>147374</v>
      </c>
      <c r="K266" s="3">
        <f t="shared" si="19"/>
        <v>147389</v>
      </c>
      <c r="L266" s="3">
        <v>15</v>
      </c>
      <c r="M266" s="3">
        <f t="shared" si="22"/>
        <v>20.029999999999998</v>
      </c>
      <c r="N266" s="3">
        <v>1.8</v>
      </c>
    </row>
    <row r="267" spans="4:14" ht="15" customHeight="1" x14ac:dyDescent="0.25">
      <c r="D267" s="7"/>
      <c r="H267" s="3" t="s">
        <v>36</v>
      </c>
      <c r="I267" s="3" t="s">
        <v>34</v>
      </c>
      <c r="J267" s="3">
        <f t="shared" si="20"/>
        <v>147389</v>
      </c>
      <c r="K267" s="3">
        <f t="shared" si="19"/>
        <v>147404</v>
      </c>
      <c r="L267" s="3">
        <v>15</v>
      </c>
      <c r="M267" s="3">
        <f t="shared" si="22"/>
        <v>18.229999999999997</v>
      </c>
      <c r="N267" s="3">
        <v>1.8</v>
      </c>
    </row>
    <row r="268" spans="4:14" ht="15" customHeight="1" x14ac:dyDescent="0.25">
      <c r="D268" s="7">
        <v>44637</v>
      </c>
      <c r="H268" s="3" t="s">
        <v>34</v>
      </c>
      <c r="I268" s="3" t="s">
        <v>35</v>
      </c>
      <c r="J268" s="3">
        <f t="shared" si="20"/>
        <v>147404</v>
      </c>
      <c r="K268" s="3">
        <f t="shared" si="19"/>
        <v>147416</v>
      </c>
      <c r="L268" s="3">
        <v>12</v>
      </c>
      <c r="M268" s="3">
        <f t="shared" si="22"/>
        <v>16.979999999999997</v>
      </c>
      <c r="N268" s="3">
        <v>1.25</v>
      </c>
    </row>
    <row r="269" spans="4:14" ht="15" customHeight="1" x14ac:dyDescent="0.25">
      <c r="D269" s="7"/>
      <c r="H269" s="3" t="s">
        <v>35</v>
      </c>
      <c r="I269" s="3" t="s">
        <v>34</v>
      </c>
      <c r="J269" s="3">
        <f t="shared" si="20"/>
        <v>147416</v>
      </c>
      <c r="K269" s="3">
        <f t="shared" si="19"/>
        <v>147428</v>
      </c>
      <c r="L269" s="3">
        <v>12</v>
      </c>
      <c r="M269" s="3">
        <f t="shared" si="22"/>
        <v>15.729999999999997</v>
      </c>
      <c r="N269" s="3">
        <v>1.25</v>
      </c>
    </row>
    <row r="270" spans="4:14" ht="15" customHeight="1" x14ac:dyDescent="0.25">
      <c r="D270" s="7">
        <v>44638</v>
      </c>
      <c r="E270">
        <v>24.27</v>
      </c>
      <c r="F270" s="3">
        <v>51.6</v>
      </c>
      <c r="G270" s="8">
        <f>E270*F270</f>
        <v>1252.3320000000001</v>
      </c>
      <c r="H270" s="3" t="s">
        <v>34</v>
      </c>
      <c r="I270" s="3" t="s">
        <v>39</v>
      </c>
      <c r="J270" s="3">
        <f t="shared" si="20"/>
        <v>147428</v>
      </c>
      <c r="K270" s="3">
        <f t="shared" si="19"/>
        <v>147478</v>
      </c>
      <c r="L270" s="3">
        <v>50</v>
      </c>
      <c r="M270" s="3">
        <f>(E270+M269)-N270</f>
        <v>34.5</v>
      </c>
      <c r="N270" s="3">
        <v>5.5</v>
      </c>
    </row>
    <row r="271" spans="4:14" ht="15" customHeight="1" x14ac:dyDescent="0.25">
      <c r="D271" s="7"/>
      <c r="H271" s="3" t="s">
        <v>39</v>
      </c>
      <c r="I271" s="3" t="s">
        <v>34</v>
      </c>
      <c r="J271" s="3">
        <f t="shared" si="20"/>
        <v>147478</v>
      </c>
      <c r="K271" s="3">
        <f t="shared" si="19"/>
        <v>147528</v>
      </c>
      <c r="L271" s="3">
        <v>50</v>
      </c>
      <c r="M271" s="3">
        <f>M270-N271</f>
        <v>29</v>
      </c>
      <c r="N271" s="3">
        <v>5.5</v>
      </c>
    </row>
    <row r="272" spans="4:14" ht="15" customHeight="1" x14ac:dyDescent="0.25">
      <c r="D272" s="7"/>
      <c r="H272" s="3" t="s">
        <v>34</v>
      </c>
      <c r="I272" s="3" t="s">
        <v>32</v>
      </c>
      <c r="J272" s="3">
        <f t="shared" si="20"/>
        <v>147528</v>
      </c>
      <c r="K272" s="3">
        <f t="shared" ref="K272:K303" si="23">J272+L272</f>
        <v>147553</v>
      </c>
      <c r="L272" s="3">
        <v>25</v>
      </c>
      <c r="M272" s="3">
        <f>M271-N272</f>
        <v>26.2</v>
      </c>
      <c r="N272" s="3">
        <v>2.8</v>
      </c>
    </row>
    <row r="273" spans="4:14" ht="15" customHeight="1" x14ac:dyDescent="0.25">
      <c r="D273" s="7"/>
      <c r="H273" s="3" t="s">
        <v>32</v>
      </c>
      <c r="I273" s="3" t="s">
        <v>34</v>
      </c>
      <c r="J273" s="3">
        <f t="shared" ref="J273:J307" si="24">K272</f>
        <v>147553</v>
      </c>
      <c r="K273" s="3">
        <f t="shared" si="23"/>
        <v>147578</v>
      </c>
      <c r="L273" s="3">
        <v>25</v>
      </c>
      <c r="M273" s="3">
        <f>M272-N273</f>
        <v>23.4</v>
      </c>
      <c r="N273" s="3">
        <v>2.8</v>
      </c>
    </row>
    <row r="274" spans="4:14" ht="15" customHeight="1" x14ac:dyDescent="0.25">
      <c r="D274" s="7"/>
      <c r="H274" s="3" t="s">
        <v>34</v>
      </c>
      <c r="I274" s="3" t="s">
        <v>30</v>
      </c>
      <c r="J274" s="3">
        <f t="shared" si="24"/>
        <v>147578</v>
      </c>
      <c r="K274" s="3">
        <f t="shared" si="23"/>
        <v>147605</v>
      </c>
      <c r="L274" s="3">
        <v>27</v>
      </c>
      <c r="M274" s="3">
        <f>(E274+M273)-N274</f>
        <v>20.2</v>
      </c>
      <c r="N274" s="3">
        <v>3.2</v>
      </c>
    </row>
    <row r="275" spans="4:14" ht="15" customHeight="1" x14ac:dyDescent="0.25">
      <c r="D275" s="7"/>
      <c r="H275" s="3" t="s">
        <v>30</v>
      </c>
      <c r="I275" s="3" t="s">
        <v>34</v>
      </c>
      <c r="J275" s="3">
        <f t="shared" si="24"/>
        <v>147605</v>
      </c>
      <c r="K275" s="3">
        <f t="shared" si="23"/>
        <v>147632</v>
      </c>
      <c r="L275" s="3">
        <v>27</v>
      </c>
      <c r="M275" s="3">
        <f>M274-N275</f>
        <v>17</v>
      </c>
      <c r="N275" s="3">
        <v>3.2</v>
      </c>
    </row>
    <row r="276" spans="4:14" ht="15" customHeight="1" x14ac:dyDescent="0.25">
      <c r="D276" s="7">
        <v>44641</v>
      </c>
      <c r="E276">
        <v>24.36</v>
      </c>
      <c r="F276" s="3">
        <v>51.6</v>
      </c>
      <c r="G276" s="8">
        <f>E276*F276</f>
        <v>1256.9760000000001</v>
      </c>
      <c r="H276" s="3" t="s">
        <v>34</v>
      </c>
      <c r="I276" s="3" t="s">
        <v>36</v>
      </c>
      <c r="J276" s="3">
        <f t="shared" si="24"/>
        <v>147632</v>
      </c>
      <c r="K276" s="3">
        <f t="shared" si="23"/>
        <v>147647</v>
      </c>
      <c r="L276" s="3">
        <v>15</v>
      </c>
      <c r="M276" s="3">
        <f>(E276+M275)-N276</f>
        <v>39.56</v>
      </c>
      <c r="N276" s="3">
        <v>1.8</v>
      </c>
    </row>
    <row r="277" spans="4:14" ht="15" customHeight="1" x14ac:dyDescent="0.25">
      <c r="D277" s="7"/>
      <c r="H277" s="3" t="s">
        <v>36</v>
      </c>
      <c r="I277" s="3" t="s">
        <v>34</v>
      </c>
      <c r="J277" s="3">
        <f t="shared" si="24"/>
        <v>147647</v>
      </c>
      <c r="K277" s="3">
        <f t="shared" si="23"/>
        <v>147662</v>
      </c>
      <c r="L277" s="3">
        <v>15</v>
      </c>
      <c r="M277" s="3">
        <f t="shared" ref="M277:M287" si="25">M276-N277</f>
        <v>37.760000000000005</v>
      </c>
      <c r="N277" s="3">
        <v>1.8</v>
      </c>
    </row>
    <row r="278" spans="4:14" ht="15" customHeight="1" x14ac:dyDescent="0.25">
      <c r="D278" s="7"/>
      <c r="H278" s="3" t="s">
        <v>34</v>
      </c>
      <c r="I278" s="3" t="s">
        <v>29</v>
      </c>
      <c r="J278" s="3">
        <f t="shared" si="24"/>
        <v>147662</v>
      </c>
      <c r="K278" s="3">
        <f t="shared" si="23"/>
        <v>147711</v>
      </c>
      <c r="L278" s="3">
        <v>49</v>
      </c>
      <c r="M278" s="3">
        <f t="shared" si="25"/>
        <v>31.960000000000004</v>
      </c>
      <c r="N278" s="3">
        <v>5.8</v>
      </c>
    </row>
    <row r="279" spans="4:14" ht="15" customHeight="1" x14ac:dyDescent="0.25">
      <c r="D279" s="7"/>
      <c r="H279" s="3" t="s">
        <v>29</v>
      </c>
      <c r="I279" s="3" t="s">
        <v>34</v>
      </c>
      <c r="J279" s="3">
        <f t="shared" si="24"/>
        <v>147711</v>
      </c>
      <c r="K279" s="3">
        <f t="shared" si="23"/>
        <v>147760</v>
      </c>
      <c r="L279" s="3">
        <v>49</v>
      </c>
      <c r="M279" s="3">
        <f t="shared" si="25"/>
        <v>26.160000000000004</v>
      </c>
      <c r="N279" s="3">
        <v>5.8</v>
      </c>
    </row>
    <row r="280" spans="4:14" ht="15" customHeight="1" x14ac:dyDescent="0.25">
      <c r="D280" s="7"/>
      <c r="H280" s="3" t="s">
        <v>34</v>
      </c>
      <c r="I280" s="3" t="s">
        <v>37</v>
      </c>
      <c r="J280" s="3">
        <f t="shared" si="24"/>
        <v>147760</v>
      </c>
      <c r="K280" s="3">
        <f t="shared" si="23"/>
        <v>147800</v>
      </c>
      <c r="L280" s="3">
        <v>40</v>
      </c>
      <c r="M280" s="3">
        <f t="shared" si="25"/>
        <v>21.360000000000003</v>
      </c>
      <c r="N280" s="3">
        <v>4.8</v>
      </c>
    </row>
    <row r="281" spans="4:14" ht="15" customHeight="1" x14ac:dyDescent="0.25">
      <c r="D281" s="7"/>
      <c r="H281" s="3" t="s">
        <v>37</v>
      </c>
      <c r="I281" s="3" t="s">
        <v>34</v>
      </c>
      <c r="J281" s="3">
        <f t="shared" si="24"/>
        <v>147800</v>
      </c>
      <c r="K281" s="3">
        <f t="shared" si="23"/>
        <v>147840</v>
      </c>
      <c r="L281" s="3">
        <v>40</v>
      </c>
      <c r="M281" s="3">
        <f t="shared" si="25"/>
        <v>16.560000000000002</v>
      </c>
      <c r="N281" s="3">
        <v>4.8</v>
      </c>
    </row>
    <row r="282" spans="4:14" ht="15" customHeight="1" x14ac:dyDescent="0.25">
      <c r="D282" s="7">
        <v>44642</v>
      </c>
      <c r="H282" s="3" t="s">
        <v>34</v>
      </c>
      <c r="I282" s="3" t="s">
        <v>36</v>
      </c>
      <c r="J282" s="3">
        <f t="shared" si="24"/>
        <v>147840</v>
      </c>
      <c r="K282" s="3">
        <f t="shared" si="23"/>
        <v>147855</v>
      </c>
      <c r="L282" s="3">
        <v>15</v>
      </c>
      <c r="M282" s="3">
        <f t="shared" si="25"/>
        <v>14.760000000000002</v>
      </c>
      <c r="N282" s="3">
        <v>1.8</v>
      </c>
    </row>
    <row r="283" spans="4:14" ht="15" customHeight="1" x14ac:dyDescent="0.25">
      <c r="D283" s="7"/>
      <c r="H283" s="3" t="s">
        <v>36</v>
      </c>
      <c r="I283" s="3" t="s">
        <v>34</v>
      </c>
      <c r="J283" s="3">
        <f t="shared" si="24"/>
        <v>147855</v>
      </c>
      <c r="K283" s="3">
        <f t="shared" si="23"/>
        <v>147870</v>
      </c>
      <c r="L283" s="3">
        <v>15</v>
      </c>
      <c r="M283" s="3">
        <f t="shared" si="25"/>
        <v>12.96</v>
      </c>
      <c r="N283" s="3">
        <v>1.8</v>
      </c>
    </row>
    <row r="284" spans="4:14" ht="15" customHeight="1" x14ac:dyDescent="0.25">
      <c r="D284" s="7">
        <v>44643</v>
      </c>
      <c r="H284" s="3" t="s">
        <v>34</v>
      </c>
      <c r="I284" s="3" t="s">
        <v>35</v>
      </c>
      <c r="J284" s="3">
        <f t="shared" si="24"/>
        <v>147870</v>
      </c>
      <c r="K284" s="3">
        <f t="shared" si="23"/>
        <v>147882</v>
      </c>
      <c r="L284" s="3">
        <v>12</v>
      </c>
      <c r="M284" s="3">
        <f t="shared" si="25"/>
        <v>11.71</v>
      </c>
      <c r="N284" s="3">
        <v>1.25</v>
      </c>
    </row>
    <row r="285" spans="4:14" ht="15" customHeight="1" x14ac:dyDescent="0.25">
      <c r="D285" s="7"/>
      <c r="H285" s="3" t="s">
        <v>35</v>
      </c>
      <c r="I285" s="3" t="s">
        <v>34</v>
      </c>
      <c r="J285" s="3">
        <f t="shared" si="24"/>
        <v>147882</v>
      </c>
      <c r="K285" s="3">
        <f t="shared" si="23"/>
        <v>147894</v>
      </c>
      <c r="L285" s="3">
        <v>12</v>
      </c>
      <c r="M285" s="3">
        <f t="shared" si="25"/>
        <v>10.46</v>
      </c>
      <c r="N285" s="3">
        <v>1.25</v>
      </c>
    </row>
    <row r="286" spans="4:14" ht="15" customHeight="1" x14ac:dyDescent="0.25">
      <c r="D286" s="7"/>
      <c r="H286" s="3" t="s">
        <v>34</v>
      </c>
      <c r="I286" s="3" t="s">
        <v>37</v>
      </c>
      <c r="J286" s="3">
        <f t="shared" si="24"/>
        <v>147894</v>
      </c>
      <c r="K286" s="3">
        <f t="shared" si="23"/>
        <v>147934</v>
      </c>
      <c r="L286" s="3">
        <v>40</v>
      </c>
      <c r="M286" s="3">
        <f t="shared" si="25"/>
        <v>5.660000000000001</v>
      </c>
      <c r="N286" s="3">
        <v>4.8</v>
      </c>
    </row>
    <row r="287" spans="4:14" ht="15" customHeight="1" x14ac:dyDescent="0.25">
      <c r="D287" s="7"/>
      <c r="H287" s="3" t="s">
        <v>37</v>
      </c>
      <c r="I287" s="3" t="s">
        <v>34</v>
      </c>
      <c r="J287" s="3">
        <f t="shared" si="24"/>
        <v>147934</v>
      </c>
      <c r="K287" s="3">
        <f t="shared" si="23"/>
        <v>147974</v>
      </c>
      <c r="L287" s="3">
        <v>40</v>
      </c>
      <c r="M287" s="3">
        <f t="shared" si="25"/>
        <v>0.86000000000000121</v>
      </c>
      <c r="N287" s="3">
        <v>4.8</v>
      </c>
    </row>
    <row r="288" spans="4:14" ht="15" customHeight="1" x14ac:dyDescent="0.25">
      <c r="D288" s="7">
        <v>44644</v>
      </c>
      <c r="E288">
        <v>24.38</v>
      </c>
      <c r="F288" s="3">
        <v>51.9</v>
      </c>
      <c r="G288" s="8">
        <f>E288*F288</f>
        <v>1265.3219999999999</v>
      </c>
      <c r="H288" s="3" t="s">
        <v>34</v>
      </c>
      <c r="I288" s="3" t="s">
        <v>36</v>
      </c>
      <c r="J288" s="3">
        <f t="shared" si="24"/>
        <v>147974</v>
      </c>
      <c r="K288" s="3">
        <f t="shared" si="23"/>
        <v>147989</v>
      </c>
      <c r="L288" s="3">
        <v>15</v>
      </c>
      <c r="M288" s="3">
        <f>(E288+M287)-N288</f>
        <v>23.44</v>
      </c>
      <c r="N288" s="3">
        <v>1.8</v>
      </c>
    </row>
    <row r="289" spans="4:14" ht="15" customHeight="1" x14ac:dyDescent="0.25">
      <c r="D289" s="7"/>
      <c r="H289" s="3" t="s">
        <v>36</v>
      </c>
      <c r="I289" s="3" t="s">
        <v>34</v>
      </c>
      <c r="J289" s="3">
        <f t="shared" si="24"/>
        <v>147989</v>
      </c>
      <c r="K289" s="3">
        <f t="shared" si="23"/>
        <v>148004</v>
      </c>
      <c r="L289" s="3">
        <v>15</v>
      </c>
      <c r="M289" s="3">
        <f>M288-N289</f>
        <v>21.64</v>
      </c>
      <c r="N289" s="3">
        <v>1.8</v>
      </c>
    </row>
    <row r="290" spans="4:14" ht="15" customHeight="1" x14ac:dyDescent="0.25">
      <c r="D290" s="7">
        <v>44645</v>
      </c>
      <c r="H290" s="3" t="s">
        <v>34</v>
      </c>
      <c r="I290" s="3" t="s">
        <v>35</v>
      </c>
      <c r="J290" s="3">
        <f t="shared" si="24"/>
        <v>148004</v>
      </c>
      <c r="K290" s="3">
        <f t="shared" si="23"/>
        <v>148016</v>
      </c>
      <c r="L290" s="3">
        <v>12</v>
      </c>
      <c r="M290" s="3">
        <f>M289-N290</f>
        <v>20.39</v>
      </c>
      <c r="N290" s="3">
        <v>1.25</v>
      </c>
    </row>
    <row r="291" spans="4:14" ht="15" customHeight="1" x14ac:dyDescent="0.25">
      <c r="D291" s="7"/>
      <c r="H291" s="3" t="s">
        <v>35</v>
      </c>
      <c r="I291" s="3" t="s">
        <v>34</v>
      </c>
      <c r="J291" s="3">
        <f t="shared" si="24"/>
        <v>148016</v>
      </c>
      <c r="K291" s="3">
        <f t="shared" si="23"/>
        <v>148028</v>
      </c>
      <c r="L291" s="3">
        <v>12</v>
      </c>
      <c r="M291" s="3">
        <f>M290-N291</f>
        <v>19.14</v>
      </c>
      <c r="N291" s="3">
        <v>1.25</v>
      </c>
    </row>
    <row r="292" spans="4:14" ht="15" customHeight="1" x14ac:dyDescent="0.25">
      <c r="D292" s="7">
        <v>44648</v>
      </c>
      <c r="E292">
        <v>26.88</v>
      </c>
      <c r="F292" s="3">
        <v>51.6</v>
      </c>
      <c r="G292" s="8">
        <f>E292*F292</f>
        <v>1387.008</v>
      </c>
      <c r="H292" s="3" t="s">
        <v>34</v>
      </c>
      <c r="I292" s="3" t="s">
        <v>36</v>
      </c>
      <c r="J292" s="3">
        <f t="shared" si="24"/>
        <v>148028</v>
      </c>
      <c r="K292" s="3">
        <f t="shared" si="23"/>
        <v>148043</v>
      </c>
      <c r="L292" s="3">
        <v>15</v>
      </c>
      <c r="M292" s="3">
        <f>(E292+M291)-N292</f>
        <v>44.22</v>
      </c>
      <c r="N292" s="3">
        <v>1.8</v>
      </c>
    </row>
    <row r="293" spans="4:14" ht="15" customHeight="1" x14ac:dyDescent="0.25">
      <c r="D293" s="7"/>
      <c r="H293" s="3" t="s">
        <v>36</v>
      </c>
      <c r="I293" s="3" t="s">
        <v>34</v>
      </c>
      <c r="J293" s="3">
        <f t="shared" si="24"/>
        <v>148043</v>
      </c>
      <c r="K293" s="3">
        <f t="shared" si="23"/>
        <v>148058</v>
      </c>
      <c r="L293" s="3">
        <v>15</v>
      </c>
      <c r="M293" s="3">
        <f>M292-N293</f>
        <v>42.42</v>
      </c>
      <c r="N293" s="3">
        <v>1.8</v>
      </c>
    </row>
    <row r="294" spans="4:14" ht="15" customHeight="1" x14ac:dyDescent="0.25">
      <c r="D294" s="7"/>
      <c r="H294" s="3" t="s">
        <v>34</v>
      </c>
      <c r="I294" s="3" t="s">
        <v>39</v>
      </c>
      <c r="J294" s="3">
        <f t="shared" si="24"/>
        <v>148058</v>
      </c>
      <c r="K294" s="3">
        <f t="shared" si="23"/>
        <v>148108</v>
      </c>
      <c r="L294" s="3">
        <v>50</v>
      </c>
      <c r="M294" s="3">
        <f>(E294+M293)-N294</f>
        <v>36.92</v>
      </c>
      <c r="N294" s="3">
        <v>5.5</v>
      </c>
    </row>
    <row r="295" spans="4:14" ht="15" customHeight="1" x14ac:dyDescent="0.25">
      <c r="D295" s="7"/>
      <c r="H295" s="3" t="s">
        <v>39</v>
      </c>
      <c r="I295" s="3" t="s">
        <v>34</v>
      </c>
      <c r="J295" s="3">
        <f t="shared" si="24"/>
        <v>148108</v>
      </c>
      <c r="K295" s="3">
        <f t="shared" si="23"/>
        <v>148158</v>
      </c>
      <c r="L295" s="3">
        <v>50</v>
      </c>
      <c r="M295" s="3">
        <f>M294-N295</f>
        <v>31.42</v>
      </c>
      <c r="N295" s="3">
        <v>5.5</v>
      </c>
    </row>
    <row r="296" spans="4:14" ht="15" customHeight="1" x14ac:dyDescent="0.25">
      <c r="D296" s="7">
        <v>44649</v>
      </c>
      <c r="H296" s="3" t="s">
        <v>34</v>
      </c>
      <c r="I296" s="3" t="s">
        <v>24</v>
      </c>
      <c r="J296" s="3">
        <f t="shared" si="24"/>
        <v>148158</v>
      </c>
      <c r="K296" s="3">
        <f t="shared" si="23"/>
        <v>148172</v>
      </c>
      <c r="L296" s="3">
        <v>14</v>
      </c>
      <c r="M296" s="3">
        <f>M295-N296</f>
        <v>29.92</v>
      </c>
      <c r="N296" s="3">
        <v>1.5</v>
      </c>
    </row>
    <row r="297" spans="4:14" ht="15" customHeight="1" x14ac:dyDescent="0.25">
      <c r="D297" s="7"/>
      <c r="H297" s="3" t="s">
        <v>24</v>
      </c>
      <c r="I297" s="3" t="s">
        <v>34</v>
      </c>
      <c r="J297" s="3">
        <f t="shared" si="24"/>
        <v>148172</v>
      </c>
      <c r="K297" s="3">
        <f t="shared" si="23"/>
        <v>148186</v>
      </c>
      <c r="L297" s="3">
        <v>14</v>
      </c>
      <c r="M297" s="3">
        <f>M296-N297</f>
        <v>28.42</v>
      </c>
      <c r="N297" s="3">
        <v>1.5</v>
      </c>
    </row>
    <row r="298" spans="4:14" ht="15" customHeight="1" x14ac:dyDescent="0.25">
      <c r="D298" s="7"/>
      <c r="H298" s="3" t="s">
        <v>34</v>
      </c>
      <c r="I298" s="3" t="s">
        <v>36</v>
      </c>
      <c r="J298" s="3">
        <f t="shared" si="24"/>
        <v>148186</v>
      </c>
      <c r="K298" s="3">
        <f t="shared" si="23"/>
        <v>148201</v>
      </c>
      <c r="L298" s="3">
        <v>15</v>
      </c>
      <c r="M298" s="3">
        <f>(E298+M297)-N298</f>
        <v>26.62</v>
      </c>
      <c r="N298" s="3">
        <v>1.8</v>
      </c>
    </row>
    <row r="299" spans="4:14" ht="15" customHeight="1" x14ac:dyDescent="0.25">
      <c r="D299" s="7"/>
      <c r="H299" s="3" t="s">
        <v>36</v>
      </c>
      <c r="I299" s="3" t="s">
        <v>34</v>
      </c>
      <c r="J299" s="3">
        <f t="shared" si="24"/>
        <v>148201</v>
      </c>
      <c r="K299" s="3">
        <f t="shared" si="23"/>
        <v>148216</v>
      </c>
      <c r="L299" s="3">
        <v>15</v>
      </c>
      <c r="M299" s="3">
        <f>M298-N299</f>
        <v>24.82</v>
      </c>
      <c r="N299" s="3">
        <v>1.8</v>
      </c>
    </row>
    <row r="300" spans="4:14" ht="15" customHeight="1" x14ac:dyDescent="0.25">
      <c r="D300" s="7">
        <v>44650</v>
      </c>
      <c r="H300" s="3" t="s">
        <v>34</v>
      </c>
      <c r="I300" s="3" t="s">
        <v>40</v>
      </c>
      <c r="J300" s="3">
        <f t="shared" si="24"/>
        <v>148216</v>
      </c>
      <c r="K300" s="3">
        <f t="shared" si="23"/>
        <v>148230</v>
      </c>
      <c r="L300" s="3">
        <v>14</v>
      </c>
      <c r="M300" s="3">
        <f>M299-N300</f>
        <v>23.32</v>
      </c>
      <c r="N300" s="3">
        <v>1.5</v>
      </c>
    </row>
    <row r="301" spans="4:14" ht="15" customHeight="1" x14ac:dyDescent="0.25">
      <c r="D301" s="7"/>
      <c r="H301" s="3" t="s">
        <v>40</v>
      </c>
      <c r="I301" s="3" t="s">
        <v>34</v>
      </c>
      <c r="J301" s="3">
        <f t="shared" si="24"/>
        <v>148230</v>
      </c>
      <c r="K301" s="3">
        <f t="shared" si="23"/>
        <v>148244</v>
      </c>
      <c r="L301" s="3">
        <v>14</v>
      </c>
      <c r="M301" s="3">
        <f>M300-N301</f>
        <v>21.82</v>
      </c>
      <c r="N301" s="3">
        <v>1.5</v>
      </c>
    </row>
    <row r="302" spans="4:14" ht="15" customHeight="1" x14ac:dyDescent="0.25">
      <c r="D302" s="7">
        <v>44651</v>
      </c>
      <c r="E302">
        <v>24.58</v>
      </c>
      <c r="F302" s="3">
        <v>51.35</v>
      </c>
      <c r="G302" s="8">
        <f>E302*F302</f>
        <v>1262.183</v>
      </c>
      <c r="H302" s="3" t="s">
        <v>34</v>
      </c>
      <c r="I302" s="3" t="s">
        <v>35</v>
      </c>
      <c r="J302" s="3">
        <f t="shared" si="24"/>
        <v>148244</v>
      </c>
      <c r="K302" s="3">
        <f t="shared" si="23"/>
        <v>148256</v>
      </c>
      <c r="L302" s="3">
        <v>12</v>
      </c>
      <c r="M302" s="3">
        <f>(E302+M301)-N302</f>
        <v>45.15</v>
      </c>
      <c r="N302" s="3">
        <v>1.25</v>
      </c>
    </row>
    <row r="303" spans="4:14" ht="15" customHeight="1" x14ac:dyDescent="0.25">
      <c r="D303" s="7"/>
      <c r="H303" s="3" t="s">
        <v>35</v>
      </c>
      <c r="I303" s="3" t="s">
        <v>34</v>
      </c>
      <c r="J303" s="3">
        <f t="shared" si="24"/>
        <v>148256</v>
      </c>
      <c r="K303" s="3">
        <f t="shared" si="23"/>
        <v>148268</v>
      </c>
      <c r="L303" s="3">
        <v>12</v>
      </c>
      <c r="M303" s="3">
        <f>M302-N303</f>
        <v>43.9</v>
      </c>
      <c r="N303" s="3">
        <v>1.25</v>
      </c>
    </row>
    <row r="304" spans="4:14" ht="15" customHeight="1" x14ac:dyDescent="0.25">
      <c r="D304" s="7"/>
      <c r="H304" s="3" t="s">
        <v>34</v>
      </c>
      <c r="I304" s="3" t="s">
        <v>30</v>
      </c>
      <c r="J304" s="3">
        <f t="shared" si="24"/>
        <v>148268</v>
      </c>
      <c r="K304" s="3">
        <f t="shared" ref="K304:K335" si="26">J304+L304</f>
        <v>148295</v>
      </c>
      <c r="L304" s="3">
        <v>27</v>
      </c>
      <c r="M304" s="3">
        <f>(E304+M303)-N304</f>
        <v>40.699999999999996</v>
      </c>
      <c r="N304" s="3">
        <v>3.2</v>
      </c>
    </row>
    <row r="305" spans="4:14" ht="15" customHeight="1" x14ac:dyDescent="0.25">
      <c r="H305" s="3" t="s">
        <v>30</v>
      </c>
      <c r="I305" s="3" t="s">
        <v>34</v>
      </c>
      <c r="J305" s="3">
        <f t="shared" si="24"/>
        <v>148295</v>
      </c>
      <c r="K305" s="3">
        <f t="shared" si="26"/>
        <v>148322</v>
      </c>
      <c r="L305" s="3">
        <v>27</v>
      </c>
      <c r="M305" s="3">
        <f>M304-N305</f>
        <v>37.499999999999993</v>
      </c>
      <c r="N305" s="3">
        <v>3.2</v>
      </c>
    </row>
    <row r="306" spans="4:14" ht="15" customHeight="1" x14ac:dyDescent="0.25">
      <c r="H306" s="3" t="s">
        <v>34</v>
      </c>
      <c r="I306" s="3" t="s">
        <v>39</v>
      </c>
      <c r="J306" s="3">
        <f t="shared" si="24"/>
        <v>148322</v>
      </c>
      <c r="K306" s="3">
        <f t="shared" si="26"/>
        <v>148372</v>
      </c>
      <c r="L306" s="3">
        <v>50</v>
      </c>
      <c r="M306" s="3">
        <f>(E306+M305)-N306</f>
        <v>31.999999999999993</v>
      </c>
      <c r="N306" s="3">
        <v>5.5</v>
      </c>
    </row>
    <row r="307" spans="4:14" ht="15" customHeight="1" x14ac:dyDescent="0.25">
      <c r="H307" s="3" t="s">
        <v>39</v>
      </c>
      <c r="I307" s="3" t="s">
        <v>34</v>
      </c>
      <c r="J307" s="3">
        <f t="shared" si="24"/>
        <v>148372</v>
      </c>
      <c r="K307" s="3">
        <f t="shared" si="26"/>
        <v>148422</v>
      </c>
      <c r="L307" s="3">
        <v>50</v>
      </c>
      <c r="M307" s="3">
        <f>M306-N307</f>
        <v>26.499999999999993</v>
      </c>
      <c r="N307" s="3">
        <v>5.5</v>
      </c>
    </row>
    <row r="309" spans="4:14" ht="15" customHeight="1" x14ac:dyDescent="0.25">
      <c r="D309" s="2" t="s">
        <v>41</v>
      </c>
      <c r="E309" s="2"/>
      <c r="F309" s="2"/>
      <c r="G309" s="2"/>
    </row>
    <row r="310" spans="4:14" ht="15" customHeight="1" x14ac:dyDescent="0.25">
      <c r="D310" s="7">
        <v>44652</v>
      </c>
      <c r="H310" s="3" t="s">
        <v>34</v>
      </c>
      <c r="I310" s="3" t="s">
        <v>24</v>
      </c>
      <c r="J310" s="3">
        <f>K307</f>
        <v>148422</v>
      </c>
      <c r="K310" s="3">
        <f t="shared" ref="K310:K353" si="27">J310+L310</f>
        <v>148436</v>
      </c>
      <c r="L310" s="3">
        <v>14</v>
      </c>
      <c r="M310" s="3">
        <f>M307-N310</f>
        <v>24.999999999999993</v>
      </c>
      <c r="N310" s="3">
        <v>1.5</v>
      </c>
    </row>
    <row r="311" spans="4:14" ht="15" customHeight="1" x14ac:dyDescent="0.25">
      <c r="D311" s="7"/>
      <c r="H311" s="3" t="s">
        <v>24</v>
      </c>
      <c r="I311" s="3" t="s">
        <v>34</v>
      </c>
      <c r="J311" s="3">
        <f t="shared" ref="J311:J353" si="28">K310</f>
        <v>148436</v>
      </c>
      <c r="K311" s="3">
        <f t="shared" si="27"/>
        <v>148450</v>
      </c>
      <c r="L311" s="3">
        <v>14</v>
      </c>
      <c r="M311" s="3">
        <f>M310-N311</f>
        <v>23.499999999999993</v>
      </c>
      <c r="N311" s="3">
        <v>1.5</v>
      </c>
    </row>
    <row r="312" spans="4:14" ht="15" customHeight="1" x14ac:dyDescent="0.25">
      <c r="D312" s="7">
        <v>44655</v>
      </c>
      <c r="H312" s="3" t="s">
        <v>34</v>
      </c>
      <c r="I312" s="3" t="s">
        <v>39</v>
      </c>
      <c r="J312" s="3">
        <f t="shared" si="28"/>
        <v>148450</v>
      </c>
      <c r="K312" s="3">
        <f t="shared" si="27"/>
        <v>148500</v>
      </c>
      <c r="L312" s="3">
        <v>50</v>
      </c>
      <c r="M312" s="3">
        <f>(E312+M311)-N312</f>
        <v>17.999999999999993</v>
      </c>
      <c r="N312" s="3">
        <v>5.5</v>
      </c>
    </row>
    <row r="313" spans="4:14" ht="15" customHeight="1" x14ac:dyDescent="0.25">
      <c r="D313" s="7"/>
      <c r="H313" s="3" t="s">
        <v>39</v>
      </c>
      <c r="I313" s="3" t="s">
        <v>34</v>
      </c>
      <c r="J313" s="3">
        <f t="shared" si="28"/>
        <v>148500</v>
      </c>
      <c r="K313" s="3">
        <f t="shared" si="27"/>
        <v>148550</v>
      </c>
      <c r="L313" s="3">
        <v>50</v>
      </c>
      <c r="M313" s="3">
        <f>M312-N313</f>
        <v>12.499999999999993</v>
      </c>
      <c r="N313" s="3">
        <v>5.5</v>
      </c>
    </row>
    <row r="314" spans="4:14" ht="15" customHeight="1" x14ac:dyDescent="0.25">
      <c r="D314" s="7">
        <v>44656</v>
      </c>
      <c r="H314" s="3" t="s">
        <v>34</v>
      </c>
      <c r="I314" s="3" t="s">
        <v>36</v>
      </c>
      <c r="J314" s="3">
        <f t="shared" si="28"/>
        <v>148550</v>
      </c>
      <c r="K314" s="3">
        <f t="shared" si="27"/>
        <v>148565</v>
      </c>
      <c r="L314" s="3">
        <v>15</v>
      </c>
      <c r="M314" s="3">
        <f>(E314+M313)-N314</f>
        <v>10.699999999999992</v>
      </c>
      <c r="N314" s="3">
        <v>1.8</v>
      </c>
    </row>
    <row r="315" spans="4:14" ht="15" customHeight="1" x14ac:dyDescent="0.25">
      <c r="D315" s="7"/>
      <c r="H315" s="3" t="s">
        <v>36</v>
      </c>
      <c r="I315" s="3" t="s">
        <v>34</v>
      </c>
      <c r="J315" s="3">
        <f t="shared" si="28"/>
        <v>148565</v>
      </c>
      <c r="K315" s="3">
        <f t="shared" si="27"/>
        <v>148580</v>
      </c>
      <c r="L315" s="3">
        <v>15</v>
      </c>
      <c r="M315" s="3">
        <f>M314-N315</f>
        <v>8.8999999999999915</v>
      </c>
      <c r="N315" s="3">
        <v>1.8</v>
      </c>
    </row>
    <row r="316" spans="4:14" ht="15" customHeight="1" x14ac:dyDescent="0.25">
      <c r="D316" s="7">
        <v>44657</v>
      </c>
      <c r="E316">
        <v>25.58</v>
      </c>
      <c r="F316" s="3">
        <v>51.9</v>
      </c>
      <c r="G316" s="8">
        <f>E316*F316</f>
        <v>1327.6019999999999</v>
      </c>
      <c r="H316" s="3" t="s">
        <v>34</v>
      </c>
      <c r="I316" s="3" t="s">
        <v>35</v>
      </c>
      <c r="J316" s="3">
        <f t="shared" si="28"/>
        <v>148580</v>
      </c>
      <c r="K316" s="3">
        <f t="shared" si="27"/>
        <v>148592</v>
      </c>
      <c r="L316" s="3">
        <v>12</v>
      </c>
      <c r="M316" s="3">
        <f t="shared" ref="M316:M353" si="29">(E316+M315)-N316</f>
        <v>33.22999999999999</v>
      </c>
      <c r="N316" s="3">
        <v>1.25</v>
      </c>
    </row>
    <row r="317" spans="4:14" ht="15" customHeight="1" x14ac:dyDescent="0.25">
      <c r="H317" s="3" t="s">
        <v>35</v>
      </c>
      <c r="I317" s="3" t="s">
        <v>34</v>
      </c>
      <c r="J317" s="3">
        <f t="shared" si="28"/>
        <v>148592</v>
      </c>
      <c r="K317" s="3">
        <f t="shared" si="27"/>
        <v>148604</v>
      </c>
      <c r="L317" s="3">
        <v>12</v>
      </c>
      <c r="M317" s="3">
        <f t="shared" si="29"/>
        <v>31.97999999999999</v>
      </c>
      <c r="N317" s="3">
        <v>1.25</v>
      </c>
    </row>
    <row r="318" spans="4:14" ht="15" customHeight="1" x14ac:dyDescent="0.25">
      <c r="D318" s="7">
        <v>44658</v>
      </c>
      <c r="H318" s="3" t="s">
        <v>34</v>
      </c>
      <c r="I318" s="3" t="s">
        <v>37</v>
      </c>
      <c r="J318" s="3">
        <f t="shared" si="28"/>
        <v>148604</v>
      </c>
      <c r="K318" s="3">
        <f t="shared" si="27"/>
        <v>148644</v>
      </c>
      <c r="L318" s="3">
        <v>40</v>
      </c>
      <c r="M318" s="3">
        <f t="shared" si="29"/>
        <v>27.179999999999989</v>
      </c>
      <c r="N318" s="3">
        <v>4.8</v>
      </c>
    </row>
    <row r="319" spans="4:14" ht="15" customHeight="1" x14ac:dyDescent="0.25">
      <c r="D319" s="7"/>
      <c r="H319" s="3" t="s">
        <v>37</v>
      </c>
      <c r="I319" s="3" t="s">
        <v>34</v>
      </c>
      <c r="J319" s="3">
        <f t="shared" si="28"/>
        <v>148644</v>
      </c>
      <c r="K319" s="3">
        <f t="shared" si="27"/>
        <v>148684</v>
      </c>
      <c r="L319" s="3">
        <v>40</v>
      </c>
      <c r="M319" s="3">
        <f t="shared" si="29"/>
        <v>22.379999999999988</v>
      </c>
      <c r="N319" s="3">
        <v>4.8</v>
      </c>
    </row>
    <row r="320" spans="4:14" ht="15" customHeight="1" x14ac:dyDescent="0.25">
      <c r="D320" s="7">
        <v>44659</v>
      </c>
      <c r="H320" s="3" t="s">
        <v>34</v>
      </c>
      <c r="I320" s="3" t="s">
        <v>24</v>
      </c>
      <c r="J320" s="3">
        <f t="shared" si="28"/>
        <v>148684</v>
      </c>
      <c r="K320" s="3">
        <f t="shared" si="27"/>
        <v>148698</v>
      </c>
      <c r="L320" s="3">
        <v>14</v>
      </c>
      <c r="M320" s="3">
        <f t="shared" si="29"/>
        <v>20.879999999999988</v>
      </c>
      <c r="N320" s="3">
        <v>1.5</v>
      </c>
    </row>
    <row r="321" spans="4:14" ht="15" customHeight="1" x14ac:dyDescent="0.25">
      <c r="D321" s="7"/>
      <c r="H321" s="3" t="s">
        <v>24</v>
      </c>
      <c r="I321" s="3" t="s">
        <v>34</v>
      </c>
      <c r="J321" s="3">
        <f t="shared" si="28"/>
        <v>148698</v>
      </c>
      <c r="K321" s="3">
        <f t="shared" si="27"/>
        <v>148712</v>
      </c>
      <c r="L321" s="3">
        <v>14</v>
      </c>
      <c r="M321" s="3">
        <f t="shared" si="29"/>
        <v>19.379999999999988</v>
      </c>
      <c r="N321" s="3">
        <v>1.5</v>
      </c>
    </row>
    <row r="322" spans="4:14" ht="15" customHeight="1" x14ac:dyDescent="0.25">
      <c r="D322" s="7">
        <v>44662</v>
      </c>
      <c r="H322" s="3" t="s">
        <v>34</v>
      </c>
      <c r="I322" s="3" t="s">
        <v>36</v>
      </c>
      <c r="J322" s="3">
        <f t="shared" si="28"/>
        <v>148712</v>
      </c>
      <c r="K322" s="3">
        <f t="shared" si="27"/>
        <v>148727</v>
      </c>
      <c r="L322" s="3">
        <v>15</v>
      </c>
      <c r="M322" s="3">
        <f t="shared" si="29"/>
        <v>17.579999999999988</v>
      </c>
      <c r="N322" s="3">
        <v>1.8</v>
      </c>
    </row>
    <row r="323" spans="4:14" ht="15" customHeight="1" x14ac:dyDescent="0.25">
      <c r="D323" s="7"/>
      <c r="H323" s="3" t="s">
        <v>36</v>
      </c>
      <c r="I323" s="3" t="s">
        <v>34</v>
      </c>
      <c r="J323" s="3">
        <f t="shared" si="28"/>
        <v>148727</v>
      </c>
      <c r="K323" s="3">
        <f t="shared" si="27"/>
        <v>148742</v>
      </c>
      <c r="L323" s="3">
        <v>15</v>
      </c>
      <c r="M323" s="3">
        <f t="shared" si="29"/>
        <v>15.779999999999987</v>
      </c>
      <c r="N323" s="3">
        <v>1.8</v>
      </c>
    </row>
    <row r="324" spans="4:14" ht="15" customHeight="1" x14ac:dyDescent="0.25">
      <c r="D324" s="7">
        <v>44663</v>
      </c>
      <c r="H324" s="3" t="s">
        <v>34</v>
      </c>
      <c r="I324" s="3" t="s">
        <v>35</v>
      </c>
      <c r="J324" s="3">
        <f t="shared" si="28"/>
        <v>148742</v>
      </c>
      <c r="K324" s="3">
        <f t="shared" si="27"/>
        <v>148754</v>
      </c>
      <c r="L324" s="3">
        <v>12</v>
      </c>
      <c r="M324" s="3">
        <f t="shared" si="29"/>
        <v>14.529999999999987</v>
      </c>
      <c r="N324" s="3">
        <v>1.25</v>
      </c>
    </row>
    <row r="325" spans="4:14" ht="15" customHeight="1" x14ac:dyDescent="0.25">
      <c r="D325" s="7"/>
      <c r="H325" s="3" t="s">
        <v>35</v>
      </c>
      <c r="I325" s="3" t="s">
        <v>34</v>
      </c>
      <c r="J325" s="3">
        <f t="shared" si="28"/>
        <v>148754</v>
      </c>
      <c r="K325" s="3">
        <f t="shared" si="27"/>
        <v>148766</v>
      </c>
      <c r="L325" s="3">
        <v>12</v>
      </c>
      <c r="M325" s="3">
        <f t="shared" si="29"/>
        <v>13.279999999999987</v>
      </c>
      <c r="N325" s="3">
        <v>1.25</v>
      </c>
    </row>
    <row r="326" spans="4:14" ht="15" customHeight="1" x14ac:dyDescent="0.25">
      <c r="D326" s="7">
        <v>44664</v>
      </c>
      <c r="H326" s="3" t="s">
        <v>34</v>
      </c>
      <c r="I326" s="3" t="s">
        <v>37</v>
      </c>
      <c r="J326" s="3">
        <f t="shared" si="28"/>
        <v>148766</v>
      </c>
      <c r="K326" s="3">
        <f t="shared" si="27"/>
        <v>148806</v>
      </c>
      <c r="L326" s="3">
        <v>40</v>
      </c>
      <c r="M326" s="3">
        <f t="shared" si="29"/>
        <v>8.4799999999999862</v>
      </c>
      <c r="N326" s="3">
        <v>4.8</v>
      </c>
    </row>
    <row r="327" spans="4:14" ht="15" customHeight="1" x14ac:dyDescent="0.25">
      <c r="D327" s="7"/>
      <c r="H327" s="3" t="s">
        <v>37</v>
      </c>
      <c r="I327" s="3" t="s">
        <v>34</v>
      </c>
      <c r="J327" s="3">
        <f t="shared" si="28"/>
        <v>148806</v>
      </c>
      <c r="K327" s="3">
        <f t="shared" si="27"/>
        <v>148846</v>
      </c>
      <c r="L327" s="3">
        <v>40</v>
      </c>
      <c r="M327" s="3">
        <f t="shared" si="29"/>
        <v>3.6799999999999864</v>
      </c>
      <c r="N327" s="3">
        <v>4.8</v>
      </c>
    </row>
    <row r="328" spans="4:14" ht="15" customHeight="1" x14ac:dyDescent="0.25">
      <c r="D328" s="7">
        <v>44665</v>
      </c>
      <c r="H328" s="3" t="s">
        <v>34</v>
      </c>
      <c r="I328" s="3" t="s">
        <v>35</v>
      </c>
      <c r="J328" s="3">
        <f t="shared" si="28"/>
        <v>148846</v>
      </c>
      <c r="K328" s="3">
        <f t="shared" si="27"/>
        <v>148858</v>
      </c>
      <c r="L328" s="3">
        <v>12</v>
      </c>
      <c r="M328" s="3">
        <f t="shared" si="29"/>
        <v>2.4299999999999864</v>
      </c>
      <c r="N328" s="3">
        <v>1.25</v>
      </c>
    </row>
    <row r="329" spans="4:14" ht="15" customHeight="1" x14ac:dyDescent="0.25">
      <c r="D329" s="7"/>
      <c r="H329" s="3" t="s">
        <v>35</v>
      </c>
      <c r="I329" s="3" t="s">
        <v>34</v>
      </c>
      <c r="J329" s="3">
        <f t="shared" si="28"/>
        <v>148858</v>
      </c>
      <c r="K329" s="3">
        <f t="shared" si="27"/>
        <v>148870</v>
      </c>
      <c r="L329" s="3">
        <v>12</v>
      </c>
      <c r="M329" s="3">
        <f t="shared" si="29"/>
        <v>1.1799999999999864</v>
      </c>
      <c r="N329" s="3">
        <v>1.25</v>
      </c>
    </row>
    <row r="330" spans="4:14" ht="15" customHeight="1" x14ac:dyDescent="0.25">
      <c r="D330" s="7">
        <v>44666</v>
      </c>
      <c r="E330">
        <v>23.93</v>
      </c>
      <c r="F330" s="3">
        <v>51.9</v>
      </c>
      <c r="G330" s="8">
        <f>E330*F330</f>
        <v>1241.9669999999999</v>
      </c>
      <c r="H330" s="3" t="s">
        <v>34</v>
      </c>
      <c r="I330" s="3" t="s">
        <v>39</v>
      </c>
      <c r="J330" s="3">
        <f t="shared" si="28"/>
        <v>148870</v>
      </c>
      <c r="K330" s="3">
        <f t="shared" si="27"/>
        <v>148920</v>
      </c>
      <c r="L330" s="3">
        <v>50</v>
      </c>
      <c r="M330" s="3">
        <f t="shared" si="29"/>
        <v>19.609999999999985</v>
      </c>
      <c r="N330" s="3">
        <v>5.5</v>
      </c>
    </row>
    <row r="331" spans="4:14" ht="15" customHeight="1" x14ac:dyDescent="0.25">
      <c r="D331" s="7"/>
      <c r="G331" s="8"/>
      <c r="H331" s="3" t="s">
        <v>39</v>
      </c>
      <c r="I331" s="3" t="s">
        <v>34</v>
      </c>
      <c r="J331" s="3">
        <f t="shared" si="28"/>
        <v>148920</v>
      </c>
      <c r="K331" s="3">
        <f t="shared" si="27"/>
        <v>148970</v>
      </c>
      <c r="L331" s="3">
        <v>50</v>
      </c>
      <c r="M331" s="3">
        <f t="shared" si="29"/>
        <v>14.109999999999985</v>
      </c>
      <c r="N331" s="3">
        <v>5.5</v>
      </c>
    </row>
    <row r="332" spans="4:14" ht="15" customHeight="1" x14ac:dyDescent="0.25">
      <c r="D332" s="7">
        <v>44669</v>
      </c>
      <c r="H332" s="3" t="s">
        <v>34</v>
      </c>
      <c r="I332" s="3" t="s">
        <v>24</v>
      </c>
      <c r="J332" s="3">
        <f t="shared" si="28"/>
        <v>148970</v>
      </c>
      <c r="K332" s="3">
        <f t="shared" si="27"/>
        <v>148984</v>
      </c>
      <c r="L332" s="3">
        <v>14</v>
      </c>
      <c r="M332" s="3">
        <f t="shared" si="29"/>
        <v>12.609999999999985</v>
      </c>
      <c r="N332" s="3">
        <v>1.5</v>
      </c>
    </row>
    <row r="333" spans="4:14" ht="15" customHeight="1" x14ac:dyDescent="0.25">
      <c r="D333" s="7"/>
      <c r="H333" s="3" t="s">
        <v>24</v>
      </c>
      <c r="I333" s="3" t="s">
        <v>34</v>
      </c>
      <c r="J333" s="3">
        <f t="shared" si="28"/>
        <v>148984</v>
      </c>
      <c r="K333" s="3">
        <f t="shared" si="27"/>
        <v>148998</v>
      </c>
      <c r="L333" s="3">
        <v>14</v>
      </c>
      <c r="M333" s="3">
        <f t="shared" si="29"/>
        <v>11.109999999999985</v>
      </c>
      <c r="N333" s="3">
        <v>1.5</v>
      </c>
    </row>
    <row r="334" spans="4:14" ht="15" customHeight="1" x14ac:dyDescent="0.25">
      <c r="D334" s="7">
        <v>44670</v>
      </c>
      <c r="E334">
        <v>23.46</v>
      </c>
      <c r="F334" s="3">
        <v>51.9</v>
      </c>
      <c r="G334" s="8">
        <f>E334*F334</f>
        <v>1217.5740000000001</v>
      </c>
      <c r="H334" s="3" t="s">
        <v>34</v>
      </c>
      <c r="I334" s="3" t="s">
        <v>39</v>
      </c>
      <c r="J334" s="3">
        <f t="shared" si="28"/>
        <v>148998</v>
      </c>
      <c r="K334" s="3">
        <f t="shared" si="27"/>
        <v>149048</v>
      </c>
      <c r="L334" s="3">
        <v>50</v>
      </c>
      <c r="M334" s="3">
        <f t="shared" si="29"/>
        <v>29.069999999999986</v>
      </c>
      <c r="N334" s="3">
        <v>5.5</v>
      </c>
    </row>
    <row r="335" spans="4:14" ht="15" customHeight="1" x14ac:dyDescent="0.25">
      <c r="D335" s="7"/>
      <c r="G335" s="8"/>
      <c r="H335" s="3" t="s">
        <v>39</v>
      </c>
      <c r="I335" s="3" t="s">
        <v>34</v>
      </c>
      <c r="J335" s="3">
        <f t="shared" si="28"/>
        <v>149048</v>
      </c>
      <c r="K335" s="3">
        <f t="shared" si="27"/>
        <v>149098</v>
      </c>
      <c r="L335" s="3">
        <v>50</v>
      </c>
      <c r="M335" s="3">
        <f t="shared" si="29"/>
        <v>23.569999999999986</v>
      </c>
      <c r="N335" s="3">
        <v>5.5</v>
      </c>
    </row>
    <row r="336" spans="4:14" ht="15" customHeight="1" x14ac:dyDescent="0.25">
      <c r="D336" s="7">
        <v>44671</v>
      </c>
      <c r="H336" s="3" t="s">
        <v>34</v>
      </c>
      <c r="I336" s="3" t="s">
        <v>36</v>
      </c>
      <c r="J336" s="3">
        <f t="shared" si="28"/>
        <v>149098</v>
      </c>
      <c r="K336" s="3">
        <f t="shared" si="27"/>
        <v>149113</v>
      </c>
      <c r="L336" s="3">
        <v>15</v>
      </c>
      <c r="M336" s="3">
        <f t="shared" si="29"/>
        <v>21.769999999999985</v>
      </c>
      <c r="N336" s="3">
        <v>1.8</v>
      </c>
    </row>
    <row r="337" spans="4:14" ht="15" customHeight="1" x14ac:dyDescent="0.25">
      <c r="D337" s="7"/>
      <c r="H337" s="3" t="s">
        <v>36</v>
      </c>
      <c r="I337" s="3" t="s">
        <v>34</v>
      </c>
      <c r="J337" s="3">
        <f t="shared" si="28"/>
        <v>149113</v>
      </c>
      <c r="K337" s="3">
        <f t="shared" si="27"/>
        <v>149128</v>
      </c>
      <c r="L337" s="3">
        <v>15</v>
      </c>
      <c r="M337" s="3">
        <f t="shared" si="29"/>
        <v>19.969999999999985</v>
      </c>
      <c r="N337" s="3">
        <v>1.8</v>
      </c>
    </row>
    <row r="338" spans="4:14" ht="15" customHeight="1" x14ac:dyDescent="0.25">
      <c r="D338" s="7">
        <v>44672</v>
      </c>
      <c r="H338" s="3" t="s">
        <v>34</v>
      </c>
      <c r="I338" s="3" t="s">
        <v>29</v>
      </c>
      <c r="J338" s="3">
        <f t="shared" si="28"/>
        <v>149128</v>
      </c>
      <c r="K338" s="3">
        <f t="shared" si="27"/>
        <v>149177</v>
      </c>
      <c r="L338" s="3">
        <v>49</v>
      </c>
      <c r="M338" s="3">
        <f t="shared" si="29"/>
        <v>14.169999999999984</v>
      </c>
      <c r="N338" s="3">
        <v>5.8</v>
      </c>
    </row>
    <row r="339" spans="4:14" ht="15" customHeight="1" x14ac:dyDescent="0.25">
      <c r="D339" s="7"/>
      <c r="H339" s="3" t="s">
        <v>29</v>
      </c>
      <c r="I339" s="3" t="s">
        <v>34</v>
      </c>
      <c r="J339" s="3">
        <f t="shared" si="28"/>
        <v>149177</v>
      </c>
      <c r="K339" s="3">
        <f t="shared" si="27"/>
        <v>149226</v>
      </c>
      <c r="L339" s="3">
        <v>49</v>
      </c>
      <c r="M339" s="3">
        <f t="shared" si="29"/>
        <v>8.3699999999999832</v>
      </c>
      <c r="N339" s="3">
        <v>5.8</v>
      </c>
    </row>
    <row r="340" spans="4:14" ht="15" customHeight="1" x14ac:dyDescent="0.25">
      <c r="D340" s="7">
        <v>44673</v>
      </c>
      <c r="H340" s="3" t="s">
        <v>34</v>
      </c>
      <c r="I340" s="3" t="s">
        <v>35</v>
      </c>
      <c r="J340" s="3">
        <f t="shared" si="28"/>
        <v>149226</v>
      </c>
      <c r="K340" s="3">
        <f t="shared" si="27"/>
        <v>149238</v>
      </c>
      <c r="L340" s="3">
        <v>12</v>
      </c>
      <c r="M340" s="3">
        <f t="shared" si="29"/>
        <v>7.1199999999999832</v>
      </c>
      <c r="N340" s="3">
        <v>1.25</v>
      </c>
    </row>
    <row r="341" spans="4:14" ht="15" customHeight="1" x14ac:dyDescent="0.25">
      <c r="D341" s="7"/>
      <c r="H341" s="3" t="s">
        <v>35</v>
      </c>
      <c r="I341" s="3" t="s">
        <v>34</v>
      </c>
      <c r="J341" s="3">
        <f t="shared" si="28"/>
        <v>149238</v>
      </c>
      <c r="K341" s="3">
        <f t="shared" si="27"/>
        <v>149250</v>
      </c>
      <c r="L341" s="3">
        <v>12</v>
      </c>
      <c r="M341" s="3">
        <f t="shared" si="29"/>
        <v>5.8699999999999832</v>
      </c>
      <c r="N341" s="3">
        <v>1.25</v>
      </c>
    </row>
    <row r="342" spans="4:14" ht="15" customHeight="1" x14ac:dyDescent="0.25">
      <c r="D342" s="7">
        <v>44676</v>
      </c>
      <c r="H342" s="3" t="s">
        <v>34</v>
      </c>
      <c r="I342" s="3" t="s">
        <v>35</v>
      </c>
      <c r="J342" s="3">
        <f t="shared" si="28"/>
        <v>149250</v>
      </c>
      <c r="K342" s="3">
        <f t="shared" si="27"/>
        <v>149262</v>
      </c>
      <c r="L342" s="3">
        <v>12</v>
      </c>
      <c r="M342" s="3">
        <f t="shared" si="29"/>
        <v>4.6199999999999832</v>
      </c>
      <c r="N342" s="3">
        <v>1.25</v>
      </c>
    </row>
    <row r="343" spans="4:14" ht="15" customHeight="1" x14ac:dyDescent="0.25">
      <c r="D343" s="7"/>
      <c r="H343" s="3" t="s">
        <v>35</v>
      </c>
      <c r="I343" s="3" t="s">
        <v>34</v>
      </c>
      <c r="J343" s="3">
        <f t="shared" si="28"/>
        <v>149262</v>
      </c>
      <c r="K343" s="3">
        <f t="shared" si="27"/>
        <v>149274</v>
      </c>
      <c r="L343" s="3">
        <v>12</v>
      </c>
      <c r="M343" s="3">
        <f t="shared" si="29"/>
        <v>3.3699999999999832</v>
      </c>
      <c r="N343" s="3">
        <v>1.25</v>
      </c>
    </row>
    <row r="344" spans="4:14" ht="15" customHeight="1" x14ac:dyDescent="0.25">
      <c r="D344" s="7">
        <v>44677</v>
      </c>
      <c r="E344">
        <v>24.47</v>
      </c>
      <c r="F344" s="3">
        <v>51.45</v>
      </c>
      <c r="G344" s="8">
        <f>E344*F344</f>
        <v>1258.9815000000001</v>
      </c>
      <c r="H344" s="3" t="s">
        <v>34</v>
      </c>
      <c r="I344" s="3" t="s">
        <v>37</v>
      </c>
      <c r="J344" s="3">
        <f t="shared" si="28"/>
        <v>149274</v>
      </c>
      <c r="K344" s="3">
        <f t="shared" si="27"/>
        <v>149314</v>
      </c>
      <c r="L344" s="3">
        <v>40</v>
      </c>
      <c r="M344" s="3">
        <f t="shared" si="29"/>
        <v>23.039999999999981</v>
      </c>
      <c r="N344" s="3">
        <v>4.8</v>
      </c>
    </row>
    <row r="345" spans="4:14" ht="15" customHeight="1" x14ac:dyDescent="0.25">
      <c r="D345" s="7"/>
      <c r="G345" s="8"/>
      <c r="H345" s="3" t="s">
        <v>37</v>
      </c>
      <c r="I345" s="3" t="s">
        <v>34</v>
      </c>
      <c r="J345" s="3">
        <f t="shared" si="28"/>
        <v>149314</v>
      </c>
      <c r="K345" s="3">
        <f t="shared" si="27"/>
        <v>149354</v>
      </c>
      <c r="L345" s="3">
        <v>40</v>
      </c>
      <c r="M345" s="3">
        <f t="shared" si="29"/>
        <v>18.239999999999981</v>
      </c>
      <c r="N345" s="3">
        <v>4.8</v>
      </c>
    </row>
    <row r="346" spans="4:14" ht="15" customHeight="1" x14ac:dyDescent="0.25">
      <c r="D346" s="7">
        <v>44678</v>
      </c>
      <c r="H346" s="3" t="s">
        <v>34</v>
      </c>
      <c r="I346" s="3" t="s">
        <v>24</v>
      </c>
      <c r="J346" s="3">
        <f t="shared" si="28"/>
        <v>149354</v>
      </c>
      <c r="K346" s="3">
        <f t="shared" si="27"/>
        <v>149368</v>
      </c>
      <c r="L346" s="3">
        <v>14</v>
      </c>
      <c r="M346" s="3">
        <f t="shared" si="29"/>
        <v>16.739999999999981</v>
      </c>
      <c r="N346" s="3">
        <v>1.5</v>
      </c>
    </row>
    <row r="347" spans="4:14" ht="15" customHeight="1" x14ac:dyDescent="0.25">
      <c r="D347" s="7"/>
      <c r="H347" s="3" t="s">
        <v>24</v>
      </c>
      <c r="I347" s="3" t="s">
        <v>34</v>
      </c>
      <c r="J347" s="3">
        <f t="shared" si="28"/>
        <v>149368</v>
      </c>
      <c r="K347" s="3">
        <f t="shared" si="27"/>
        <v>149382</v>
      </c>
      <c r="L347" s="3">
        <v>14</v>
      </c>
      <c r="M347" s="3">
        <f t="shared" si="29"/>
        <v>15.239999999999981</v>
      </c>
      <c r="N347" s="3">
        <v>1.5</v>
      </c>
    </row>
    <row r="348" spans="4:14" ht="15" customHeight="1" x14ac:dyDescent="0.25">
      <c r="D348" s="7">
        <v>44679</v>
      </c>
      <c r="H348" s="3" t="s">
        <v>34</v>
      </c>
      <c r="I348" s="3" t="s">
        <v>36</v>
      </c>
      <c r="J348" s="3">
        <f t="shared" si="28"/>
        <v>149382</v>
      </c>
      <c r="K348" s="3">
        <f t="shared" si="27"/>
        <v>149397</v>
      </c>
      <c r="L348" s="3">
        <v>15</v>
      </c>
      <c r="M348" s="3">
        <f t="shared" si="29"/>
        <v>13.43999999999998</v>
      </c>
      <c r="N348" s="3">
        <v>1.8</v>
      </c>
    </row>
    <row r="349" spans="4:14" ht="15" customHeight="1" x14ac:dyDescent="0.25">
      <c r="D349" s="7"/>
      <c r="H349" s="3" t="s">
        <v>36</v>
      </c>
      <c r="I349" s="3" t="s">
        <v>34</v>
      </c>
      <c r="J349" s="3">
        <f t="shared" si="28"/>
        <v>149397</v>
      </c>
      <c r="K349" s="3">
        <f t="shared" si="27"/>
        <v>149412</v>
      </c>
      <c r="L349" s="3">
        <v>15</v>
      </c>
      <c r="M349" s="3">
        <f t="shared" si="29"/>
        <v>11.639999999999979</v>
      </c>
      <c r="N349" s="3">
        <v>1.8</v>
      </c>
    </row>
    <row r="350" spans="4:14" ht="15" customHeight="1" x14ac:dyDescent="0.25">
      <c r="D350" s="7">
        <v>44680</v>
      </c>
      <c r="E350">
        <v>25.44</v>
      </c>
      <c r="F350" s="3">
        <v>51.9</v>
      </c>
      <c r="G350" s="8">
        <f>E350*F350</f>
        <v>1320.336</v>
      </c>
      <c r="H350" s="3" t="s">
        <v>34</v>
      </c>
      <c r="I350" s="3" t="s">
        <v>39</v>
      </c>
      <c r="J350" s="3">
        <f t="shared" si="28"/>
        <v>149412</v>
      </c>
      <c r="K350" s="3">
        <f t="shared" si="27"/>
        <v>149462</v>
      </c>
      <c r="L350" s="3">
        <v>50</v>
      </c>
      <c r="M350" s="3">
        <f t="shared" si="29"/>
        <v>31.579999999999984</v>
      </c>
      <c r="N350" s="3">
        <v>5.5</v>
      </c>
    </row>
    <row r="351" spans="4:14" ht="15" customHeight="1" x14ac:dyDescent="0.25">
      <c r="D351" s="7"/>
      <c r="G351" s="8"/>
      <c r="H351" s="3" t="s">
        <v>39</v>
      </c>
      <c r="I351" s="3" t="s">
        <v>34</v>
      </c>
      <c r="J351" s="3">
        <f t="shared" si="28"/>
        <v>149462</v>
      </c>
      <c r="K351" s="3">
        <f t="shared" si="27"/>
        <v>149512</v>
      </c>
      <c r="L351" s="3">
        <v>50</v>
      </c>
      <c r="M351" s="3">
        <f t="shared" si="29"/>
        <v>26.079999999999984</v>
      </c>
      <c r="N351" s="3">
        <v>5.5</v>
      </c>
    </row>
    <row r="352" spans="4:14" ht="15" customHeight="1" x14ac:dyDescent="0.25">
      <c r="D352" s="7"/>
      <c r="G352" s="8"/>
      <c r="H352" s="3" t="s">
        <v>34</v>
      </c>
      <c r="I352" s="3" t="s">
        <v>36</v>
      </c>
      <c r="J352" s="3">
        <f t="shared" si="28"/>
        <v>149512</v>
      </c>
      <c r="K352" s="3">
        <f t="shared" si="27"/>
        <v>149527</v>
      </c>
      <c r="L352" s="3">
        <v>15</v>
      </c>
      <c r="M352" s="3">
        <f t="shared" si="29"/>
        <v>24.279999999999983</v>
      </c>
      <c r="N352" s="3">
        <v>1.8</v>
      </c>
    </row>
    <row r="353" spans="4:14" ht="15" customHeight="1" x14ac:dyDescent="0.25">
      <c r="D353" s="7"/>
      <c r="G353" s="8"/>
      <c r="H353" s="3" t="s">
        <v>36</v>
      </c>
      <c r="I353" s="3" t="s">
        <v>34</v>
      </c>
      <c r="J353" s="3">
        <f t="shared" si="28"/>
        <v>149527</v>
      </c>
      <c r="K353" s="3">
        <f t="shared" si="27"/>
        <v>149542</v>
      </c>
      <c r="L353" s="3">
        <v>15</v>
      </c>
      <c r="M353" s="3">
        <f t="shared" si="29"/>
        <v>22.479999999999983</v>
      </c>
      <c r="N353" s="3">
        <v>1.8</v>
      </c>
    </row>
    <row r="355" spans="4:14" ht="15" customHeight="1" x14ac:dyDescent="0.25">
      <c r="D355" s="2" t="s">
        <v>42</v>
      </c>
      <c r="E355" s="2"/>
      <c r="F355" s="2"/>
      <c r="G355" s="2"/>
    </row>
    <row r="356" spans="4:14" ht="15" customHeight="1" x14ac:dyDescent="0.25">
      <c r="D356" s="7">
        <v>44685</v>
      </c>
      <c r="E356">
        <v>23.01</v>
      </c>
      <c r="F356" s="3">
        <v>51.35</v>
      </c>
      <c r="G356" s="8">
        <f>E356*F356</f>
        <v>1181.5635000000002</v>
      </c>
      <c r="H356" s="3" t="s">
        <v>34</v>
      </c>
      <c r="I356" s="3" t="s">
        <v>37</v>
      </c>
      <c r="J356" s="3">
        <f>K353</f>
        <v>149542</v>
      </c>
      <c r="K356" s="3">
        <f t="shared" ref="K356:K387" si="30">J356+L356</f>
        <v>149582</v>
      </c>
      <c r="L356" s="3">
        <v>40</v>
      </c>
      <c r="M356" s="3">
        <f>(E356+M353)-N356</f>
        <v>40.689999999999984</v>
      </c>
      <c r="N356" s="3">
        <v>4.8</v>
      </c>
    </row>
    <row r="357" spans="4:14" ht="15" customHeight="1" x14ac:dyDescent="0.25">
      <c r="D357" s="7"/>
      <c r="G357" s="8"/>
      <c r="H357" s="3" t="s">
        <v>37</v>
      </c>
      <c r="I357" s="3" t="s">
        <v>34</v>
      </c>
      <c r="J357" s="3">
        <f t="shared" ref="J357:J388" si="31">K356</f>
        <v>149582</v>
      </c>
      <c r="K357" s="3">
        <f t="shared" si="30"/>
        <v>149622</v>
      </c>
      <c r="L357" s="3">
        <v>40</v>
      </c>
      <c r="M357" s="3">
        <f t="shared" ref="M357:M388" si="32">(E357+M356)-N357</f>
        <v>35.889999999999986</v>
      </c>
      <c r="N357" s="3">
        <v>4.8</v>
      </c>
    </row>
    <row r="358" spans="4:14" ht="15" customHeight="1" x14ac:dyDescent="0.25">
      <c r="D358" s="7"/>
      <c r="G358" s="8"/>
      <c r="H358" s="3" t="s">
        <v>34</v>
      </c>
      <c r="I358" s="3" t="s">
        <v>35</v>
      </c>
      <c r="J358" s="3">
        <f t="shared" si="31"/>
        <v>149622</v>
      </c>
      <c r="K358" s="3">
        <f t="shared" si="30"/>
        <v>149634</v>
      </c>
      <c r="L358" s="3">
        <v>12</v>
      </c>
      <c r="M358" s="3">
        <f t="shared" si="32"/>
        <v>34.639999999999986</v>
      </c>
      <c r="N358" s="3">
        <v>1.25</v>
      </c>
    </row>
    <row r="359" spans="4:14" ht="15" customHeight="1" x14ac:dyDescent="0.25">
      <c r="D359" s="7"/>
      <c r="G359" s="8"/>
      <c r="H359" s="3" t="s">
        <v>35</v>
      </c>
      <c r="I359" s="3" t="s">
        <v>34</v>
      </c>
      <c r="J359" s="3">
        <f t="shared" si="31"/>
        <v>149634</v>
      </c>
      <c r="K359" s="3">
        <f t="shared" si="30"/>
        <v>149646</v>
      </c>
      <c r="L359" s="3">
        <v>12</v>
      </c>
      <c r="M359" s="3">
        <f t="shared" si="32"/>
        <v>33.389999999999986</v>
      </c>
      <c r="N359" s="3">
        <v>1.25</v>
      </c>
    </row>
    <row r="360" spans="4:14" ht="15" customHeight="1" x14ac:dyDescent="0.25">
      <c r="D360" s="7"/>
      <c r="G360" s="8"/>
      <c r="H360" s="3" t="s">
        <v>34</v>
      </c>
      <c r="I360" s="3" t="s">
        <v>36</v>
      </c>
      <c r="J360" s="3">
        <f t="shared" si="31"/>
        <v>149646</v>
      </c>
      <c r="K360" s="3">
        <f t="shared" si="30"/>
        <v>149661</v>
      </c>
      <c r="L360" s="3">
        <v>15</v>
      </c>
      <c r="M360" s="3">
        <f t="shared" si="32"/>
        <v>31.589999999999986</v>
      </c>
      <c r="N360" s="3">
        <v>1.8</v>
      </c>
    </row>
    <row r="361" spans="4:14" ht="15" customHeight="1" x14ac:dyDescent="0.25">
      <c r="D361" s="7"/>
      <c r="G361" s="8"/>
      <c r="H361" s="3" t="s">
        <v>36</v>
      </c>
      <c r="I361" s="3" t="s">
        <v>34</v>
      </c>
      <c r="J361" s="3">
        <f t="shared" si="31"/>
        <v>149661</v>
      </c>
      <c r="K361" s="3">
        <f t="shared" si="30"/>
        <v>149676</v>
      </c>
      <c r="L361" s="3">
        <v>15</v>
      </c>
      <c r="M361" s="3">
        <f t="shared" si="32"/>
        <v>29.789999999999985</v>
      </c>
      <c r="N361" s="3">
        <v>1.8</v>
      </c>
    </row>
    <row r="362" spans="4:14" ht="15" customHeight="1" x14ac:dyDescent="0.25">
      <c r="D362" s="7">
        <v>44686</v>
      </c>
      <c r="H362" s="3" t="s">
        <v>34</v>
      </c>
      <c r="I362" s="3" t="s">
        <v>39</v>
      </c>
      <c r="J362" s="3">
        <f t="shared" si="31"/>
        <v>149676</v>
      </c>
      <c r="K362" s="3">
        <f t="shared" si="30"/>
        <v>149726</v>
      </c>
      <c r="L362" s="3">
        <v>50</v>
      </c>
      <c r="M362" s="3">
        <f t="shared" si="32"/>
        <v>24.289999999999985</v>
      </c>
      <c r="N362" s="3">
        <v>5.5</v>
      </c>
    </row>
    <row r="363" spans="4:14" ht="15" customHeight="1" x14ac:dyDescent="0.25">
      <c r="D363" s="7"/>
      <c r="H363" s="3" t="s">
        <v>39</v>
      </c>
      <c r="I363" s="3" t="s">
        <v>34</v>
      </c>
      <c r="J363" s="3">
        <f t="shared" si="31"/>
        <v>149726</v>
      </c>
      <c r="K363" s="3">
        <f t="shared" si="30"/>
        <v>149776</v>
      </c>
      <c r="L363" s="3">
        <v>50</v>
      </c>
      <c r="M363" s="3">
        <f t="shared" si="32"/>
        <v>18.789999999999985</v>
      </c>
      <c r="N363" s="3">
        <v>5.5</v>
      </c>
    </row>
    <row r="364" spans="4:14" ht="15" customHeight="1" x14ac:dyDescent="0.25">
      <c r="D364" s="7"/>
      <c r="H364" s="3" t="s">
        <v>34</v>
      </c>
      <c r="I364" s="3" t="s">
        <v>36</v>
      </c>
      <c r="J364" s="3">
        <f t="shared" si="31"/>
        <v>149776</v>
      </c>
      <c r="K364" s="3">
        <f t="shared" si="30"/>
        <v>149791</v>
      </c>
      <c r="L364" s="3">
        <v>15</v>
      </c>
      <c r="M364" s="3">
        <f t="shared" si="32"/>
        <v>16.989999999999984</v>
      </c>
      <c r="N364" s="3">
        <v>1.8</v>
      </c>
    </row>
    <row r="365" spans="4:14" ht="15" customHeight="1" x14ac:dyDescent="0.25">
      <c r="D365" s="7"/>
      <c r="H365" s="3" t="s">
        <v>36</v>
      </c>
      <c r="I365" s="3" t="s">
        <v>34</v>
      </c>
      <c r="J365" s="3">
        <f t="shared" si="31"/>
        <v>149791</v>
      </c>
      <c r="K365" s="3">
        <f t="shared" si="30"/>
        <v>149806</v>
      </c>
      <c r="L365" s="3">
        <v>15</v>
      </c>
      <c r="M365" s="3">
        <f t="shared" si="32"/>
        <v>15.189999999999984</v>
      </c>
      <c r="N365" s="3">
        <v>1.8</v>
      </c>
    </row>
    <row r="366" spans="4:14" ht="15" customHeight="1" x14ac:dyDescent="0.25">
      <c r="D366" s="7"/>
      <c r="H366" s="3" t="s">
        <v>34</v>
      </c>
      <c r="I366" s="3" t="s">
        <v>37</v>
      </c>
      <c r="J366" s="3">
        <f t="shared" si="31"/>
        <v>149806</v>
      </c>
      <c r="K366" s="3">
        <f t="shared" si="30"/>
        <v>149846</v>
      </c>
      <c r="L366" s="3">
        <v>40</v>
      </c>
      <c r="M366" s="3">
        <f t="shared" si="32"/>
        <v>10.389999999999983</v>
      </c>
      <c r="N366" s="3">
        <v>4.8</v>
      </c>
    </row>
    <row r="367" spans="4:14" ht="15" customHeight="1" x14ac:dyDescent="0.25">
      <c r="D367" s="7"/>
      <c r="H367" s="3" t="s">
        <v>37</v>
      </c>
      <c r="I367" s="3" t="s">
        <v>34</v>
      </c>
      <c r="J367" s="3">
        <f t="shared" si="31"/>
        <v>149846</v>
      </c>
      <c r="K367" s="3">
        <f t="shared" si="30"/>
        <v>149886</v>
      </c>
      <c r="L367" s="3">
        <v>40</v>
      </c>
      <c r="M367" s="3">
        <f t="shared" si="32"/>
        <v>5.589999999999983</v>
      </c>
      <c r="N367" s="3">
        <v>4.8</v>
      </c>
    </row>
    <row r="368" spans="4:14" ht="15" customHeight="1" x14ac:dyDescent="0.25">
      <c r="D368" s="7">
        <v>44687</v>
      </c>
      <c r="E368">
        <v>25.22</v>
      </c>
      <c r="F368" s="3">
        <v>51.25</v>
      </c>
      <c r="G368" s="8">
        <f>E368*F368</f>
        <v>1292.5249999999999</v>
      </c>
      <c r="H368" s="3" t="s">
        <v>34</v>
      </c>
      <c r="I368" s="3" t="s">
        <v>43</v>
      </c>
      <c r="J368" s="3">
        <f t="shared" si="31"/>
        <v>149886</v>
      </c>
      <c r="K368" s="3">
        <f t="shared" si="30"/>
        <v>149898</v>
      </c>
      <c r="L368" s="3">
        <v>12</v>
      </c>
      <c r="M368" s="3">
        <f t="shared" si="32"/>
        <v>29.559999999999981</v>
      </c>
      <c r="N368" s="3">
        <v>1.25</v>
      </c>
    </row>
    <row r="369" spans="4:14" ht="15" customHeight="1" x14ac:dyDescent="0.25">
      <c r="H369" s="3" t="s">
        <v>43</v>
      </c>
      <c r="I369" s="3" t="s">
        <v>34</v>
      </c>
      <c r="J369" s="3">
        <f t="shared" si="31"/>
        <v>149898</v>
      </c>
      <c r="K369" s="3">
        <f t="shared" si="30"/>
        <v>149910</v>
      </c>
      <c r="L369" s="3">
        <v>12</v>
      </c>
      <c r="M369" s="3">
        <f t="shared" si="32"/>
        <v>28.309999999999981</v>
      </c>
      <c r="N369" s="3">
        <v>1.25</v>
      </c>
    </row>
    <row r="370" spans="4:14" ht="15" customHeight="1" x14ac:dyDescent="0.25">
      <c r="H370" s="3" t="s">
        <v>34</v>
      </c>
      <c r="I370" s="3" t="s">
        <v>37</v>
      </c>
      <c r="J370" s="3">
        <f t="shared" si="31"/>
        <v>149910</v>
      </c>
      <c r="K370" s="3">
        <f t="shared" si="30"/>
        <v>149950</v>
      </c>
      <c r="L370" s="3">
        <v>40</v>
      </c>
      <c r="M370" s="3">
        <f t="shared" si="32"/>
        <v>23.50999999999998</v>
      </c>
      <c r="N370" s="3">
        <v>4.8</v>
      </c>
    </row>
    <row r="371" spans="4:14" ht="15" customHeight="1" x14ac:dyDescent="0.25">
      <c r="D371" s="7"/>
      <c r="H371" s="3" t="s">
        <v>37</v>
      </c>
      <c r="I371" s="3" t="s">
        <v>34</v>
      </c>
      <c r="J371" s="3">
        <f t="shared" si="31"/>
        <v>149950</v>
      </c>
      <c r="K371" s="3">
        <f t="shared" si="30"/>
        <v>149990</v>
      </c>
      <c r="L371" s="3">
        <v>40</v>
      </c>
      <c r="M371" s="3">
        <f t="shared" si="32"/>
        <v>18.70999999999998</v>
      </c>
      <c r="N371" s="3">
        <v>4.8</v>
      </c>
    </row>
    <row r="372" spans="4:14" ht="15" customHeight="1" x14ac:dyDescent="0.25">
      <c r="D372" s="7">
        <v>44692</v>
      </c>
      <c r="H372" s="3" t="s">
        <v>34</v>
      </c>
      <c r="I372" s="3" t="s">
        <v>35</v>
      </c>
      <c r="J372" s="3">
        <f t="shared" si="31"/>
        <v>149990</v>
      </c>
      <c r="K372" s="3">
        <f t="shared" si="30"/>
        <v>150002</v>
      </c>
      <c r="L372" s="3">
        <v>12</v>
      </c>
      <c r="M372" s="3">
        <f t="shared" si="32"/>
        <v>17.45999999999998</v>
      </c>
      <c r="N372" s="3">
        <v>1.25</v>
      </c>
    </row>
    <row r="373" spans="4:14" ht="15" customHeight="1" x14ac:dyDescent="0.25">
      <c r="D373" s="7"/>
      <c r="H373" s="3" t="s">
        <v>35</v>
      </c>
      <c r="I373" s="3" t="s">
        <v>34</v>
      </c>
      <c r="J373" s="3">
        <f t="shared" si="31"/>
        <v>150002</v>
      </c>
      <c r="K373" s="3">
        <f t="shared" si="30"/>
        <v>150014</v>
      </c>
      <c r="L373" s="3">
        <v>12</v>
      </c>
      <c r="M373" s="3">
        <f t="shared" si="32"/>
        <v>16.20999999999998</v>
      </c>
      <c r="N373" s="3">
        <v>1.25</v>
      </c>
    </row>
    <row r="374" spans="4:14" ht="15" customHeight="1" x14ac:dyDescent="0.25">
      <c r="D374" s="7">
        <v>44693</v>
      </c>
      <c r="H374" s="3" t="s">
        <v>34</v>
      </c>
      <c r="I374" s="3" t="s">
        <v>44</v>
      </c>
      <c r="J374" s="3">
        <f t="shared" si="31"/>
        <v>150014</v>
      </c>
      <c r="K374" s="3">
        <f t="shared" si="30"/>
        <v>150054</v>
      </c>
      <c r="L374" s="3">
        <v>40</v>
      </c>
      <c r="M374" s="3">
        <f t="shared" si="32"/>
        <v>11.409999999999979</v>
      </c>
      <c r="N374" s="3">
        <v>4.8</v>
      </c>
    </row>
    <row r="375" spans="4:14" ht="15" customHeight="1" x14ac:dyDescent="0.25">
      <c r="D375" s="7"/>
      <c r="H375" s="3" t="s">
        <v>44</v>
      </c>
      <c r="I375" s="3" t="s">
        <v>34</v>
      </c>
      <c r="J375" s="3">
        <f t="shared" si="31"/>
        <v>150054</v>
      </c>
      <c r="K375" s="3">
        <f t="shared" si="30"/>
        <v>150094</v>
      </c>
      <c r="L375" s="3">
        <v>40</v>
      </c>
      <c r="M375" s="3">
        <f t="shared" si="32"/>
        <v>6.609999999999979</v>
      </c>
      <c r="N375" s="3">
        <v>4.8</v>
      </c>
    </row>
    <row r="376" spans="4:14" ht="15" customHeight="1" x14ac:dyDescent="0.25">
      <c r="D376" s="7">
        <v>44694</v>
      </c>
      <c r="H376" s="3" t="s">
        <v>34</v>
      </c>
      <c r="I376" s="3" t="s">
        <v>35</v>
      </c>
      <c r="J376" s="3">
        <f t="shared" si="31"/>
        <v>150094</v>
      </c>
      <c r="K376" s="3">
        <f t="shared" si="30"/>
        <v>150106</v>
      </c>
      <c r="L376" s="3">
        <v>12</v>
      </c>
      <c r="M376" s="3">
        <f t="shared" si="32"/>
        <v>5.359999999999979</v>
      </c>
      <c r="N376" s="3">
        <v>1.25</v>
      </c>
    </row>
    <row r="377" spans="4:14" ht="15" customHeight="1" x14ac:dyDescent="0.25">
      <c r="D377" s="7"/>
      <c r="H377" s="3" t="s">
        <v>35</v>
      </c>
      <c r="I377" s="3" t="s">
        <v>34</v>
      </c>
      <c r="J377" s="3">
        <f t="shared" si="31"/>
        <v>150106</v>
      </c>
      <c r="K377" s="3">
        <f t="shared" si="30"/>
        <v>150118</v>
      </c>
      <c r="L377" s="3">
        <v>12</v>
      </c>
      <c r="M377" s="3">
        <f t="shared" si="32"/>
        <v>4.109999999999979</v>
      </c>
      <c r="N377" s="3">
        <v>1.25</v>
      </c>
    </row>
    <row r="378" spans="4:14" ht="15" customHeight="1" x14ac:dyDescent="0.25">
      <c r="D378" s="7">
        <v>44697</v>
      </c>
      <c r="E378">
        <v>33.69</v>
      </c>
      <c r="F378" s="3">
        <v>51.65</v>
      </c>
      <c r="G378" s="8">
        <f>E378*F378</f>
        <v>1740.0884999999998</v>
      </c>
      <c r="H378" s="3" t="s">
        <v>34</v>
      </c>
      <c r="I378" s="3" t="s">
        <v>45</v>
      </c>
      <c r="J378" s="3">
        <f t="shared" si="31"/>
        <v>150118</v>
      </c>
      <c r="K378" s="3">
        <f t="shared" si="30"/>
        <v>150145</v>
      </c>
      <c r="L378" s="3">
        <v>27</v>
      </c>
      <c r="M378" s="3">
        <f t="shared" si="32"/>
        <v>34.599999999999973</v>
      </c>
      <c r="N378" s="3">
        <v>3.2</v>
      </c>
    </row>
    <row r="379" spans="4:14" ht="15" customHeight="1" x14ac:dyDescent="0.25">
      <c r="D379" s="7"/>
      <c r="G379" s="8"/>
      <c r="H379" s="3" t="s">
        <v>45</v>
      </c>
      <c r="I379" s="3" t="s">
        <v>34</v>
      </c>
      <c r="J379" s="3">
        <f t="shared" si="31"/>
        <v>150145</v>
      </c>
      <c r="K379" s="3">
        <f t="shared" si="30"/>
        <v>150172</v>
      </c>
      <c r="L379" s="3">
        <v>27</v>
      </c>
      <c r="M379" s="3">
        <f t="shared" si="32"/>
        <v>31.399999999999974</v>
      </c>
      <c r="N379" s="3">
        <v>3.2</v>
      </c>
    </row>
    <row r="380" spans="4:14" ht="15" customHeight="1" x14ac:dyDescent="0.25">
      <c r="D380" s="7"/>
      <c r="G380" s="8"/>
      <c r="H380" s="3" t="s">
        <v>34</v>
      </c>
      <c r="I380" s="3" t="s">
        <v>36</v>
      </c>
      <c r="J380" s="3">
        <f t="shared" si="31"/>
        <v>150172</v>
      </c>
      <c r="K380" s="3">
        <f t="shared" si="30"/>
        <v>150187</v>
      </c>
      <c r="L380" s="3">
        <v>15</v>
      </c>
      <c r="M380" s="3">
        <f t="shared" si="32"/>
        <v>29.599999999999973</v>
      </c>
      <c r="N380" s="3">
        <v>1.8</v>
      </c>
    </row>
    <row r="381" spans="4:14" ht="15" customHeight="1" x14ac:dyDescent="0.25">
      <c r="D381" s="7"/>
      <c r="G381" s="8"/>
      <c r="H381" s="3" t="s">
        <v>36</v>
      </c>
      <c r="I381" s="3" t="s">
        <v>34</v>
      </c>
      <c r="J381" s="3">
        <f t="shared" si="31"/>
        <v>150187</v>
      </c>
      <c r="K381" s="3">
        <f t="shared" si="30"/>
        <v>150202</v>
      </c>
      <c r="L381" s="3">
        <v>15</v>
      </c>
      <c r="M381" s="3">
        <f t="shared" si="32"/>
        <v>27.799999999999972</v>
      </c>
      <c r="N381" s="3">
        <v>1.8</v>
      </c>
    </row>
    <row r="382" spans="4:14" ht="15" customHeight="1" x14ac:dyDescent="0.25">
      <c r="D382" s="7">
        <v>44698</v>
      </c>
      <c r="H382" s="3" t="s">
        <v>34</v>
      </c>
      <c r="I382" s="3" t="s">
        <v>37</v>
      </c>
      <c r="J382" s="3">
        <f t="shared" si="31"/>
        <v>150202</v>
      </c>
      <c r="K382" s="3">
        <f t="shared" si="30"/>
        <v>150242</v>
      </c>
      <c r="L382" s="3">
        <v>40</v>
      </c>
      <c r="M382" s="3">
        <f t="shared" si="32"/>
        <v>22.999999999999972</v>
      </c>
      <c r="N382" s="3">
        <v>4.8</v>
      </c>
    </row>
    <row r="383" spans="4:14" ht="15" customHeight="1" x14ac:dyDescent="0.25">
      <c r="D383" s="7"/>
      <c r="H383" s="3" t="s">
        <v>37</v>
      </c>
      <c r="I383" s="3" t="s">
        <v>34</v>
      </c>
      <c r="J383" s="3">
        <f t="shared" si="31"/>
        <v>150242</v>
      </c>
      <c r="K383" s="3">
        <f t="shared" si="30"/>
        <v>150282</v>
      </c>
      <c r="L383" s="3">
        <v>40</v>
      </c>
      <c r="M383" s="3">
        <f t="shared" si="32"/>
        <v>18.199999999999971</v>
      </c>
      <c r="N383" s="3">
        <v>4.8</v>
      </c>
    </row>
    <row r="384" spans="4:14" ht="15" customHeight="1" x14ac:dyDescent="0.25">
      <c r="D384" s="7"/>
      <c r="H384" s="3" t="s">
        <v>34</v>
      </c>
      <c r="I384" s="3" t="s">
        <v>39</v>
      </c>
      <c r="J384" s="3">
        <f t="shared" si="31"/>
        <v>150282</v>
      </c>
      <c r="K384" s="3">
        <f t="shared" si="30"/>
        <v>150332</v>
      </c>
      <c r="L384" s="3">
        <v>50</v>
      </c>
      <c r="M384" s="3">
        <f t="shared" si="32"/>
        <v>12.699999999999971</v>
      </c>
      <c r="N384" s="3">
        <v>5.5</v>
      </c>
    </row>
    <row r="385" spans="4:14" ht="15" customHeight="1" x14ac:dyDescent="0.25">
      <c r="D385" s="7"/>
      <c r="H385" s="3" t="s">
        <v>39</v>
      </c>
      <c r="I385" s="3" t="s">
        <v>34</v>
      </c>
      <c r="J385" s="3">
        <f t="shared" si="31"/>
        <v>150332</v>
      </c>
      <c r="K385" s="3">
        <f t="shared" si="30"/>
        <v>150382</v>
      </c>
      <c r="L385" s="3">
        <v>50</v>
      </c>
      <c r="M385" s="3">
        <f t="shared" si="32"/>
        <v>7.1999999999999709</v>
      </c>
      <c r="N385" s="3">
        <v>5.5</v>
      </c>
    </row>
    <row r="386" spans="4:14" ht="15" customHeight="1" x14ac:dyDescent="0.25">
      <c r="D386" s="7">
        <v>44699</v>
      </c>
      <c r="E386">
        <v>33.58</v>
      </c>
      <c r="F386" s="3">
        <v>51.35</v>
      </c>
      <c r="G386" s="8">
        <f>E386*F386</f>
        <v>1724.3329999999999</v>
      </c>
      <c r="H386" s="3" t="s">
        <v>34</v>
      </c>
      <c r="I386" s="3" t="s">
        <v>36</v>
      </c>
      <c r="J386" s="3">
        <f t="shared" si="31"/>
        <v>150382</v>
      </c>
      <c r="K386" s="3">
        <f t="shared" si="30"/>
        <v>150397</v>
      </c>
      <c r="L386" s="3">
        <v>15</v>
      </c>
      <c r="M386" s="3">
        <f t="shared" si="32"/>
        <v>38.979999999999976</v>
      </c>
      <c r="N386" s="3">
        <v>1.8</v>
      </c>
    </row>
    <row r="387" spans="4:14" ht="15" customHeight="1" x14ac:dyDescent="0.25">
      <c r="D387" s="7"/>
      <c r="G387" s="8"/>
      <c r="H387" s="3" t="s">
        <v>36</v>
      </c>
      <c r="I387" s="3" t="s">
        <v>34</v>
      </c>
      <c r="J387" s="3">
        <f t="shared" si="31"/>
        <v>150397</v>
      </c>
      <c r="K387" s="3">
        <f t="shared" si="30"/>
        <v>150412</v>
      </c>
      <c r="L387" s="3">
        <v>15</v>
      </c>
      <c r="M387" s="3">
        <f t="shared" si="32"/>
        <v>37.179999999999978</v>
      </c>
      <c r="N387" s="3">
        <v>1.8</v>
      </c>
    </row>
    <row r="388" spans="4:14" ht="15" customHeight="1" x14ac:dyDescent="0.25">
      <c r="D388" s="7"/>
      <c r="G388" s="8"/>
      <c r="H388" s="3" t="s">
        <v>34</v>
      </c>
      <c r="I388" s="3" t="s">
        <v>35</v>
      </c>
      <c r="J388" s="3">
        <f t="shared" si="31"/>
        <v>150412</v>
      </c>
      <c r="K388" s="3">
        <f t="shared" ref="K388:K419" si="33">J388+L388</f>
        <v>150424</v>
      </c>
      <c r="L388" s="3">
        <v>12</v>
      </c>
      <c r="M388" s="3">
        <f t="shared" si="32"/>
        <v>35.929999999999978</v>
      </c>
      <c r="N388" s="3">
        <v>1.25</v>
      </c>
    </row>
    <row r="389" spans="4:14" ht="15" customHeight="1" x14ac:dyDescent="0.25">
      <c r="D389" s="7"/>
      <c r="G389" s="8"/>
      <c r="H389" s="3" t="s">
        <v>35</v>
      </c>
      <c r="I389" s="3" t="s">
        <v>34</v>
      </c>
      <c r="J389" s="3">
        <f t="shared" ref="J389:J421" si="34">K388</f>
        <v>150424</v>
      </c>
      <c r="K389" s="3">
        <f t="shared" si="33"/>
        <v>150436</v>
      </c>
      <c r="L389" s="3">
        <v>12</v>
      </c>
      <c r="M389" s="3">
        <f t="shared" ref="M389:M420" si="35">(E389+M388)-N389</f>
        <v>34.679999999999978</v>
      </c>
      <c r="N389" s="3">
        <v>1.25</v>
      </c>
    </row>
    <row r="390" spans="4:14" ht="15" customHeight="1" x14ac:dyDescent="0.25">
      <c r="D390" s="7">
        <v>44700</v>
      </c>
      <c r="H390" s="3" t="s">
        <v>34</v>
      </c>
      <c r="I390" s="3" t="s">
        <v>37</v>
      </c>
      <c r="J390" s="3">
        <f t="shared" si="34"/>
        <v>150436</v>
      </c>
      <c r="K390" s="3">
        <f t="shared" si="33"/>
        <v>150476</v>
      </c>
      <c r="L390" s="3">
        <v>40</v>
      </c>
      <c r="M390" s="3">
        <f t="shared" si="35"/>
        <v>29.879999999999978</v>
      </c>
      <c r="N390" s="3">
        <v>4.8</v>
      </c>
    </row>
    <row r="391" spans="4:14" ht="15" customHeight="1" x14ac:dyDescent="0.25">
      <c r="D391" s="7"/>
      <c r="H391" s="3" t="s">
        <v>37</v>
      </c>
      <c r="I391" s="3" t="s">
        <v>34</v>
      </c>
      <c r="J391" s="3">
        <f t="shared" si="34"/>
        <v>150476</v>
      </c>
      <c r="K391" s="3">
        <f t="shared" si="33"/>
        <v>150516</v>
      </c>
      <c r="L391" s="3">
        <v>40</v>
      </c>
      <c r="M391" s="3">
        <f t="shared" si="35"/>
        <v>25.079999999999977</v>
      </c>
      <c r="N391" s="3">
        <v>4.8</v>
      </c>
    </row>
    <row r="392" spans="4:14" ht="15" customHeight="1" x14ac:dyDescent="0.25">
      <c r="D392" s="7"/>
      <c r="H392" s="3" t="s">
        <v>34</v>
      </c>
      <c r="I392" s="3" t="s">
        <v>24</v>
      </c>
      <c r="J392" s="3">
        <f t="shared" si="34"/>
        <v>150516</v>
      </c>
      <c r="K392" s="3">
        <f t="shared" si="33"/>
        <v>150530</v>
      </c>
      <c r="L392" s="3">
        <v>14</v>
      </c>
      <c r="M392" s="3">
        <f t="shared" si="35"/>
        <v>23.579999999999977</v>
      </c>
      <c r="N392" s="3">
        <v>1.5</v>
      </c>
    </row>
    <row r="393" spans="4:14" ht="15" customHeight="1" x14ac:dyDescent="0.25">
      <c r="D393" s="7"/>
      <c r="H393" s="3" t="s">
        <v>24</v>
      </c>
      <c r="I393" s="3" t="s">
        <v>34</v>
      </c>
      <c r="J393" s="3">
        <f t="shared" si="34"/>
        <v>150530</v>
      </c>
      <c r="K393" s="3">
        <f t="shared" si="33"/>
        <v>150544</v>
      </c>
      <c r="L393" s="3">
        <v>14</v>
      </c>
      <c r="M393" s="3">
        <f t="shared" si="35"/>
        <v>22.079999999999977</v>
      </c>
      <c r="N393" s="3">
        <v>1.5</v>
      </c>
    </row>
    <row r="394" spans="4:14" ht="15" customHeight="1" x14ac:dyDescent="0.25">
      <c r="D394" s="7">
        <v>44701</v>
      </c>
      <c r="H394" s="3" t="s">
        <v>34</v>
      </c>
      <c r="I394" s="3" t="s">
        <v>29</v>
      </c>
      <c r="J394" s="3">
        <f t="shared" si="34"/>
        <v>150544</v>
      </c>
      <c r="K394" s="3">
        <f t="shared" si="33"/>
        <v>150593</v>
      </c>
      <c r="L394" s="3">
        <v>49</v>
      </c>
      <c r="M394" s="3">
        <f t="shared" si="35"/>
        <v>16.279999999999976</v>
      </c>
      <c r="N394" s="3">
        <v>5.8</v>
      </c>
    </row>
    <row r="395" spans="4:14" ht="15" customHeight="1" x14ac:dyDescent="0.25">
      <c r="D395" s="7"/>
      <c r="H395" s="3" t="s">
        <v>29</v>
      </c>
      <c r="I395" s="3" t="s">
        <v>34</v>
      </c>
      <c r="J395" s="3">
        <f t="shared" si="34"/>
        <v>150593</v>
      </c>
      <c r="K395" s="3">
        <f t="shared" si="33"/>
        <v>150642</v>
      </c>
      <c r="L395" s="3">
        <v>49</v>
      </c>
      <c r="M395" s="3">
        <f t="shared" si="35"/>
        <v>10.479999999999976</v>
      </c>
      <c r="N395" s="3">
        <v>5.8</v>
      </c>
    </row>
    <row r="396" spans="4:14" ht="15" customHeight="1" x14ac:dyDescent="0.25">
      <c r="D396" s="7"/>
      <c r="H396" s="3" t="s">
        <v>34</v>
      </c>
      <c r="I396" s="3" t="s">
        <v>36</v>
      </c>
      <c r="J396" s="3">
        <f t="shared" si="34"/>
        <v>150642</v>
      </c>
      <c r="K396" s="3">
        <f t="shared" si="33"/>
        <v>150657</v>
      </c>
      <c r="L396" s="3">
        <v>15</v>
      </c>
      <c r="M396" s="3">
        <f t="shared" si="35"/>
        <v>8.6799999999999748</v>
      </c>
      <c r="N396" s="3">
        <v>1.8</v>
      </c>
    </row>
    <row r="397" spans="4:14" ht="15" customHeight="1" x14ac:dyDescent="0.25">
      <c r="D397" s="7"/>
      <c r="H397" s="3" t="s">
        <v>36</v>
      </c>
      <c r="I397" s="3" t="s">
        <v>34</v>
      </c>
      <c r="J397" s="3">
        <f t="shared" si="34"/>
        <v>150657</v>
      </c>
      <c r="K397" s="3">
        <f t="shared" si="33"/>
        <v>150672</v>
      </c>
      <c r="L397" s="3">
        <v>15</v>
      </c>
      <c r="M397" s="3">
        <f t="shared" si="35"/>
        <v>6.879999999999975</v>
      </c>
      <c r="N397" s="3">
        <v>1.8</v>
      </c>
    </row>
    <row r="398" spans="4:14" ht="15" customHeight="1" x14ac:dyDescent="0.25">
      <c r="D398" s="7">
        <v>44704</v>
      </c>
      <c r="E398">
        <v>30.71</v>
      </c>
      <c r="F398" s="3">
        <v>51.9</v>
      </c>
      <c r="G398" s="8">
        <f>E398*F398</f>
        <v>1593.8489999999999</v>
      </c>
      <c r="H398" s="3" t="s">
        <v>34</v>
      </c>
      <c r="I398" s="3" t="s">
        <v>43</v>
      </c>
      <c r="J398" s="3">
        <f t="shared" si="34"/>
        <v>150672</v>
      </c>
      <c r="K398" s="3">
        <f t="shared" si="33"/>
        <v>150684</v>
      </c>
      <c r="L398" s="3">
        <v>12</v>
      </c>
      <c r="M398" s="3">
        <f t="shared" si="35"/>
        <v>36.339999999999975</v>
      </c>
      <c r="N398" s="3">
        <v>1.25</v>
      </c>
    </row>
    <row r="399" spans="4:14" ht="15" customHeight="1" x14ac:dyDescent="0.25">
      <c r="D399" s="7"/>
      <c r="G399" s="8"/>
      <c r="H399" s="3" t="s">
        <v>43</v>
      </c>
      <c r="I399" s="3" t="s">
        <v>34</v>
      </c>
      <c r="J399" s="3">
        <f t="shared" si="34"/>
        <v>150684</v>
      </c>
      <c r="K399" s="3">
        <f t="shared" si="33"/>
        <v>150696</v>
      </c>
      <c r="L399" s="3">
        <v>12</v>
      </c>
      <c r="M399" s="3">
        <f t="shared" si="35"/>
        <v>35.089999999999975</v>
      </c>
      <c r="N399" s="3">
        <v>1.25</v>
      </c>
    </row>
    <row r="400" spans="4:14" ht="15" customHeight="1" x14ac:dyDescent="0.25">
      <c r="D400" s="7"/>
      <c r="G400" s="8"/>
      <c r="H400" s="3" t="s">
        <v>34</v>
      </c>
      <c r="I400" s="3" t="s">
        <v>36</v>
      </c>
      <c r="J400" s="3">
        <f t="shared" si="34"/>
        <v>150696</v>
      </c>
      <c r="K400" s="3">
        <f t="shared" si="33"/>
        <v>150711</v>
      </c>
      <c r="L400" s="3">
        <v>15</v>
      </c>
      <c r="M400" s="3">
        <f t="shared" si="35"/>
        <v>33.289999999999978</v>
      </c>
      <c r="N400" s="3">
        <v>1.8</v>
      </c>
    </row>
    <row r="401" spans="4:14" ht="15" customHeight="1" x14ac:dyDescent="0.25">
      <c r="D401" s="7"/>
      <c r="G401" s="8"/>
      <c r="H401" s="3" t="s">
        <v>36</v>
      </c>
      <c r="I401" s="3" t="s">
        <v>34</v>
      </c>
      <c r="J401" s="3">
        <f t="shared" si="34"/>
        <v>150711</v>
      </c>
      <c r="K401" s="3">
        <f t="shared" si="33"/>
        <v>150726</v>
      </c>
      <c r="L401" s="3">
        <v>15</v>
      </c>
      <c r="M401" s="3">
        <f t="shared" si="35"/>
        <v>31.489999999999977</v>
      </c>
      <c r="N401" s="3">
        <v>1.8</v>
      </c>
    </row>
    <row r="402" spans="4:14" ht="15" customHeight="1" x14ac:dyDescent="0.25">
      <c r="D402" s="7">
        <v>44705</v>
      </c>
      <c r="H402" s="3" t="s">
        <v>34</v>
      </c>
      <c r="I402" s="3" t="s">
        <v>39</v>
      </c>
      <c r="J402" s="3">
        <f t="shared" si="34"/>
        <v>150726</v>
      </c>
      <c r="K402" s="3">
        <f t="shared" si="33"/>
        <v>150776</v>
      </c>
      <c r="L402" s="3">
        <v>50</v>
      </c>
      <c r="M402" s="3">
        <f t="shared" si="35"/>
        <v>25.989999999999977</v>
      </c>
      <c r="N402" s="3">
        <v>5.5</v>
      </c>
    </row>
    <row r="403" spans="4:14" ht="15" customHeight="1" x14ac:dyDescent="0.25">
      <c r="D403" s="7"/>
      <c r="H403" s="3" t="s">
        <v>39</v>
      </c>
      <c r="I403" s="3" t="s">
        <v>34</v>
      </c>
      <c r="J403" s="3">
        <f t="shared" si="34"/>
        <v>150776</v>
      </c>
      <c r="K403" s="3">
        <f t="shared" si="33"/>
        <v>150826</v>
      </c>
      <c r="L403" s="3">
        <v>50</v>
      </c>
      <c r="M403" s="3">
        <f t="shared" si="35"/>
        <v>20.489999999999977</v>
      </c>
      <c r="N403" s="3">
        <v>5.5</v>
      </c>
    </row>
    <row r="404" spans="4:14" ht="15" customHeight="1" x14ac:dyDescent="0.25">
      <c r="D404" s="7"/>
      <c r="H404" s="3" t="s">
        <v>34</v>
      </c>
      <c r="I404" s="3" t="s">
        <v>24</v>
      </c>
      <c r="J404" s="3">
        <f t="shared" si="34"/>
        <v>150826</v>
      </c>
      <c r="K404" s="3">
        <f t="shared" si="33"/>
        <v>150840</v>
      </c>
      <c r="L404" s="3">
        <v>14</v>
      </c>
      <c r="M404" s="3">
        <f t="shared" si="35"/>
        <v>18.989999999999977</v>
      </c>
      <c r="N404" s="3">
        <v>1.5</v>
      </c>
    </row>
    <row r="405" spans="4:14" ht="15" customHeight="1" x14ac:dyDescent="0.25">
      <c r="D405" s="7"/>
      <c r="H405" s="3" t="s">
        <v>24</v>
      </c>
      <c r="I405" s="3" t="s">
        <v>34</v>
      </c>
      <c r="J405" s="3">
        <f t="shared" si="34"/>
        <v>150840</v>
      </c>
      <c r="K405" s="3">
        <f t="shared" si="33"/>
        <v>150854</v>
      </c>
      <c r="L405" s="3">
        <v>14</v>
      </c>
      <c r="M405" s="3">
        <f t="shared" si="35"/>
        <v>17.489999999999977</v>
      </c>
      <c r="N405" s="3">
        <v>1.5</v>
      </c>
    </row>
    <row r="406" spans="4:14" ht="15" customHeight="1" x14ac:dyDescent="0.25">
      <c r="D406" s="7">
        <v>44706</v>
      </c>
      <c r="H406" s="3" t="s">
        <v>34</v>
      </c>
      <c r="I406" s="3" t="s">
        <v>37</v>
      </c>
      <c r="J406" s="3">
        <f t="shared" si="34"/>
        <v>150854</v>
      </c>
      <c r="K406" s="3">
        <f t="shared" si="33"/>
        <v>150894</v>
      </c>
      <c r="L406" s="3">
        <v>40</v>
      </c>
      <c r="M406" s="3">
        <f t="shared" si="35"/>
        <v>12.689999999999976</v>
      </c>
      <c r="N406" s="3">
        <v>4.8</v>
      </c>
    </row>
    <row r="407" spans="4:14" ht="15" customHeight="1" x14ac:dyDescent="0.25">
      <c r="D407" s="7"/>
      <c r="H407" s="3" t="s">
        <v>37</v>
      </c>
      <c r="I407" s="3" t="s">
        <v>34</v>
      </c>
      <c r="J407" s="3">
        <f t="shared" si="34"/>
        <v>150894</v>
      </c>
      <c r="K407" s="3">
        <f t="shared" si="33"/>
        <v>150934</v>
      </c>
      <c r="L407" s="3">
        <v>40</v>
      </c>
      <c r="M407" s="3">
        <f t="shared" si="35"/>
        <v>7.8899999999999766</v>
      </c>
      <c r="N407" s="3">
        <v>4.8</v>
      </c>
    </row>
    <row r="408" spans="4:14" ht="15" customHeight="1" x14ac:dyDescent="0.25">
      <c r="D408" s="7">
        <v>44707</v>
      </c>
      <c r="E408">
        <v>29.53</v>
      </c>
      <c r="F408" s="3">
        <v>51.9</v>
      </c>
      <c r="G408" s="8">
        <f>E408*F408</f>
        <v>1532.607</v>
      </c>
      <c r="H408" s="3" t="s">
        <v>34</v>
      </c>
      <c r="I408" s="3" t="s">
        <v>39</v>
      </c>
      <c r="J408" s="3">
        <f t="shared" si="34"/>
        <v>150934</v>
      </c>
      <c r="K408" s="3">
        <f t="shared" si="33"/>
        <v>150984</v>
      </c>
      <c r="L408" s="3">
        <v>50</v>
      </c>
      <c r="M408" s="3">
        <f t="shared" si="35"/>
        <v>31.91999999999998</v>
      </c>
      <c r="N408" s="3">
        <v>5.5</v>
      </c>
    </row>
    <row r="409" spans="4:14" ht="15" customHeight="1" x14ac:dyDescent="0.25">
      <c r="D409" s="7"/>
      <c r="G409" s="8"/>
      <c r="H409" s="3" t="s">
        <v>39</v>
      </c>
      <c r="I409" s="3" t="s">
        <v>34</v>
      </c>
      <c r="J409" s="3">
        <f t="shared" si="34"/>
        <v>150984</v>
      </c>
      <c r="K409" s="3">
        <f t="shared" si="33"/>
        <v>151034</v>
      </c>
      <c r="L409" s="3">
        <v>50</v>
      </c>
      <c r="M409" s="3">
        <f t="shared" si="35"/>
        <v>26.41999999999998</v>
      </c>
      <c r="N409" s="3">
        <v>5.5</v>
      </c>
    </row>
    <row r="410" spans="4:14" ht="15" customHeight="1" x14ac:dyDescent="0.25">
      <c r="D410" s="7">
        <v>44708</v>
      </c>
      <c r="H410" s="3" t="s">
        <v>34</v>
      </c>
      <c r="I410" s="3" t="s">
        <v>43</v>
      </c>
      <c r="J410" s="3">
        <f t="shared" si="34"/>
        <v>151034</v>
      </c>
      <c r="K410" s="3">
        <f t="shared" si="33"/>
        <v>151046</v>
      </c>
      <c r="L410" s="3">
        <v>12</v>
      </c>
      <c r="M410" s="3">
        <f t="shared" si="35"/>
        <v>25.16999999999998</v>
      </c>
      <c r="N410" s="3">
        <v>1.25</v>
      </c>
    </row>
    <row r="411" spans="4:14" ht="15" customHeight="1" x14ac:dyDescent="0.25">
      <c r="D411" s="7"/>
      <c r="H411" s="3" t="s">
        <v>43</v>
      </c>
      <c r="I411" s="3" t="s">
        <v>34</v>
      </c>
      <c r="J411" s="3">
        <f t="shared" si="34"/>
        <v>151046</v>
      </c>
      <c r="K411" s="3">
        <f t="shared" si="33"/>
        <v>151058</v>
      </c>
      <c r="L411" s="3">
        <v>12</v>
      </c>
      <c r="M411" s="3">
        <f t="shared" si="35"/>
        <v>23.91999999999998</v>
      </c>
      <c r="N411" s="3">
        <v>1.25</v>
      </c>
    </row>
    <row r="412" spans="4:14" ht="15" customHeight="1" x14ac:dyDescent="0.25">
      <c r="D412" s="7"/>
      <c r="H412" s="3" t="s">
        <v>34</v>
      </c>
      <c r="I412" s="3" t="s">
        <v>37</v>
      </c>
      <c r="J412" s="3">
        <f t="shared" si="34"/>
        <v>151058</v>
      </c>
      <c r="K412" s="3">
        <f t="shared" si="33"/>
        <v>151098</v>
      </c>
      <c r="L412" s="3">
        <v>40</v>
      </c>
      <c r="M412" s="3">
        <f t="shared" si="35"/>
        <v>19.11999999999998</v>
      </c>
      <c r="N412" s="3">
        <v>4.8</v>
      </c>
    </row>
    <row r="413" spans="4:14" ht="15" customHeight="1" x14ac:dyDescent="0.25">
      <c r="D413" s="7"/>
      <c r="H413" s="3" t="s">
        <v>37</v>
      </c>
      <c r="I413" s="3" t="s">
        <v>34</v>
      </c>
      <c r="J413" s="3">
        <f t="shared" si="34"/>
        <v>151098</v>
      </c>
      <c r="K413" s="3">
        <f t="shared" si="33"/>
        <v>151138</v>
      </c>
      <c r="L413" s="3">
        <v>40</v>
      </c>
      <c r="M413" s="3">
        <f t="shared" si="35"/>
        <v>14.319999999999979</v>
      </c>
      <c r="N413" s="3">
        <v>4.8</v>
      </c>
    </row>
    <row r="414" spans="4:14" ht="15" customHeight="1" x14ac:dyDescent="0.25">
      <c r="D414" s="7">
        <v>44711</v>
      </c>
      <c r="E414">
        <v>29.39</v>
      </c>
      <c r="F414" s="3">
        <v>51.6</v>
      </c>
      <c r="G414" s="8">
        <f>E414*F414</f>
        <v>1516.5240000000001</v>
      </c>
      <c r="H414" s="3" t="s">
        <v>34</v>
      </c>
      <c r="I414" s="3" t="s">
        <v>36</v>
      </c>
      <c r="J414" s="3">
        <f t="shared" si="34"/>
        <v>151138</v>
      </c>
      <c r="K414" s="3">
        <f t="shared" si="33"/>
        <v>151153</v>
      </c>
      <c r="L414" s="3">
        <v>15</v>
      </c>
      <c r="M414" s="3">
        <f t="shared" si="35"/>
        <v>41.909999999999982</v>
      </c>
      <c r="N414" s="3">
        <v>1.8</v>
      </c>
    </row>
    <row r="415" spans="4:14" ht="15" customHeight="1" x14ac:dyDescent="0.25">
      <c r="D415" s="7"/>
      <c r="G415" s="8"/>
      <c r="H415" s="3" t="s">
        <v>36</v>
      </c>
      <c r="I415" s="3" t="s">
        <v>34</v>
      </c>
      <c r="J415" s="3">
        <f t="shared" si="34"/>
        <v>151153</v>
      </c>
      <c r="K415" s="3">
        <f t="shared" si="33"/>
        <v>151168</v>
      </c>
      <c r="L415" s="3">
        <v>15</v>
      </c>
      <c r="M415" s="3">
        <f t="shared" si="35"/>
        <v>40.109999999999985</v>
      </c>
      <c r="N415" s="3">
        <v>1.8</v>
      </c>
    </row>
    <row r="416" spans="4:14" ht="15" customHeight="1" x14ac:dyDescent="0.25">
      <c r="D416" s="7"/>
      <c r="G416" s="8"/>
      <c r="H416" s="3" t="s">
        <v>34</v>
      </c>
      <c r="I416" s="3" t="s">
        <v>45</v>
      </c>
      <c r="J416" s="3">
        <f t="shared" si="34"/>
        <v>151168</v>
      </c>
      <c r="K416" s="3">
        <f t="shared" si="33"/>
        <v>151195</v>
      </c>
      <c r="L416" s="3">
        <v>27</v>
      </c>
      <c r="M416" s="3">
        <f t="shared" si="35"/>
        <v>36.909999999999982</v>
      </c>
      <c r="N416" s="3">
        <v>3.2</v>
      </c>
    </row>
    <row r="417" spans="4:14" ht="15" customHeight="1" x14ac:dyDescent="0.25">
      <c r="D417" s="7"/>
      <c r="G417" s="8"/>
      <c r="H417" s="3" t="s">
        <v>45</v>
      </c>
      <c r="I417" s="3" t="s">
        <v>34</v>
      </c>
      <c r="J417" s="3">
        <f t="shared" si="34"/>
        <v>151195</v>
      </c>
      <c r="K417" s="3">
        <f t="shared" si="33"/>
        <v>151222</v>
      </c>
      <c r="L417" s="3">
        <v>27</v>
      </c>
      <c r="M417" s="3">
        <f t="shared" si="35"/>
        <v>33.70999999999998</v>
      </c>
      <c r="N417" s="3">
        <v>3.2</v>
      </c>
    </row>
    <row r="418" spans="4:14" ht="15" customHeight="1" x14ac:dyDescent="0.25">
      <c r="D418" s="7">
        <v>44712</v>
      </c>
      <c r="H418" s="3" t="s">
        <v>34</v>
      </c>
      <c r="I418" s="3" t="s">
        <v>36</v>
      </c>
      <c r="J418" s="3">
        <f t="shared" si="34"/>
        <v>151222</v>
      </c>
      <c r="K418" s="3">
        <f t="shared" si="33"/>
        <v>151237</v>
      </c>
      <c r="L418" s="3">
        <v>15</v>
      </c>
      <c r="M418" s="3">
        <f t="shared" si="35"/>
        <v>31.909999999999979</v>
      </c>
      <c r="N418" s="3">
        <v>1.8</v>
      </c>
    </row>
    <row r="419" spans="4:14" ht="15" customHeight="1" x14ac:dyDescent="0.25">
      <c r="D419" s="7"/>
      <c r="H419" s="3" t="s">
        <v>36</v>
      </c>
      <c r="I419" s="3" t="s">
        <v>34</v>
      </c>
      <c r="J419" s="3">
        <f t="shared" si="34"/>
        <v>151237</v>
      </c>
      <c r="K419" s="3">
        <f t="shared" si="33"/>
        <v>151252</v>
      </c>
      <c r="L419" s="3">
        <v>15</v>
      </c>
      <c r="M419" s="3">
        <f t="shared" si="35"/>
        <v>30.109999999999978</v>
      </c>
      <c r="N419" s="3">
        <v>1.8</v>
      </c>
    </row>
    <row r="420" spans="4:14" ht="15" customHeight="1" x14ac:dyDescent="0.25">
      <c r="D420" s="7"/>
      <c r="H420" s="3" t="s">
        <v>34</v>
      </c>
      <c r="I420" s="3" t="s">
        <v>44</v>
      </c>
      <c r="J420" s="3">
        <f t="shared" si="34"/>
        <v>151252</v>
      </c>
      <c r="K420" s="3">
        <f t="shared" ref="K420:K451" si="36">J420+L420</f>
        <v>151292</v>
      </c>
      <c r="L420" s="3">
        <v>40</v>
      </c>
      <c r="M420" s="3">
        <f t="shared" si="35"/>
        <v>25.309999999999977</v>
      </c>
      <c r="N420" s="3">
        <v>4.8</v>
      </c>
    </row>
    <row r="421" spans="4:14" ht="15" customHeight="1" x14ac:dyDescent="0.25">
      <c r="D421" s="7"/>
      <c r="H421" s="3" t="s">
        <v>44</v>
      </c>
      <c r="I421" s="3" t="s">
        <v>34</v>
      </c>
      <c r="J421" s="3">
        <f t="shared" si="34"/>
        <v>151292</v>
      </c>
      <c r="K421" s="3">
        <f t="shared" si="36"/>
        <v>151332</v>
      </c>
      <c r="L421" s="3">
        <v>40</v>
      </c>
      <c r="M421" s="3">
        <f t="shared" ref="M421:M452" si="37">(E421+M420)-N421</f>
        <v>20.509999999999977</v>
      </c>
      <c r="N421" s="3">
        <v>4.8</v>
      </c>
    </row>
    <row r="422" spans="4:14" ht="15" customHeight="1" x14ac:dyDescent="0.25">
      <c r="D422" s="7"/>
    </row>
    <row r="423" spans="4:14" ht="15" customHeight="1" x14ac:dyDescent="0.25">
      <c r="D423" s="2" t="s">
        <v>46</v>
      </c>
      <c r="E423" s="2"/>
      <c r="F423" s="2"/>
      <c r="G423" s="2"/>
    </row>
    <row r="424" spans="4:14" ht="15" customHeight="1" x14ac:dyDescent="0.25">
      <c r="D424" s="7">
        <v>44713</v>
      </c>
      <c r="H424" s="3" t="s">
        <v>34</v>
      </c>
      <c r="I424" s="3" t="s">
        <v>36</v>
      </c>
      <c r="J424" s="3">
        <f>K421</f>
        <v>151332</v>
      </c>
      <c r="K424" s="3">
        <f t="shared" ref="K424:K471" si="38">J424+L424</f>
        <v>151347</v>
      </c>
      <c r="L424" s="3">
        <v>15</v>
      </c>
      <c r="M424" s="3">
        <f>(E424+M421)-N424</f>
        <v>18.709999999999976</v>
      </c>
      <c r="N424" s="3">
        <v>1.8</v>
      </c>
    </row>
    <row r="425" spans="4:14" ht="15" customHeight="1" x14ac:dyDescent="0.25">
      <c r="D425" s="7"/>
      <c r="H425" s="3" t="s">
        <v>36</v>
      </c>
      <c r="I425" s="3" t="s">
        <v>34</v>
      </c>
      <c r="J425" s="3">
        <f t="shared" ref="J425:J471" si="39">K424</f>
        <v>151347</v>
      </c>
      <c r="K425" s="3">
        <f t="shared" si="38"/>
        <v>151362</v>
      </c>
      <c r="L425" s="3">
        <v>15</v>
      </c>
      <c r="M425" s="3">
        <f t="shared" ref="M425:M471" si="40">(E425+M424)-N425</f>
        <v>16.909999999999975</v>
      </c>
      <c r="N425" s="3">
        <v>1.8</v>
      </c>
    </row>
    <row r="426" spans="4:14" ht="15" customHeight="1" x14ac:dyDescent="0.25">
      <c r="D426" s="7">
        <v>44714</v>
      </c>
      <c r="H426" s="3" t="s">
        <v>34</v>
      </c>
      <c r="I426" s="3" t="s">
        <v>39</v>
      </c>
      <c r="J426" s="3">
        <f t="shared" si="39"/>
        <v>151362</v>
      </c>
      <c r="K426" s="3">
        <f t="shared" si="38"/>
        <v>151412</v>
      </c>
      <c r="L426" s="3">
        <v>50</v>
      </c>
      <c r="M426" s="3">
        <f t="shared" si="40"/>
        <v>11.409999999999975</v>
      </c>
      <c r="N426" s="3">
        <v>5.5</v>
      </c>
    </row>
    <row r="427" spans="4:14" ht="15" customHeight="1" x14ac:dyDescent="0.25">
      <c r="D427" s="7"/>
      <c r="H427" s="3" t="s">
        <v>39</v>
      </c>
      <c r="I427" s="3" t="s">
        <v>34</v>
      </c>
      <c r="J427" s="3">
        <f t="shared" si="39"/>
        <v>151412</v>
      </c>
      <c r="K427" s="3">
        <f t="shared" si="38"/>
        <v>151462</v>
      </c>
      <c r="L427" s="3">
        <v>50</v>
      </c>
      <c r="M427" s="3">
        <f t="shared" si="40"/>
        <v>5.9099999999999753</v>
      </c>
      <c r="N427" s="3">
        <v>5.5</v>
      </c>
    </row>
    <row r="428" spans="4:14" ht="15" customHeight="1" x14ac:dyDescent="0.25">
      <c r="D428" s="7">
        <v>44715</v>
      </c>
      <c r="H428" s="3" t="s">
        <v>34</v>
      </c>
      <c r="I428" s="3" t="s">
        <v>35</v>
      </c>
      <c r="J428" s="3">
        <f t="shared" si="39"/>
        <v>151462</v>
      </c>
      <c r="K428" s="3">
        <f t="shared" si="38"/>
        <v>151474</v>
      </c>
      <c r="L428" s="3">
        <v>12</v>
      </c>
      <c r="M428" s="3">
        <f t="shared" si="40"/>
        <v>4.6599999999999753</v>
      </c>
      <c r="N428" s="3">
        <v>1.25</v>
      </c>
    </row>
    <row r="429" spans="4:14" ht="15" customHeight="1" x14ac:dyDescent="0.25">
      <c r="D429" s="7"/>
      <c r="H429" s="3" t="s">
        <v>35</v>
      </c>
      <c r="I429" s="3" t="s">
        <v>34</v>
      </c>
      <c r="J429" s="3">
        <f t="shared" si="39"/>
        <v>151474</v>
      </c>
      <c r="K429" s="3">
        <f t="shared" si="38"/>
        <v>151486</v>
      </c>
      <c r="L429" s="3">
        <v>12</v>
      </c>
      <c r="M429" s="3">
        <f t="shared" si="40"/>
        <v>3.4099999999999753</v>
      </c>
      <c r="N429" s="3">
        <v>1.25</v>
      </c>
    </row>
    <row r="430" spans="4:14" ht="15" customHeight="1" x14ac:dyDescent="0.25">
      <c r="D430" s="7">
        <v>44718</v>
      </c>
      <c r="E430">
        <v>30.56</v>
      </c>
      <c r="F430" s="3">
        <v>51.9</v>
      </c>
      <c r="G430" s="8">
        <f>E430*F430</f>
        <v>1586.0639999999999</v>
      </c>
      <c r="H430" s="3" t="s">
        <v>34</v>
      </c>
      <c r="I430" s="3" t="s">
        <v>37</v>
      </c>
      <c r="J430" s="3">
        <f t="shared" si="39"/>
        <v>151486</v>
      </c>
      <c r="K430" s="3">
        <f t="shared" si="38"/>
        <v>151526</v>
      </c>
      <c r="L430" s="3">
        <v>40</v>
      </c>
      <c r="M430" s="3">
        <f t="shared" si="40"/>
        <v>29.16999999999997</v>
      </c>
      <c r="N430" s="3">
        <v>4.8</v>
      </c>
    </row>
    <row r="431" spans="4:14" ht="15" customHeight="1" x14ac:dyDescent="0.25">
      <c r="D431" s="7"/>
      <c r="G431" s="8"/>
      <c r="H431" s="3" t="s">
        <v>37</v>
      </c>
      <c r="I431" s="3" t="s">
        <v>34</v>
      </c>
      <c r="J431" s="3">
        <f t="shared" si="39"/>
        <v>151526</v>
      </c>
      <c r="K431" s="3">
        <f t="shared" si="38"/>
        <v>151566</v>
      </c>
      <c r="L431" s="3">
        <v>40</v>
      </c>
      <c r="M431" s="3">
        <f t="shared" si="40"/>
        <v>24.369999999999969</v>
      </c>
      <c r="N431" s="3">
        <v>4.8</v>
      </c>
    </row>
    <row r="432" spans="4:14" ht="15" customHeight="1" x14ac:dyDescent="0.25">
      <c r="D432" s="7">
        <v>44719</v>
      </c>
      <c r="H432" s="3" t="s">
        <v>34</v>
      </c>
      <c r="I432" s="3" t="s">
        <v>43</v>
      </c>
      <c r="J432" s="3">
        <f t="shared" si="39"/>
        <v>151566</v>
      </c>
      <c r="K432" s="3">
        <f t="shared" si="38"/>
        <v>151578</v>
      </c>
      <c r="L432" s="3">
        <v>12</v>
      </c>
      <c r="M432" s="3">
        <f t="shared" si="40"/>
        <v>23.119999999999969</v>
      </c>
      <c r="N432" s="3">
        <v>1.25</v>
      </c>
    </row>
    <row r="433" spans="4:14" ht="15" customHeight="1" x14ac:dyDescent="0.25">
      <c r="D433" s="7"/>
      <c r="H433" s="3" t="s">
        <v>43</v>
      </c>
      <c r="I433" s="3" t="s">
        <v>34</v>
      </c>
      <c r="J433" s="3">
        <f t="shared" si="39"/>
        <v>151578</v>
      </c>
      <c r="K433" s="3">
        <f t="shared" si="38"/>
        <v>151590</v>
      </c>
      <c r="L433" s="3">
        <v>12</v>
      </c>
      <c r="M433" s="3">
        <f t="shared" si="40"/>
        <v>21.869999999999969</v>
      </c>
      <c r="N433" s="3">
        <v>1.25</v>
      </c>
    </row>
    <row r="434" spans="4:14" ht="15" customHeight="1" x14ac:dyDescent="0.25">
      <c r="D434" s="7">
        <v>44720</v>
      </c>
      <c r="H434" s="3" t="s">
        <v>34</v>
      </c>
      <c r="I434" s="3" t="s">
        <v>24</v>
      </c>
      <c r="J434" s="3">
        <f t="shared" si="39"/>
        <v>151590</v>
      </c>
      <c r="K434" s="3">
        <f t="shared" si="38"/>
        <v>151604</v>
      </c>
      <c r="L434" s="3">
        <v>14</v>
      </c>
      <c r="M434" s="3">
        <f t="shared" si="40"/>
        <v>20.369999999999969</v>
      </c>
      <c r="N434" s="3">
        <v>1.5</v>
      </c>
    </row>
    <row r="435" spans="4:14" ht="15" customHeight="1" x14ac:dyDescent="0.25">
      <c r="D435" s="7"/>
      <c r="H435" s="3" t="s">
        <v>24</v>
      </c>
      <c r="I435" s="3" t="s">
        <v>34</v>
      </c>
      <c r="J435" s="3">
        <f t="shared" si="39"/>
        <v>151604</v>
      </c>
      <c r="K435" s="3">
        <f t="shared" si="38"/>
        <v>151618</v>
      </c>
      <c r="L435" s="3">
        <v>14</v>
      </c>
      <c r="M435" s="3">
        <f t="shared" si="40"/>
        <v>18.869999999999969</v>
      </c>
      <c r="N435" s="3">
        <v>1.5</v>
      </c>
    </row>
    <row r="436" spans="4:14" ht="15" customHeight="1" x14ac:dyDescent="0.25">
      <c r="D436" s="7">
        <v>44721</v>
      </c>
      <c r="H436" s="3" t="s">
        <v>34</v>
      </c>
      <c r="I436" s="3" t="s">
        <v>36</v>
      </c>
      <c r="J436" s="3">
        <f t="shared" si="39"/>
        <v>151618</v>
      </c>
      <c r="K436" s="3">
        <f t="shared" si="38"/>
        <v>151633</v>
      </c>
      <c r="L436" s="3">
        <v>15</v>
      </c>
      <c r="M436" s="3">
        <f t="shared" si="40"/>
        <v>17.069999999999968</v>
      </c>
      <c r="N436" s="3">
        <v>1.8</v>
      </c>
    </row>
    <row r="437" spans="4:14" ht="15" customHeight="1" x14ac:dyDescent="0.25">
      <c r="D437" s="7"/>
      <c r="H437" s="3" t="s">
        <v>36</v>
      </c>
      <c r="I437" s="3" t="s">
        <v>34</v>
      </c>
      <c r="J437" s="3">
        <f t="shared" si="39"/>
        <v>151633</v>
      </c>
      <c r="K437" s="3">
        <f t="shared" si="38"/>
        <v>151648</v>
      </c>
      <c r="L437" s="3">
        <v>15</v>
      </c>
      <c r="M437" s="3">
        <f t="shared" si="40"/>
        <v>15.269999999999968</v>
      </c>
      <c r="N437" s="3">
        <v>1.8</v>
      </c>
    </row>
    <row r="438" spans="4:14" ht="15" customHeight="1" x14ac:dyDescent="0.25">
      <c r="D438" s="7">
        <v>44722</v>
      </c>
      <c r="H438" s="3" t="s">
        <v>34</v>
      </c>
      <c r="I438" s="3" t="s">
        <v>35</v>
      </c>
      <c r="J438" s="3">
        <f t="shared" si="39"/>
        <v>151648</v>
      </c>
      <c r="K438" s="3">
        <f t="shared" si="38"/>
        <v>151660</v>
      </c>
      <c r="L438" s="3">
        <v>12</v>
      </c>
      <c r="M438" s="3">
        <f t="shared" si="40"/>
        <v>14.019999999999968</v>
      </c>
      <c r="N438" s="3">
        <v>1.25</v>
      </c>
    </row>
    <row r="439" spans="4:14" ht="15" customHeight="1" x14ac:dyDescent="0.25">
      <c r="D439" s="7"/>
      <c r="H439" s="3" t="s">
        <v>35</v>
      </c>
      <c r="I439" s="3" t="s">
        <v>34</v>
      </c>
      <c r="J439" s="3">
        <f t="shared" si="39"/>
        <v>151660</v>
      </c>
      <c r="K439" s="3">
        <f t="shared" si="38"/>
        <v>151672</v>
      </c>
      <c r="L439" s="3">
        <v>12</v>
      </c>
      <c r="M439" s="3">
        <f t="shared" si="40"/>
        <v>12.769999999999968</v>
      </c>
      <c r="N439" s="3">
        <v>1.25</v>
      </c>
    </row>
    <row r="440" spans="4:14" ht="15" customHeight="1" x14ac:dyDescent="0.25">
      <c r="D440" s="7">
        <v>44726</v>
      </c>
      <c r="H440" s="3" t="s">
        <v>34</v>
      </c>
      <c r="I440" s="3" t="s">
        <v>37</v>
      </c>
      <c r="J440" s="3">
        <f t="shared" si="39"/>
        <v>151672</v>
      </c>
      <c r="K440" s="3">
        <f t="shared" si="38"/>
        <v>151712</v>
      </c>
      <c r="L440" s="3">
        <v>40</v>
      </c>
      <c r="M440" s="3">
        <f t="shared" si="40"/>
        <v>7.9699999999999678</v>
      </c>
      <c r="N440" s="3">
        <v>4.8</v>
      </c>
    </row>
    <row r="441" spans="4:14" ht="15" customHeight="1" x14ac:dyDescent="0.25">
      <c r="D441" s="7"/>
      <c r="H441" s="3" t="s">
        <v>37</v>
      </c>
      <c r="I441" s="3" t="s">
        <v>34</v>
      </c>
      <c r="J441" s="3">
        <f t="shared" si="39"/>
        <v>151712</v>
      </c>
      <c r="K441" s="3">
        <f t="shared" si="38"/>
        <v>151752</v>
      </c>
      <c r="L441" s="3">
        <v>40</v>
      </c>
      <c r="M441" s="3">
        <f t="shared" si="40"/>
        <v>3.169999999999968</v>
      </c>
      <c r="N441" s="3">
        <v>4.8</v>
      </c>
    </row>
    <row r="442" spans="4:14" ht="15" customHeight="1" x14ac:dyDescent="0.25">
      <c r="D442" s="7">
        <v>44727</v>
      </c>
      <c r="H442" s="3" t="s">
        <v>34</v>
      </c>
      <c r="I442" s="3" t="s">
        <v>35</v>
      </c>
      <c r="J442" s="3">
        <f t="shared" si="39"/>
        <v>151752</v>
      </c>
      <c r="K442" s="3">
        <f t="shared" si="38"/>
        <v>151764</v>
      </c>
      <c r="L442" s="3">
        <v>12</v>
      </c>
      <c r="M442" s="3">
        <f t="shared" si="40"/>
        <v>1.919999999999968</v>
      </c>
      <c r="N442" s="3">
        <v>1.25</v>
      </c>
    </row>
    <row r="443" spans="4:14" ht="15" customHeight="1" x14ac:dyDescent="0.25">
      <c r="D443" s="7"/>
      <c r="H443" s="3" t="s">
        <v>35</v>
      </c>
      <c r="I443" s="3" t="s">
        <v>34</v>
      </c>
      <c r="J443" s="3">
        <f t="shared" si="39"/>
        <v>151764</v>
      </c>
      <c r="K443" s="3">
        <f t="shared" si="38"/>
        <v>151776</v>
      </c>
      <c r="L443" s="3">
        <v>12</v>
      </c>
      <c r="M443" s="3">
        <f t="shared" si="40"/>
        <v>0.66999999999996795</v>
      </c>
      <c r="N443" s="3">
        <v>1.25</v>
      </c>
    </row>
    <row r="444" spans="4:14" ht="15" customHeight="1" x14ac:dyDescent="0.25">
      <c r="D444" s="7">
        <v>44728</v>
      </c>
      <c r="E444">
        <v>19.739999999999998</v>
      </c>
      <c r="F444" s="3">
        <v>51.35</v>
      </c>
      <c r="G444" s="8">
        <f>E444*F444</f>
        <v>1013.649</v>
      </c>
      <c r="H444" s="3" t="s">
        <v>34</v>
      </c>
      <c r="I444" s="3" t="s">
        <v>39</v>
      </c>
      <c r="J444" s="3">
        <f t="shared" si="39"/>
        <v>151776</v>
      </c>
      <c r="K444" s="3">
        <f t="shared" si="38"/>
        <v>151826</v>
      </c>
      <c r="L444" s="3">
        <v>50</v>
      </c>
      <c r="M444" s="3">
        <f t="shared" si="40"/>
        <v>14.909999999999968</v>
      </c>
      <c r="N444" s="3">
        <v>5.5</v>
      </c>
    </row>
    <row r="445" spans="4:14" ht="15" customHeight="1" x14ac:dyDescent="0.25">
      <c r="D445" s="7"/>
      <c r="G445" s="8"/>
      <c r="H445" s="3" t="s">
        <v>39</v>
      </c>
      <c r="I445" s="3" t="s">
        <v>34</v>
      </c>
      <c r="J445" s="3">
        <f t="shared" si="39"/>
        <v>151826</v>
      </c>
      <c r="K445" s="3">
        <f t="shared" si="38"/>
        <v>151876</v>
      </c>
      <c r="L445" s="3">
        <v>50</v>
      </c>
      <c r="M445" s="3">
        <f t="shared" si="40"/>
        <v>9.4099999999999682</v>
      </c>
      <c r="N445" s="3">
        <v>5.5</v>
      </c>
    </row>
    <row r="446" spans="4:14" ht="15" customHeight="1" x14ac:dyDescent="0.25">
      <c r="D446" s="7">
        <v>44729</v>
      </c>
      <c r="H446" s="3" t="s">
        <v>34</v>
      </c>
      <c r="I446" s="3" t="s">
        <v>36</v>
      </c>
      <c r="J446" s="3">
        <f t="shared" si="39"/>
        <v>151876</v>
      </c>
      <c r="K446" s="3">
        <f t="shared" si="38"/>
        <v>151891</v>
      </c>
      <c r="L446" s="3">
        <v>15</v>
      </c>
      <c r="M446" s="3">
        <f t="shared" si="40"/>
        <v>7.6099999999999683</v>
      </c>
      <c r="N446" s="3">
        <v>1.8</v>
      </c>
    </row>
    <row r="447" spans="4:14" ht="15" customHeight="1" x14ac:dyDescent="0.25">
      <c r="D447" s="7"/>
      <c r="H447" s="3" t="s">
        <v>36</v>
      </c>
      <c r="I447" s="3" t="s">
        <v>34</v>
      </c>
      <c r="J447" s="3">
        <f t="shared" si="39"/>
        <v>151891</v>
      </c>
      <c r="K447" s="3">
        <f t="shared" si="38"/>
        <v>151906</v>
      </c>
      <c r="L447" s="3">
        <v>15</v>
      </c>
      <c r="M447" s="3">
        <f t="shared" si="40"/>
        <v>5.8099999999999685</v>
      </c>
      <c r="N447" s="3">
        <v>1.8</v>
      </c>
    </row>
    <row r="448" spans="4:14" ht="15" customHeight="1" x14ac:dyDescent="0.25">
      <c r="D448" s="7">
        <v>44732</v>
      </c>
      <c r="H448" s="3" t="s">
        <v>34</v>
      </c>
      <c r="I448" s="3" t="s">
        <v>35</v>
      </c>
      <c r="J448" s="3">
        <f t="shared" si="39"/>
        <v>151906</v>
      </c>
      <c r="K448" s="3">
        <f t="shared" si="38"/>
        <v>151918</v>
      </c>
      <c r="L448" s="3">
        <v>12</v>
      </c>
      <c r="M448" s="3">
        <f t="shared" si="40"/>
        <v>4.5599999999999685</v>
      </c>
      <c r="N448" s="3">
        <v>1.25</v>
      </c>
    </row>
    <row r="449" spans="4:14" ht="15" customHeight="1" x14ac:dyDescent="0.25">
      <c r="D449" s="7"/>
      <c r="H449" s="3" t="s">
        <v>35</v>
      </c>
      <c r="I449" s="3" t="s">
        <v>34</v>
      </c>
      <c r="J449" s="3">
        <f t="shared" si="39"/>
        <v>151918</v>
      </c>
      <c r="K449" s="3">
        <f t="shared" si="38"/>
        <v>151930</v>
      </c>
      <c r="L449" s="3">
        <v>12</v>
      </c>
      <c r="M449" s="3">
        <f t="shared" si="40"/>
        <v>3.3099999999999685</v>
      </c>
      <c r="N449" s="3">
        <v>1.25</v>
      </c>
    </row>
    <row r="450" spans="4:14" ht="15" customHeight="1" x14ac:dyDescent="0.25">
      <c r="D450" s="7">
        <v>44733</v>
      </c>
      <c r="H450" s="3" t="s">
        <v>34</v>
      </c>
      <c r="I450" s="3" t="s">
        <v>35</v>
      </c>
      <c r="J450" s="3">
        <f t="shared" si="39"/>
        <v>151930</v>
      </c>
      <c r="K450" s="3">
        <f t="shared" si="38"/>
        <v>151942</v>
      </c>
      <c r="L450" s="3">
        <v>12</v>
      </c>
      <c r="M450" s="3">
        <f t="shared" si="40"/>
        <v>2.0599999999999685</v>
      </c>
      <c r="N450" s="3">
        <v>1.25</v>
      </c>
    </row>
    <row r="451" spans="4:14" ht="15" customHeight="1" x14ac:dyDescent="0.25">
      <c r="D451" s="7"/>
      <c r="H451" s="3" t="s">
        <v>35</v>
      </c>
      <c r="I451" s="3" t="s">
        <v>34</v>
      </c>
      <c r="J451" s="3">
        <f t="shared" si="39"/>
        <v>151942</v>
      </c>
      <c r="K451" s="3">
        <f t="shared" si="38"/>
        <v>151954</v>
      </c>
      <c r="L451" s="3">
        <v>12</v>
      </c>
      <c r="M451" s="3">
        <f t="shared" si="40"/>
        <v>0.80999999999996852</v>
      </c>
      <c r="N451" s="3">
        <v>1.25</v>
      </c>
    </row>
    <row r="452" spans="4:14" ht="15" customHeight="1" x14ac:dyDescent="0.25">
      <c r="D452" s="7">
        <v>44734</v>
      </c>
      <c r="E452">
        <v>5.64</v>
      </c>
      <c r="F452" s="3">
        <v>51.6</v>
      </c>
      <c r="G452" s="8">
        <f>E452*F452</f>
        <v>291.024</v>
      </c>
      <c r="H452" s="3" t="s">
        <v>34</v>
      </c>
      <c r="I452" s="3" t="s">
        <v>24</v>
      </c>
      <c r="J452" s="3">
        <f t="shared" si="39"/>
        <v>151954</v>
      </c>
      <c r="K452" s="3">
        <f t="shared" si="38"/>
        <v>151968</v>
      </c>
      <c r="L452" s="3">
        <v>14</v>
      </c>
      <c r="M452" s="3">
        <f t="shared" si="40"/>
        <v>4.9499999999999682</v>
      </c>
      <c r="N452" s="3">
        <v>1.5</v>
      </c>
    </row>
    <row r="453" spans="4:14" ht="15" customHeight="1" x14ac:dyDescent="0.25">
      <c r="D453" s="7"/>
      <c r="G453" s="8"/>
      <c r="H453" s="3" t="s">
        <v>24</v>
      </c>
      <c r="I453" s="3" t="s">
        <v>34</v>
      </c>
      <c r="J453" s="3">
        <f t="shared" si="39"/>
        <v>151968</v>
      </c>
      <c r="K453" s="3">
        <f t="shared" si="38"/>
        <v>151982</v>
      </c>
      <c r="L453" s="3">
        <v>14</v>
      </c>
      <c r="M453" s="3">
        <f t="shared" si="40"/>
        <v>3.4499999999999682</v>
      </c>
      <c r="N453" s="3">
        <v>1.5</v>
      </c>
    </row>
    <row r="454" spans="4:14" ht="15" customHeight="1" x14ac:dyDescent="0.25">
      <c r="D454" s="7">
        <v>44735</v>
      </c>
      <c r="H454" s="3" t="s">
        <v>34</v>
      </c>
      <c r="I454" s="3" t="s">
        <v>35</v>
      </c>
      <c r="J454" s="3">
        <f t="shared" si="39"/>
        <v>151982</v>
      </c>
      <c r="K454" s="3">
        <f t="shared" si="38"/>
        <v>151994</v>
      </c>
      <c r="L454" s="3">
        <v>12</v>
      </c>
      <c r="M454" s="3">
        <f t="shared" si="40"/>
        <v>2.1999999999999682</v>
      </c>
      <c r="N454" s="3">
        <v>1.25</v>
      </c>
    </row>
    <row r="455" spans="4:14" ht="15" customHeight="1" x14ac:dyDescent="0.25">
      <c r="D455" s="7"/>
      <c r="H455" s="3" t="s">
        <v>35</v>
      </c>
      <c r="I455" s="3" t="s">
        <v>34</v>
      </c>
      <c r="J455" s="3">
        <f t="shared" si="39"/>
        <v>151994</v>
      </c>
      <c r="K455" s="3">
        <f t="shared" si="38"/>
        <v>152006</v>
      </c>
      <c r="L455" s="3">
        <v>12</v>
      </c>
      <c r="M455" s="3">
        <f t="shared" si="40"/>
        <v>0.9499999999999682</v>
      </c>
      <c r="N455" s="3">
        <v>1.25</v>
      </c>
    </row>
    <row r="456" spans="4:14" ht="15" customHeight="1" x14ac:dyDescent="0.25">
      <c r="D456" s="7">
        <v>44736</v>
      </c>
      <c r="E456">
        <v>32.450000000000003</v>
      </c>
      <c r="F456" s="3">
        <v>51.9</v>
      </c>
      <c r="G456" s="8">
        <f>E456*F456</f>
        <v>1684.1550000000002</v>
      </c>
      <c r="H456" s="3" t="s">
        <v>34</v>
      </c>
      <c r="I456" s="3" t="s">
        <v>37</v>
      </c>
      <c r="J456" s="3">
        <f t="shared" si="39"/>
        <v>152006</v>
      </c>
      <c r="K456" s="3">
        <f t="shared" si="38"/>
        <v>152046</v>
      </c>
      <c r="L456" s="3">
        <v>40</v>
      </c>
      <c r="M456" s="3">
        <f t="shared" si="40"/>
        <v>28.599999999999969</v>
      </c>
      <c r="N456" s="3">
        <v>4.8</v>
      </c>
    </row>
    <row r="457" spans="4:14" ht="15" customHeight="1" x14ac:dyDescent="0.25">
      <c r="D457" s="7"/>
      <c r="G457" s="8"/>
      <c r="H457" s="3" t="s">
        <v>37</v>
      </c>
      <c r="I457" s="3" t="s">
        <v>34</v>
      </c>
      <c r="J457" s="3">
        <f t="shared" si="39"/>
        <v>152046</v>
      </c>
      <c r="K457" s="3">
        <f t="shared" si="38"/>
        <v>152086</v>
      </c>
      <c r="L457" s="3">
        <v>40</v>
      </c>
      <c r="M457" s="3">
        <f t="shared" si="40"/>
        <v>23.799999999999969</v>
      </c>
      <c r="N457" s="3">
        <v>4.8</v>
      </c>
    </row>
    <row r="458" spans="4:14" ht="15" customHeight="1" x14ac:dyDescent="0.25">
      <c r="D458" s="7">
        <v>44739</v>
      </c>
      <c r="H458" s="3" t="s">
        <v>34</v>
      </c>
      <c r="I458" s="3" t="s">
        <v>45</v>
      </c>
      <c r="J458" s="3">
        <f t="shared" si="39"/>
        <v>152086</v>
      </c>
      <c r="K458" s="3">
        <f t="shared" si="38"/>
        <v>152113</v>
      </c>
      <c r="L458" s="3">
        <v>27</v>
      </c>
      <c r="M458" s="3">
        <f t="shared" si="40"/>
        <v>20.599999999999969</v>
      </c>
      <c r="N458" s="3">
        <v>3.2</v>
      </c>
    </row>
    <row r="459" spans="4:14" ht="15" customHeight="1" x14ac:dyDescent="0.25">
      <c r="D459" s="7"/>
      <c r="H459" s="3" t="s">
        <v>45</v>
      </c>
      <c r="I459" s="3" t="s">
        <v>34</v>
      </c>
      <c r="J459" s="3">
        <f t="shared" si="39"/>
        <v>152113</v>
      </c>
      <c r="K459" s="3">
        <f t="shared" si="38"/>
        <v>152140</v>
      </c>
      <c r="L459" s="3">
        <v>27</v>
      </c>
      <c r="M459" s="3">
        <f t="shared" si="40"/>
        <v>17.39999999999997</v>
      </c>
      <c r="N459" s="3">
        <v>3.2</v>
      </c>
    </row>
    <row r="460" spans="4:14" ht="15" customHeight="1" x14ac:dyDescent="0.25">
      <c r="D460" s="7">
        <v>44740</v>
      </c>
      <c r="H460" s="3" t="s">
        <v>34</v>
      </c>
      <c r="I460" s="3" t="s">
        <v>43</v>
      </c>
      <c r="J460" s="3">
        <f t="shared" si="39"/>
        <v>152140</v>
      </c>
      <c r="K460" s="3">
        <f t="shared" si="38"/>
        <v>152152</v>
      </c>
      <c r="L460" s="3">
        <v>12</v>
      </c>
      <c r="M460" s="3">
        <f t="shared" si="40"/>
        <v>16.14999999999997</v>
      </c>
      <c r="N460" s="3">
        <v>1.25</v>
      </c>
    </row>
    <row r="461" spans="4:14" ht="15" customHeight="1" x14ac:dyDescent="0.25">
      <c r="D461" s="7"/>
      <c r="H461" s="3" t="s">
        <v>43</v>
      </c>
      <c r="I461" s="3" t="s">
        <v>34</v>
      </c>
      <c r="J461" s="3">
        <f t="shared" si="39"/>
        <v>152152</v>
      </c>
      <c r="K461" s="3">
        <f t="shared" si="38"/>
        <v>152164</v>
      </c>
      <c r="L461" s="3">
        <v>12</v>
      </c>
      <c r="M461" s="3">
        <f t="shared" si="40"/>
        <v>14.89999999999997</v>
      </c>
      <c r="N461" s="3">
        <v>1.25</v>
      </c>
    </row>
    <row r="462" spans="4:14" ht="15" customHeight="1" x14ac:dyDescent="0.25">
      <c r="D462" s="7"/>
      <c r="H462" s="3" t="s">
        <v>34</v>
      </c>
      <c r="I462" s="3" t="s">
        <v>36</v>
      </c>
      <c r="J462" s="3">
        <f t="shared" si="39"/>
        <v>152164</v>
      </c>
      <c r="K462" s="3">
        <f t="shared" si="38"/>
        <v>152179</v>
      </c>
      <c r="L462" s="3">
        <v>15</v>
      </c>
      <c r="M462" s="3">
        <f t="shared" si="40"/>
        <v>13.099999999999969</v>
      </c>
      <c r="N462" s="3">
        <v>1.8</v>
      </c>
    </row>
    <row r="463" spans="4:14" ht="15" customHeight="1" x14ac:dyDescent="0.25">
      <c r="D463" s="7"/>
      <c r="H463" s="3" t="s">
        <v>36</v>
      </c>
      <c r="I463" s="3" t="s">
        <v>34</v>
      </c>
      <c r="J463" s="3">
        <f t="shared" si="39"/>
        <v>152179</v>
      </c>
      <c r="K463" s="3">
        <f t="shared" si="38"/>
        <v>152194</v>
      </c>
      <c r="L463" s="3">
        <v>15</v>
      </c>
      <c r="M463" s="3">
        <f t="shared" si="40"/>
        <v>11.299999999999969</v>
      </c>
      <c r="N463" s="3">
        <v>1.8</v>
      </c>
    </row>
    <row r="464" spans="4:14" ht="15" customHeight="1" x14ac:dyDescent="0.25">
      <c r="D464" s="7">
        <v>44741</v>
      </c>
      <c r="E464">
        <v>23.22</v>
      </c>
      <c r="F464" s="3">
        <v>51.95</v>
      </c>
      <c r="G464" s="8">
        <f>E464*F464</f>
        <v>1206.279</v>
      </c>
      <c r="H464" s="3" t="s">
        <v>34</v>
      </c>
      <c r="I464" s="3" t="s">
        <v>39</v>
      </c>
      <c r="J464" s="3">
        <f t="shared" si="39"/>
        <v>152194</v>
      </c>
      <c r="K464" s="3">
        <f t="shared" si="38"/>
        <v>152244</v>
      </c>
      <c r="L464" s="3">
        <v>50</v>
      </c>
      <c r="M464" s="3">
        <f t="shared" si="40"/>
        <v>29.019999999999968</v>
      </c>
      <c r="N464" s="3">
        <v>5.5</v>
      </c>
    </row>
    <row r="465" spans="4:14" ht="15" customHeight="1" x14ac:dyDescent="0.25">
      <c r="D465" s="7"/>
      <c r="G465" s="8"/>
      <c r="H465" s="3" t="s">
        <v>39</v>
      </c>
      <c r="I465" s="3" t="s">
        <v>34</v>
      </c>
      <c r="J465" s="3">
        <f t="shared" si="39"/>
        <v>152244</v>
      </c>
      <c r="K465" s="3">
        <f t="shared" si="38"/>
        <v>152294</v>
      </c>
      <c r="L465" s="3">
        <v>50</v>
      </c>
      <c r="M465" s="3">
        <f t="shared" si="40"/>
        <v>23.519999999999968</v>
      </c>
      <c r="N465" s="3">
        <v>5.5</v>
      </c>
    </row>
    <row r="466" spans="4:14" ht="15" customHeight="1" x14ac:dyDescent="0.25">
      <c r="D466" s="7">
        <v>44742</v>
      </c>
      <c r="H466" s="3" t="s">
        <v>34</v>
      </c>
      <c r="I466" s="3" t="s">
        <v>35</v>
      </c>
      <c r="J466" s="3">
        <f t="shared" si="39"/>
        <v>152294</v>
      </c>
      <c r="K466" s="3">
        <f t="shared" si="38"/>
        <v>152306</v>
      </c>
      <c r="L466" s="3">
        <v>12</v>
      </c>
      <c r="M466" s="3">
        <f t="shared" si="40"/>
        <v>22.269999999999968</v>
      </c>
      <c r="N466" s="3">
        <v>1.25</v>
      </c>
    </row>
    <row r="467" spans="4:14" ht="15" customHeight="1" x14ac:dyDescent="0.25">
      <c r="H467" s="3" t="s">
        <v>35</v>
      </c>
      <c r="I467" s="3" t="s">
        <v>34</v>
      </c>
      <c r="J467" s="3">
        <f t="shared" si="39"/>
        <v>152306</v>
      </c>
      <c r="K467" s="3">
        <f t="shared" si="38"/>
        <v>152318</v>
      </c>
      <c r="L467" s="3">
        <v>12</v>
      </c>
      <c r="M467" s="3">
        <f t="shared" si="40"/>
        <v>21.019999999999968</v>
      </c>
      <c r="N467" s="3">
        <v>1.25</v>
      </c>
    </row>
    <row r="468" spans="4:14" ht="15" customHeight="1" x14ac:dyDescent="0.25">
      <c r="H468" s="3" t="s">
        <v>34</v>
      </c>
      <c r="I468" s="3" t="s">
        <v>43</v>
      </c>
      <c r="J468" s="3">
        <f t="shared" si="39"/>
        <v>152318</v>
      </c>
      <c r="K468" s="3">
        <f t="shared" si="38"/>
        <v>152330</v>
      </c>
      <c r="L468" s="3">
        <v>12</v>
      </c>
      <c r="M468" s="3">
        <f t="shared" si="40"/>
        <v>19.769999999999968</v>
      </c>
      <c r="N468" s="3">
        <v>1.25</v>
      </c>
    </row>
    <row r="469" spans="4:14" ht="15" customHeight="1" x14ac:dyDescent="0.25">
      <c r="H469" s="3" t="s">
        <v>43</v>
      </c>
      <c r="I469" s="3" t="s">
        <v>34</v>
      </c>
      <c r="J469" s="3">
        <f t="shared" si="39"/>
        <v>152330</v>
      </c>
      <c r="K469" s="3">
        <f t="shared" si="38"/>
        <v>152342</v>
      </c>
      <c r="L469" s="3">
        <v>12</v>
      </c>
      <c r="M469" s="3">
        <f t="shared" si="40"/>
        <v>18.519999999999968</v>
      </c>
      <c r="N469" s="3">
        <v>1.25</v>
      </c>
    </row>
    <row r="470" spans="4:14" ht="15" customHeight="1" x14ac:dyDescent="0.25">
      <c r="H470" s="3" t="s">
        <v>34</v>
      </c>
      <c r="I470" s="3" t="s">
        <v>36</v>
      </c>
      <c r="J470" s="3">
        <f t="shared" si="39"/>
        <v>152342</v>
      </c>
      <c r="K470" s="3">
        <f t="shared" si="38"/>
        <v>152357</v>
      </c>
      <c r="L470" s="3">
        <v>15</v>
      </c>
      <c r="M470" s="3">
        <f t="shared" si="40"/>
        <v>16.719999999999967</v>
      </c>
      <c r="N470" s="3">
        <v>1.8</v>
      </c>
    </row>
    <row r="471" spans="4:14" ht="15" customHeight="1" x14ac:dyDescent="0.25">
      <c r="H471" s="3" t="s">
        <v>36</v>
      </c>
      <c r="I471" s="3" t="s">
        <v>34</v>
      </c>
      <c r="J471" s="3">
        <f t="shared" si="39"/>
        <v>152357</v>
      </c>
      <c r="K471" s="3">
        <f t="shared" si="38"/>
        <v>152372</v>
      </c>
      <c r="L471" s="3">
        <v>15</v>
      </c>
      <c r="M471" s="3">
        <f t="shared" si="40"/>
        <v>14.919999999999966</v>
      </c>
      <c r="N471" s="3">
        <v>1.8</v>
      </c>
    </row>
    <row r="473" spans="4:14" ht="15" customHeight="1" x14ac:dyDescent="0.25">
      <c r="D473" s="2" t="s">
        <v>47</v>
      </c>
      <c r="E473" s="2"/>
      <c r="F473" s="2"/>
      <c r="G473" s="2"/>
    </row>
    <row r="474" spans="4:14" ht="15" customHeight="1" x14ac:dyDescent="0.25">
      <c r="D474" s="7">
        <v>44743</v>
      </c>
      <c r="E474">
        <v>31.29</v>
      </c>
      <c r="F474" s="3">
        <v>51.6</v>
      </c>
      <c r="G474" s="8">
        <f>E474*F474</f>
        <v>1614.5640000000001</v>
      </c>
      <c r="H474" s="3" t="s">
        <v>34</v>
      </c>
      <c r="I474" s="3" t="s">
        <v>36</v>
      </c>
      <c r="J474" s="3">
        <f>K471</f>
        <v>152372</v>
      </c>
      <c r="K474" s="3">
        <f t="shared" ref="K474:K505" si="41">J474+L474</f>
        <v>152387</v>
      </c>
      <c r="L474" s="3">
        <v>15</v>
      </c>
      <c r="M474" s="3">
        <f>(E474+M471)-N474</f>
        <v>44.409999999999968</v>
      </c>
      <c r="N474" s="3">
        <v>1.8</v>
      </c>
    </row>
    <row r="475" spans="4:14" ht="15" customHeight="1" x14ac:dyDescent="0.25">
      <c r="D475" s="7"/>
      <c r="G475" s="8"/>
      <c r="H475" s="3" t="s">
        <v>36</v>
      </c>
      <c r="I475" s="3" t="s">
        <v>34</v>
      </c>
      <c r="J475" s="3">
        <f t="shared" ref="J475:J506" si="42">K474</f>
        <v>152387</v>
      </c>
      <c r="K475" s="3">
        <f t="shared" si="41"/>
        <v>152402</v>
      </c>
      <c r="L475" s="3">
        <v>15</v>
      </c>
      <c r="M475" s="3">
        <f t="shared" ref="M475:M506" si="43">(E475+M474)-N475</f>
        <v>42.609999999999971</v>
      </c>
      <c r="N475" s="3">
        <v>1.8</v>
      </c>
    </row>
    <row r="476" spans="4:14" ht="15" customHeight="1" x14ac:dyDescent="0.25">
      <c r="D476" s="7"/>
      <c r="G476" s="8"/>
      <c r="H476" s="3" t="s">
        <v>34</v>
      </c>
      <c r="I476" s="3" t="s">
        <v>24</v>
      </c>
      <c r="J476" s="3">
        <f t="shared" si="42"/>
        <v>152402</v>
      </c>
      <c r="K476" s="3">
        <f t="shared" si="41"/>
        <v>152416</v>
      </c>
      <c r="L476" s="3">
        <v>14</v>
      </c>
      <c r="M476" s="3">
        <f t="shared" si="43"/>
        <v>41.109999999999971</v>
      </c>
      <c r="N476" s="3">
        <v>1.5</v>
      </c>
    </row>
    <row r="477" spans="4:14" ht="15" customHeight="1" x14ac:dyDescent="0.25">
      <c r="D477" s="7"/>
      <c r="G477" s="8"/>
      <c r="H477" s="3" t="s">
        <v>24</v>
      </c>
      <c r="I477" s="3" t="s">
        <v>34</v>
      </c>
      <c r="J477" s="3">
        <f t="shared" si="42"/>
        <v>152416</v>
      </c>
      <c r="K477" s="3">
        <f t="shared" si="41"/>
        <v>152430</v>
      </c>
      <c r="L477" s="3">
        <v>14</v>
      </c>
      <c r="M477" s="3">
        <f t="shared" si="43"/>
        <v>39.609999999999971</v>
      </c>
      <c r="N477" s="3">
        <v>1.5</v>
      </c>
    </row>
    <row r="478" spans="4:14" ht="15" customHeight="1" x14ac:dyDescent="0.25">
      <c r="D478" s="7"/>
      <c r="G478" s="8"/>
      <c r="H478" s="3" t="s">
        <v>34</v>
      </c>
      <c r="I478" s="3" t="s">
        <v>39</v>
      </c>
      <c r="J478" s="3">
        <f t="shared" si="42"/>
        <v>152430</v>
      </c>
      <c r="K478" s="3">
        <f t="shared" si="41"/>
        <v>152480</v>
      </c>
      <c r="L478" s="3">
        <v>50</v>
      </c>
      <c r="M478" s="3">
        <f t="shared" si="43"/>
        <v>34.109999999999971</v>
      </c>
      <c r="N478" s="3">
        <v>5.5</v>
      </c>
    </row>
    <row r="479" spans="4:14" ht="15" customHeight="1" x14ac:dyDescent="0.25">
      <c r="D479" s="7"/>
      <c r="G479" s="8"/>
      <c r="H479" s="3" t="s">
        <v>39</v>
      </c>
      <c r="I479" s="3" t="s">
        <v>34</v>
      </c>
      <c r="J479" s="3">
        <f t="shared" si="42"/>
        <v>152480</v>
      </c>
      <c r="K479" s="3">
        <f t="shared" si="41"/>
        <v>152530</v>
      </c>
      <c r="L479" s="3">
        <v>50</v>
      </c>
      <c r="M479" s="3">
        <f t="shared" si="43"/>
        <v>28.609999999999971</v>
      </c>
      <c r="N479" s="3">
        <v>5.5</v>
      </c>
    </row>
    <row r="480" spans="4:14" ht="15" customHeight="1" x14ac:dyDescent="0.25">
      <c r="D480" s="7">
        <v>44746</v>
      </c>
      <c r="E480">
        <v>5.78</v>
      </c>
      <c r="F480" s="3">
        <v>51.9</v>
      </c>
      <c r="G480" s="8">
        <f>E480*F480</f>
        <v>299.98200000000003</v>
      </c>
      <c r="H480" s="3" t="s">
        <v>34</v>
      </c>
      <c r="I480" s="3" t="s">
        <v>35</v>
      </c>
      <c r="J480" s="3">
        <f t="shared" si="42"/>
        <v>152530</v>
      </c>
      <c r="K480" s="3">
        <f t="shared" si="41"/>
        <v>152542</v>
      </c>
      <c r="L480" s="3">
        <v>12</v>
      </c>
      <c r="M480" s="3">
        <f t="shared" si="43"/>
        <v>33.139999999999972</v>
      </c>
      <c r="N480" s="3">
        <v>1.25</v>
      </c>
    </row>
    <row r="481" spans="4:14" ht="15" customHeight="1" x14ac:dyDescent="0.25">
      <c r="D481" s="7"/>
      <c r="G481" s="8"/>
      <c r="H481" s="3" t="s">
        <v>35</v>
      </c>
      <c r="I481" s="3" t="s">
        <v>34</v>
      </c>
      <c r="J481" s="3">
        <f t="shared" si="42"/>
        <v>152542</v>
      </c>
      <c r="K481" s="3">
        <f t="shared" si="41"/>
        <v>152554</v>
      </c>
      <c r="L481" s="3">
        <v>12</v>
      </c>
      <c r="M481" s="3">
        <f t="shared" si="43"/>
        <v>31.889999999999972</v>
      </c>
      <c r="N481" s="3">
        <v>1.25</v>
      </c>
    </row>
    <row r="482" spans="4:14" ht="15" customHeight="1" x14ac:dyDescent="0.25">
      <c r="D482" s="7">
        <v>44747</v>
      </c>
      <c r="H482" s="3" t="s">
        <v>34</v>
      </c>
      <c r="I482" s="3" t="s">
        <v>35</v>
      </c>
      <c r="J482" s="3">
        <f t="shared" si="42"/>
        <v>152554</v>
      </c>
      <c r="K482" s="3">
        <f t="shared" si="41"/>
        <v>152566</v>
      </c>
      <c r="L482" s="3">
        <v>12</v>
      </c>
      <c r="M482" s="3">
        <f t="shared" si="43"/>
        <v>30.639999999999972</v>
      </c>
      <c r="N482" s="3">
        <v>1.25</v>
      </c>
    </row>
    <row r="483" spans="4:14" ht="15" customHeight="1" x14ac:dyDescent="0.25">
      <c r="D483" s="7"/>
      <c r="H483" s="3" t="s">
        <v>35</v>
      </c>
      <c r="I483" s="3" t="s">
        <v>34</v>
      </c>
      <c r="J483" s="3">
        <f t="shared" si="42"/>
        <v>152566</v>
      </c>
      <c r="K483" s="3">
        <f t="shared" si="41"/>
        <v>152578</v>
      </c>
      <c r="L483" s="3">
        <v>12</v>
      </c>
      <c r="M483" s="3">
        <f t="shared" si="43"/>
        <v>29.389999999999972</v>
      </c>
      <c r="N483" s="3">
        <v>1.25</v>
      </c>
    </row>
    <row r="484" spans="4:14" ht="15" customHeight="1" x14ac:dyDescent="0.25">
      <c r="D484" s="7">
        <v>44748</v>
      </c>
      <c r="H484" s="3" t="s">
        <v>34</v>
      </c>
      <c r="I484" s="3" t="s">
        <v>36</v>
      </c>
      <c r="J484" s="3">
        <f t="shared" si="42"/>
        <v>152578</v>
      </c>
      <c r="K484" s="3">
        <f t="shared" si="41"/>
        <v>152593</v>
      </c>
      <c r="L484" s="3">
        <v>15</v>
      </c>
      <c r="M484" s="3">
        <f t="shared" si="43"/>
        <v>27.589999999999971</v>
      </c>
      <c r="N484" s="3">
        <v>1.8</v>
      </c>
    </row>
    <row r="485" spans="4:14" ht="15" customHeight="1" x14ac:dyDescent="0.25">
      <c r="D485" s="7"/>
      <c r="H485" s="3" t="s">
        <v>36</v>
      </c>
      <c r="I485" s="3" t="s">
        <v>34</v>
      </c>
      <c r="J485" s="3">
        <f t="shared" si="42"/>
        <v>152593</v>
      </c>
      <c r="K485" s="3">
        <f t="shared" si="41"/>
        <v>152608</v>
      </c>
      <c r="L485" s="3">
        <v>15</v>
      </c>
      <c r="M485" s="3">
        <f t="shared" si="43"/>
        <v>25.789999999999971</v>
      </c>
      <c r="N485" s="3">
        <v>1.8</v>
      </c>
    </row>
    <row r="486" spans="4:14" ht="15" customHeight="1" x14ac:dyDescent="0.25">
      <c r="D486" s="7"/>
      <c r="H486" s="3" t="s">
        <v>34</v>
      </c>
      <c r="I486" s="3" t="s">
        <v>43</v>
      </c>
      <c r="J486" s="3">
        <f t="shared" si="42"/>
        <v>152608</v>
      </c>
      <c r="K486" s="3">
        <f t="shared" si="41"/>
        <v>152620</v>
      </c>
      <c r="L486" s="3">
        <v>12</v>
      </c>
      <c r="M486" s="3">
        <f t="shared" si="43"/>
        <v>24.539999999999971</v>
      </c>
      <c r="N486" s="3">
        <v>1.25</v>
      </c>
    </row>
    <row r="487" spans="4:14" ht="15" customHeight="1" x14ac:dyDescent="0.25">
      <c r="D487" s="7"/>
      <c r="H487" s="3" t="s">
        <v>43</v>
      </c>
      <c r="I487" s="3" t="s">
        <v>34</v>
      </c>
      <c r="J487" s="3">
        <f t="shared" si="42"/>
        <v>152620</v>
      </c>
      <c r="K487" s="3">
        <f t="shared" si="41"/>
        <v>152632</v>
      </c>
      <c r="L487" s="3">
        <v>12</v>
      </c>
      <c r="M487" s="3">
        <f t="shared" si="43"/>
        <v>23.289999999999971</v>
      </c>
      <c r="N487" s="3">
        <v>1.25</v>
      </c>
    </row>
    <row r="488" spans="4:14" ht="15" customHeight="1" x14ac:dyDescent="0.25">
      <c r="D488" s="7"/>
      <c r="H488" s="3" t="s">
        <v>34</v>
      </c>
      <c r="I488" s="3" t="s">
        <v>37</v>
      </c>
      <c r="J488" s="3">
        <f t="shared" si="42"/>
        <v>152632</v>
      </c>
      <c r="K488" s="3">
        <f t="shared" si="41"/>
        <v>152672</v>
      </c>
      <c r="L488" s="3">
        <v>40</v>
      </c>
      <c r="M488" s="3">
        <f t="shared" si="43"/>
        <v>18.48999999999997</v>
      </c>
      <c r="N488" s="3">
        <v>4.8</v>
      </c>
    </row>
    <row r="489" spans="4:14" ht="15" customHeight="1" x14ac:dyDescent="0.25">
      <c r="D489" s="7"/>
      <c r="H489" s="3" t="s">
        <v>37</v>
      </c>
      <c r="I489" s="3" t="s">
        <v>34</v>
      </c>
      <c r="J489" s="3">
        <f t="shared" si="42"/>
        <v>152672</v>
      </c>
      <c r="K489" s="3">
        <f t="shared" si="41"/>
        <v>152712</v>
      </c>
      <c r="L489" s="3">
        <v>40</v>
      </c>
      <c r="M489" s="3">
        <f t="shared" si="43"/>
        <v>13.689999999999969</v>
      </c>
      <c r="N489" s="3">
        <v>4.8</v>
      </c>
    </row>
    <row r="490" spans="4:14" ht="15" customHeight="1" x14ac:dyDescent="0.25">
      <c r="D490" s="7">
        <v>44749</v>
      </c>
      <c r="H490" s="3" t="s">
        <v>34</v>
      </c>
      <c r="I490" s="3" t="s">
        <v>24</v>
      </c>
      <c r="J490" s="3">
        <f t="shared" si="42"/>
        <v>152712</v>
      </c>
      <c r="K490" s="3">
        <f t="shared" si="41"/>
        <v>152726</v>
      </c>
      <c r="L490" s="3">
        <v>14</v>
      </c>
      <c r="M490" s="3">
        <f t="shared" si="43"/>
        <v>12.189999999999969</v>
      </c>
      <c r="N490" s="3">
        <v>1.5</v>
      </c>
    </row>
    <row r="491" spans="4:14" ht="15" customHeight="1" x14ac:dyDescent="0.25">
      <c r="D491" s="7"/>
      <c r="H491" s="3" t="s">
        <v>24</v>
      </c>
      <c r="I491" s="3" t="s">
        <v>34</v>
      </c>
      <c r="J491" s="3">
        <f t="shared" si="42"/>
        <v>152726</v>
      </c>
      <c r="K491" s="3">
        <f t="shared" si="41"/>
        <v>152740</v>
      </c>
      <c r="L491" s="3">
        <v>14</v>
      </c>
      <c r="M491" s="3">
        <f t="shared" si="43"/>
        <v>10.689999999999969</v>
      </c>
      <c r="N491" s="3">
        <v>1.5</v>
      </c>
    </row>
    <row r="492" spans="4:14" ht="15" customHeight="1" x14ac:dyDescent="0.25">
      <c r="D492" s="7">
        <v>44750</v>
      </c>
      <c r="H492" s="3" t="s">
        <v>34</v>
      </c>
      <c r="I492" s="3" t="s">
        <v>36</v>
      </c>
      <c r="J492" s="3">
        <f t="shared" si="42"/>
        <v>152740</v>
      </c>
      <c r="K492" s="3">
        <f t="shared" si="41"/>
        <v>152755</v>
      </c>
      <c r="L492" s="3">
        <v>15</v>
      </c>
      <c r="M492" s="3">
        <f t="shared" si="43"/>
        <v>8.8899999999999686</v>
      </c>
      <c r="N492" s="3">
        <v>1.8</v>
      </c>
    </row>
    <row r="493" spans="4:14" ht="15" customHeight="1" x14ac:dyDescent="0.25">
      <c r="D493" s="7"/>
      <c r="H493" s="3" t="s">
        <v>36</v>
      </c>
      <c r="I493" s="3" t="s">
        <v>34</v>
      </c>
      <c r="J493" s="3">
        <f t="shared" si="42"/>
        <v>152755</v>
      </c>
      <c r="K493" s="3">
        <f t="shared" si="41"/>
        <v>152770</v>
      </c>
      <c r="L493" s="3">
        <v>15</v>
      </c>
      <c r="M493" s="3">
        <f t="shared" si="43"/>
        <v>7.0899999999999688</v>
      </c>
      <c r="N493" s="3">
        <v>1.8</v>
      </c>
    </row>
    <row r="494" spans="4:14" ht="15" customHeight="1" x14ac:dyDescent="0.25">
      <c r="D494" s="7"/>
      <c r="H494" s="3" t="s">
        <v>34</v>
      </c>
      <c r="I494" s="3" t="s">
        <v>43</v>
      </c>
      <c r="J494" s="3">
        <f t="shared" si="42"/>
        <v>152770</v>
      </c>
      <c r="K494" s="3">
        <f t="shared" si="41"/>
        <v>152782</v>
      </c>
      <c r="L494" s="3">
        <v>12</v>
      </c>
      <c r="M494" s="3">
        <f t="shared" si="43"/>
        <v>5.8399999999999688</v>
      </c>
      <c r="N494" s="3">
        <v>1.25</v>
      </c>
    </row>
    <row r="495" spans="4:14" ht="15" customHeight="1" x14ac:dyDescent="0.25">
      <c r="D495" s="7"/>
      <c r="H495" s="3" t="s">
        <v>43</v>
      </c>
      <c r="I495" s="3" t="s">
        <v>34</v>
      </c>
      <c r="J495" s="3">
        <f t="shared" si="42"/>
        <v>152782</v>
      </c>
      <c r="K495" s="3">
        <f t="shared" si="41"/>
        <v>152794</v>
      </c>
      <c r="L495" s="3">
        <v>12</v>
      </c>
      <c r="M495" s="3">
        <f t="shared" si="43"/>
        <v>4.5899999999999688</v>
      </c>
      <c r="N495" s="3">
        <v>1.25</v>
      </c>
    </row>
    <row r="496" spans="4:14" ht="15" customHeight="1" x14ac:dyDescent="0.25">
      <c r="D496" s="7">
        <v>44753</v>
      </c>
      <c r="E496">
        <v>27.07</v>
      </c>
      <c r="F496" s="3">
        <v>51.9</v>
      </c>
      <c r="G496" s="8">
        <f>E496*F496</f>
        <v>1404.933</v>
      </c>
      <c r="H496" s="3" t="s">
        <v>34</v>
      </c>
      <c r="I496" s="3" t="s">
        <v>45</v>
      </c>
      <c r="J496" s="3">
        <f t="shared" si="42"/>
        <v>152794</v>
      </c>
      <c r="K496" s="3">
        <f t="shared" si="41"/>
        <v>152821</v>
      </c>
      <c r="L496" s="3">
        <v>27</v>
      </c>
      <c r="M496" s="3">
        <f t="shared" si="43"/>
        <v>28.459999999999969</v>
      </c>
      <c r="N496" s="3">
        <v>3.2</v>
      </c>
    </row>
    <row r="497" spans="4:14" ht="15" customHeight="1" x14ac:dyDescent="0.25">
      <c r="D497" s="7"/>
      <c r="G497" s="8"/>
      <c r="H497" s="3" t="s">
        <v>45</v>
      </c>
      <c r="I497" s="3" t="s">
        <v>34</v>
      </c>
      <c r="J497" s="3">
        <f t="shared" si="42"/>
        <v>152821</v>
      </c>
      <c r="K497" s="3">
        <f t="shared" si="41"/>
        <v>152848</v>
      </c>
      <c r="L497" s="3">
        <v>27</v>
      </c>
      <c r="M497" s="3">
        <f t="shared" si="43"/>
        <v>25.25999999999997</v>
      </c>
      <c r="N497" s="3">
        <v>3.2</v>
      </c>
    </row>
    <row r="498" spans="4:14" ht="15" customHeight="1" x14ac:dyDescent="0.25">
      <c r="D498" s="7">
        <v>44754</v>
      </c>
      <c r="H498" s="3" t="s">
        <v>34</v>
      </c>
      <c r="I498" s="3" t="s">
        <v>36</v>
      </c>
      <c r="J498" s="3">
        <f t="shared" si="42"/>
        <v>152848</v>
      </c>
      <c r="K498" s="3">
        <f t="shared" si="41"/>
        <v>152863</v>
      </c>
      <c r="L498" s="3">
        <v>15</v>
      </c>
      <c r="M498" s="3">
        <f t="shared" si="43"/>
        <v>23.459999999999969</v>
      </c>
      <c r="N498" s="3">
        <v>1.8</v>
      </c>
    </row>
    <row r="499" spans="4:14" ht="15" customHeight="1" x14ac:dyDescent="0.25">
      <c r="D499" s="7"/>
      <c r="H499" s="3" t="s">
        <v>36</v>
      </c>
      <c r="I499" s="3" t="s">
        <v>34</v>
      </c>
      <c r="J499" s="3">
        <f t="shared" si="42"/>
        <v>152863</v>
      </c>
      <c r="K499" s="3">
        <f t="shared" si="41"/>
        <v>152878</v>
      </c>
      <c r="L499" s="3">
        <v>15</v>
      </c>
      <c r="M499" s="3">
        <f t="shared" si="43"/>
        <v>21.659999999999968</v>
      </c>
      <c r="N499" s="3">
        <v>1.8</v>
      </c>
    </row>
    <row r="500" spans="4:14" ht="15" customHeight="1" x14ac:dyDescent="0.25">
      <c r="D500" s="7"/>
      <c r="H500" s="3" t="s">
        <v>34</v>
      </c>
      <c r="I500" s="3" t="s">
        <v>35</v>
      </c>
      <c r="J500" s="3">
        <f t="shared" si="42"/>
        <v>152878</v>
      </c>
      <c r="K500" s="3">
        <f t="shared" si="41"/>
        <v>152890</v>
      </c>
      <c r="L500" s="3">
        <v>12</v>
      </c>
      <c r="M500" s="3">
        <f t="shared" si="43"/>
        <v>20.409999999999968</v>
      </c>
      <c r="N500" s="3">
        <v>1.25</v>
      </c>
    </row>
    <row r="501" spans="4:14" ht="15" customHeight="1" x14ac:dyDescent="0.25">
      <c r="D501" s="7"/>
      <c r="H501" s="3" t="s">
        <v>35</v>
      </c>
      <c r="I501" s="3" t="s">
        <v>34</v>
      </c>
      <c r="J501" s="3">
        <f t="shared" si="42"/>
        <v>152890</v>
      </c>
      <c r="K501" s="3">
        <f t="shared" si="41"/>
        <v>152902</v>
      </c>
      <c r="L501" s="3">
        <v>12</v>
      </c>
      <c r="M501" s="3">
        <f t="shared" si="43"/>
        <v>19.159999999999968</v>
      </c>
      <c r="N501" s="3">
        <v>1.25</v>
      </c>
    </row>
    <row r="502" spans="4:14" ht="15" customHeight="1" x14ac:dyDescent="0.25">
      <c r="D502" s="7">
        <v>44755</v>
      </c>
      <c r="H502" s="3" t="s">
        <v>34</v>
      </c>
      <c r="I502" s="3" t="s">
        <v>44</v>
      </c>
      <c r="J502" s="3">
        <f t="shared" si="42"/>
        <v>152902</v>
      </c>
      <c r="K502" s="3">
        <f t="shared" si="41"/>
        <v>152942</v>
      </c>
      <c r="L502" s="3">
        <v>40</v>
      </c>
      <c r="M502" s="3">
        <f t="shared" si="43"/>
        <v>14.359999999999967</v>
      </c>
      <c r="N502" s="3">
        <v>4.8</v>
      </c>
    </row>
    <row r="503" spans="4:14" ht="15" customHeight="1" x14ac:dyDescent="0.25">
      <c r="D503" s="7"/>
      <c r="H503" s="3" t="s">
        <v>44</v>
      </c>
      <c r="I503" s="3" t="s">
        <v>34</v>
      </c>
      <c r="J503" s="3">
        <f t="shared" si="42"/>
        <v>152942</v>
      </c>
      <c r="K503" s="3">
        <f t="shared" si="41"/>
        <v>152982</v>
      </c>
      <c r="L503" s="3">
        <v>40</v>
      </c>
      <c r="M503" s="3">
        <f t="shared" si="43"/>
        <v>9.5599999999999667</v>
      </c>
      <c r="N503" s="3">
        <v>4.8</v>
      </c>
    </row>
    <row r="504" spans="4:14" ht="15" customHeight="1" x14ac:dyDescent="0.25">
      <c r="D504" s="7">
        <v>44756</v>
      </c>
      <c r="E504" s="10"/>
      <c r="F504" s="11"/>
      <c r="G504" s="12"/>
      <c r="H504" s="3" t="s">
        <v>34</v>
      </c>
      <c r="I504" s="3" t="s">
        <v>35</v>
      </c>
      <c r="J504" s="3">
        <f t="shared" si="42"/>
        <v>152982</v>
      </c>
      <c r="K504" s="3">
        <f t="shared" si="41"/>
        <v>152994</v>
      </c>
      <c r="L504" s="3">
        <v>12</v>
      </c>
      <c r="M504" s="3">
        <f t="shared" si="43"/>
        <v>8.3099999999999667</v>
      </c>
      <c r="N504" s="3">
        <v>1.25</v>
      </c>
    </row>
    <row r="505" spans="4:14" ht="15" customHeight="1" x14ac:dyDescent="0.25">
      <c r="D505" s="7"/>
      <c r="E505" s="10"/>
      <c r="F505" s="11"/>
      <c r="G505" s="12"/>
      <c r="H505" s="3" t="s">
        <v>35</v>
      </c>
      <c r="I505" s="3" t="s">
        <v>34</v>
      </c>
      <c r="J505" s="3">
        <f t="shared" si="42"/>
        <v>152994</v>
      </c>
      <c r="K505" s="3">
        <f t="shared" si="41"/>
        <v>153006</v>
      </c>
      <c r="L505" s="3">
        <v>12</v>
      </c>
      <c r="M505" s="3">
        <f t="shared" si="43"/>
        <v>7.0599999999999667</v>
      </c>
      <c r="N505" s="3">
        <v>1.25</v>
      </c>
    </row>
    <row r="506" spans="4:14" ht="15" customHeight="1" x14ac:dyDescent="0.25">
      <c r="D506" s="7">
        <v>44757</v>
      </c>
      <c r="H506" s="3" t="s">
        <v>34</v>
      </c>
      <c r="I506" s="3" t="s">
        <v>36</v>
      </c>
      <c r="J506" s="3">
        <f t="shared" si="42"/>
        <v>153006</v>
      </c>
      <c r="K506" s="3">
        <f t="shared" ref="K506:K537" si="44">J506+L506</f>
        <v>153021</v>
      </c>
      <c r="L506" s="3">
        <v>15</v>
      </c>
      <c r="M506" s="3">
        <f t="shared" si="43"/>
        <v>5.2599999999999669</v>
      </c>
      <c r="N506" s="3">
        <v>1.8</v>
      </c>
    </row>
    <row r="507" spans="4:14" ht="15" customHeight="1" x14ac:dyDescent="0.25">
      <c r="D507" s="7"/>
      <c r="H507" s="3" t="s">
        <v>36</v>
      </c>
      <c r="I507" s="3" t="s">
        <v>34</v>
      </c>
      <c r="J507" s="3">
        <f t="shared" ref="J507:J537" si="45">K506</f>
        <v>153021</v>
      </c>
      <c r="K507" s="3">
        <f t="shared" si="44"/>
        <v>153036</v>
      </c>
      <c r="L507" s="3">
        <v>15</v>
      </c>
      <c r="M507" s="3">
        <f t="shared" ref="M507:M538" si="46">(E507+M506)-N507</f>
        <v>3.4599999999999671</v>
      </c>
      <c r="N507" s="3">
        <v>1.8</v>
      </c>
    </row>
    <row r="508" spans="4:14" ht="15" customHeight="1" x14ac:dyDescent="0.25">
      <c r="D508" s="7">
        <v>44760</v>
      </c>
      <c r="H508" s="3" t="s">
        <v>34</v>
      </c>
      <c r="I508" s="3" t="s">
        <v>35</v>
      </c>
      <c r="J508" s="3">
        <f t="shared" si="45"/>
        <v>153036</v>
      </c>
      <c r="K508" s="3">
        <f t="shared" si="44"/>
        <v>153048</v>
      </c>
      <c r="L508" s="3">
        <v>12</v>
      </c>
      <c r="M508" s="3">
        <f t="shared" si="46"/>
        <v>2.2099999999999671</v>
      </c>
      <c r="N508" s="3">
        <v>1.25</v>
      </c>
    </row>
    <row r="509" spans="4:14" ht="15" customHeight="1" x14ac:dyDescent="0.25">
      <c r="D509" s="7"/>
      <c r="H509" s="3" t="s">
        <v>35</v>
      </c>
      <c r="I509" s="3" t="s">
        <v>34</v>
      </c>
      <c r="J509" s="3">
        <f t="shared" si="45"/>
        <v>153048</v>
      </c>
      <c r="K509" s="3">
        <f t="shared" si="44"/>
        <v>153060</v>
      </c>
      <c r="L509" s="3">
        <v>12</v>
      </c>
      <c r="M509" s="3">
        <f t="shared" si="46"/>
        <v>0.9599999999999671</v>
      </c>
      <c r="N509" s="3">
        <v>1.25</v>
      </c>
    </row>
    <row r="510" spans="4:14" ht="15" customHeight="1" x14ac:dyDescent="0.25">
      <c r="D510" s="7">
        <v>44761</v>
      </c>
      <c r="E510">
        <v>29.73</v>
      </c>
      <c r="F510" s="3">
        <v>51.6</v>
      </c>
      <c r="G510" s="8">
        <f>E510*F510</f>
        <v>1534.068</v>
      </c>
      <c r="H510" s="3" t="s">
        <v>34</v>
      </c>
      <c r="I510" s="3" t="s">
        <v>43</v>
      </c>
      <c r="J510" s="3">
        <f t="shared" si="45"/>
        <v>153060</v>
      </c>
      <c r="K510" s="3">
        <f t="shared" si="44"/>
        <v>153072</v>
      </c>
      <c r="L510" s="3">
        <v>12</v>
      </c>
      <c r="M510" s="3">
        <f t="shared" si="46"/>
        <v>29.439999999999969</v>
      </c>
      <c r="N510" s="3">
        <v>1.25</v>
      </c>
    </row>
    <row r="511" spans="4:14" ht="15" customHeight="1" x14ac:dyDescent="0.25">
      <c r="D511" s="7"/>
      <c r="G511" s="8"/>
      <c r="H511" s="3" t="s">
        <v>43</v>
      </c>
      <c r="I511" s="3" t="s">
        <v>34</v>
      </c>
      <c r="J511" s="3">
        <f t="shared" si="45"/>
        <v>153072</v>
      </c>
      <c r="K511" s="3">
        <f t="shared" si="44"/>
        <v>153084</v>
      </c>
      <c r="L511" s="3">
        <v>12</v>
      </c>
      <c r="M511" s="3">
        <f t="shared" si="46"/>
        <v>28.189999999999969</v>
      </c>
      <c r="N511" s="3">
        <v>1.25</v>
      </c>
    </row>
    <row r="512" spans="4:14" ht="15" customHeight="1" x14ac:dyDescent="0.25">
      <c r="D512" s="7">
        <v>44762</v>
      </c>
      <c r="H512" s="3" t="s">
        <v>34</v>
      </c>
      <c r="I512" s="3" t="s">
        <v>35</v>
      </c>
      <c r="J512" s="3">
        <f t="shared" si="45"/>
        <v>153084</v>
      </c>
      <c r="K512" s="3">
        <f t="shared" si="44"/>
        <v>153096</v>
      </c>
      <c r="L512" s="3">
        <v>12</v>
      </c>
      <c r="M512" s="3">
        <f t="shared" si="46"/>
        <v>26.939999999999969</v>
      </c>
      <c r="N512" s="3">
        <v>1.25</v>
      </c>
    </row>
    <row r="513" spans="4:14" ht="15" customHeight="1" x14ac:dyDescent="0.25">
      <c r="D513" s="7"/>
      <c r="H513" s="3" t="s">
        <v>35</v>
      </c>
      <c r="I513" s="3" t="s">
        <v>34</v>
      </c>
      <c r="J513" s="3">
        <f t="shared" si="45"/>
        <v>153096</v>
      </c>
      <c r="K513" s="3">
        <f t="shared" si="44"/>
        <v>153108</v>
      </c>
      <c r="L513" s="3">
        <v>12</v>
      </c>
      <c r="M513" s="3">
        <f t="shared" si="46"/>
        <v>25.689999999999969</v>
      </c>
      <c r="N513" s="3">
        <v>1.25</v>
      </c>
    </row>
    <row r="514" spans="4:14" ht="15" customHeight="1" x14ac:dyDescent="0.25">
      <c r="D514" s="7"/>
      <c r="H514" s="3" t="s">
        <v>34</v>
      </c>
      <c r="I514" s="3" t="s">
        <v>36</v>
      </c>
      <c r="J514" s="3">
        <f t="shared" si="45"/>
        <v>153108</v>
      </c>
      <c r="K514" s="3">
        <f t="shared" si="44"/>
        <v>153123</v>
      </c>
      <c r="L514" s="3">
        <v>15</v>
      </c>
      <c r="M514" s="3">
        <f t="shared" si="46"/>
        <v>23.889999999999969</v>
      </c>
      <c r="N514" s="3">
        <v>1.8</v>
      </c>
    </row>
    <row r="515" spans="4:14" ht="15" customHeight="1" x14ac:dyDescent="0.25">
      <c r="D515" s="7"/>
      <c r="H515" s="3" t="s">
        <v>36</v>
      </c>
      <c r="I515" s="3" t="s">
        <v>34</v>
      </c>
      <c r="J515" s="3">
        <f t="shared" si="45"/>
        <v>153123</v>
      </c>
      <c r="K515" s="3">
        <f t="shared" si="44"/>
        <v>153138</v>
      </c>
      <c r="L515" s="3">
        <v>15</v>
      </c>
      <c r="M515" s="3">
        <f t="shared" si="46"/>
        <v>22.089999999999968</v>
      </c>
      <c r="N515" s="3">
        <v>1.8</v>
      </c>
    </row>
    <row r="516" spans="4:14" ht="15" customHeight="1" x14ac:dyDescent="0.25">
      <c r="D516" s="7">
        <v>44763</v>
      </c>
      <c r="H516" s="3" t="s">
        <v>34</v>
      </c>
      <c r="I516" s="3" t="s">
        <v>44</v>
      </c>
      <c r="J516" s="3">
        <f t="shared" si="45"/>
        <v>153138</v>
      </c>
      <c r="K516" s="3">
        <f t="shared" si="44"/>
        <v>153178</v>
      </c>
      <c r="L516" s="3">
        <v>40</v>
      </c>
      <c r="M516" s="3">
        <f t="shared" si="46"/>
        <v>17.289999999999967</v>
      </c>
      <c r="N516" s="3">
        <v>4.8</v>
      </c>
    </row>
    <row r="517" spans="4:14" ht="15" customHeight="1" x14ac:dyDescent="0.25">
      <c r="D517" s="7"/>
      <c r="H517" s="3" t="s">
        <v>44</v>
      </c>
      <c r="I517" s="3" t="s">
        <v>34</v>
      </c>
      <c r="J517" s="3">
        <f t="shared" si="45"/>
        <v>153178</v>
      </c>
      <c r="K517" s="3">
        <f t="shared" si="44"/>
        <v>153218</v>
      </c>
      <c r="L517" s="3">
        <v>40</v>
      </c>
      <c r="M517" s="3">
        <f t="shared" si="46"/>
        <v>12.489999999999966</v>
      </c>
      <c r="N517" s="3">
        <v>4.8</v>
      </c>
    </row>
    <row r="518" spans="4:14" ht="15" customHeight="1" x14ac:dyDescent="0.25">
      <c r="D518" s="7">
        <v>44764</v>
      </c>
      <c r="H518" s="3" t="s">
        <v>34</v>
      </c>
      <c r="I518" s="3" t="s">
        <v>37</v>
      </c>
      <c r="J518" s="3">
        <f t="shared" si="45"/>
        <v>153218</v>
      </c>
      <c r="K518" s="3">
        <f t="shared" si="44"/>
        <v>153258</v>
      </c>
      <c r="L518" s="3">
        <v>40</v>
      </c>
      <c r="M518" s="3">
        <f t="shared" si="46"/>
        <v>7.6899999999999666</v>
      </c>
      <c r="N518" s="3">
        <v>4.8</v>
      </c>
    </row>
    <row r="519" spans="4:14" ht="15" customHeight="1" x14ac:dyDescent="0.25">
      <c r="D519" s="7"/>
      <c r="H519" s="3" t="s">
        <v>37</v>
      </c>
      <c r="I519" s="3" t="s">
        <v>34</v>
      </c>
      <c r="J519" s="3">
        <f t="shared" si="45"/>
        <v>153258</v>
      </c>
      <c r="K519" s="3">
        <f t="shared" si="44"/>
        <v>153298</v>
      </c>
      <c r="L519" s="3">
        <v>40</v>
      </c>
      <c r="M519" s="3">
        <f t="shared" si="46"/>
        <v>2.8899999999999668</v>
      </c>
      <c r="N519" s="3">
        <v>4.8</v>
      </c>
    </row>
    <row r="520" spans="4:14" ht="15" customHeight="1" x14ac:dyDescent="0.25">
      <c r="D520" s="7">
        <v>44767</v>
      </c>
      <c r="H520" s="3" t="s">
        <v>34</v>
      </c>
      <c r="I520" s="3" t="s">
        <v>35</v>
      </c>
      <c r="J520" s="3">
        <f t="shared" si="45"/>
        <v>153298</v>
      </c>
      <c r="K520" s="3">
        <f t="shared" si="44"/>
        <v>153310</v>
      </c>
      <c r="L520" s="3">
        <v>12</v>
      </c>
      <c r="M520" s="3">
        <f t="shared" si="46"/>
        <v>1.6399999999999668</v>
      </c>
      <c r="N520" s="3">
        <v>1.25</v>
      </c>
    </row>
    <row r="521" spans="4:14" ht="15" customHeight="1" x14ac:dyDescent="0.25">
      <c r="D521" s="7"/>
      <c r="H521" s="3" t="s">
        <v>35</v>
      </c>
      <c r="I521" s="3" t="s">
        <v>34</v>
      </c>
      <c r="J521" s="3">
        <f t="shared" si="45"/>
        <v>153310</v>
      </c>
      <c r="K521" s="3">
        <f t="shared" si="44"/>
        <v>153322</v>
      </c>
      <c r="L521" s="3">
        <v>12</v>
      </c>
      <c r="M521" s="3">
        <f t="shared" si="46"/>
        <v>0.38999999999996682</v>
      </c>
      <c r="N521" s="3">
        <v>1.25</v>
      </c>
    </row>
    <row r="522" spans="4:14" ht="15" customHeight="1" x14ac:dyDescent="0.25">
      <c r="D522" s="7">
        <v>44768</v>
      </c>
      <c r="E522">
        <v>29.48</v>
      </c>
      <c r="F522" s="3">
        <v>51.9</v>
      </c>
      <c r="G522" s="8">
        <f>E522*F522</f>
        <v>1530.0119999999999</v>
      </c>
      <c r="H522" s="3" t="s">
        <v>34</v>
      </c>
      <c r="I522" s="3" t="s">
        <v>35</v>
      </c>
      <c r="J522" s="3">
        <f t="shared" si="45"/>
        <v>153322</v>
      </c>
      <c r="K522" s="3">
        <f t="shared" si="44"/>
        <v>153334</v>
      </c>
      <c r="L522" s="3">
        <v>12</v>
      </c>
      <c r="M522" s="3">
        <f t="shared" si="46"/>
        <v>28.619999999999969</v>
      </c>
      <c r="N522" s="3">
        <v>1.25</v>
      </c>
    </row>
    <row r="523" spans="4:14" ht="15" customHeight="1" x14ac:dyDescent="0.25">
      <c r="D523" s="7"/>
      <c r="G523" s="8"/>
      <c r="H523" s="3" t="s">
        <v>35</v>
      </c>
      <c r="I523" s="3" t="s">
        <v>34</v>
      </c>
      <c r="J523" s="3">
        <f t="shared" si="45"/>
        <v>153334</v>
      </c>
      <c r="K523" s="3">
        <f t="shared" si="44"/>
        <v>153346</v>
      </c>
      <c r="L523" s="3">
        <v>12</v>
      </c>
      <c r="M523" s="3">
        <f t="shared" si="46"/>
        <v>27.369999999999969</v>
      </c>
      <c r="N523" s="3">
        <v>1.25</v>
      </c>
    </row>
    <row r="524" spans="4:14" ht="15" customHeight="1" x14ac:dyDescent="0.25">
      <c r="D524" s="7"/>
      <c r="G524" s="8"/>
      <c r="H524" s="3" t="s">
        <v>34</v>
      </c>
      <c r="I524" s="3" t="s">
        <v>44</v>
      </c>
      <c r="J524" s="3">
        <f t="shared" si="45"/>
        <v>153346</v>
      </c>
      <c r="K524" s="3">
        <f t="shared" si="44"/>
        <v>153386</v>
      </c>
      <c r="L524" s="3">
        <v>40</v>
      </c>
      <c r="M524" s="3">
        <f t="shared" si="46"/>
        <v>22.569999999999968</v>
      </c>
      <c r="N524" s="3">
        <v>4.8</v>
      </c>
    </row>
    <row r="525" spans="4:14" ht="15" customHeight="1" x14ac:dyDescent="0.25">
      <c r="D525" s="7"/>
      <c r="G525" s="8"/>
      <c r="H525" s="3" t="s">
        <v>44</v>
      </c>
      <c r="I525" s="3" t="s">
        <v>34</v>
      </c>
      <c r="J525" s="3">
        <f t="shared" si="45"/>
        <v>153386</v>
      </c>
      <c r="K525" s="3">
        <f t="shared" si="44"/>
        <v>153426</v>
      </c>
      <c r="L525" s="3">
        <v>40</v>
      </c>
      <c r="M525" s="3">
        <f t="shared" si="46"/>
        <v>17.769999999999968</v>
      </c>
      <c r="N525" s="3">
        <v>4.8</v>
      </c>
    </row>
    <row r="526" spans="4:14" ht="15" customHeight="1" x14ac:dyDescent="0.25">
      <c r="D526" s="7">
        <v>44769</v>
      </c>
      <c r="H526" s="3" t="s">
        <v>34</v>
      </c>
      <c r="I526" s="3" t="s">
        <v>35</v>
      </c>
      <c r="J526" s="3">
        <f t="shared" si="45"/>
        <v>153426</v>
      </c>
      <c r="K526" s="3">
        <f t="shared" si="44"/>
        <v>153438</v>
      </c>
      <c r="L526" s="3">
        <v>12</v>
      </c>
      <c r="M526" s="3">
        <f t="shared" si="46"/>
        <v>16.519999999999968</v>
      </c>
      <c r="N526" s="3">
        <v>1.25</v>
      </c>
    </row>
    <row r="527" spans="4:14" ht="15" customHeight="1" x14ac:dyDescent="0.25">
      <c r="D527" s="7"/>
      <c r="H527" s="3" t="s">
        <v>35</v>
      </c>
      <c r="I527" s="3" t="s">
        <v>34</v>
      </c>
      <c r="J527" s="3">
        <f t="shared" si="45"/>
        <v>153438</v>
      </c>
      <c r="K527" s="3">
        <f t="shared" si="44"/>
        <v>153450</v>
      </c>
      <c r="L527" s="3">
        <v>12</v>
      </c>
      <c r="M527" s="3">
        <f t="shared" si="46"/>
        <v>15.269999999999968</v>
      </c>
      <c r="N527" s="3">
        <v>1.25</v>
      </c>
    </row>
    <row r="528" spans="4:14" ht="15" customHeight="1" x14ac:dyDescent="0.25">
      <c r="D528" s="7">
        <v>44770</v>
      </c>
      <c r="H528" s="3" t="s">
        <v>34</v>
      </c>
      <c r="I528" s="3" t="s">
        <v>43</v>
      </c>
      <c r="J528" s="3">
        <f t="shared" si="45"/>
        <v>153450</v>
      </c>
      <c r="K528" s="3">
        <f t="shared" si="44"/>
        <v>153462</v>
      </c>
      <c r="L528" s="3">
        <v>12</v>
      </c>
      <c r="M528" s="3">
        <f t="shared" si="46"/>
        <v>14.019999999999968</v>
      </c>
      <c r="N528" s="3">
        <v>1.25</v>
      </c>
    </row>
    <row r="529" spans="4:14" ht="15" customHeight="1" x14ac:dyDescent="0.25">
      <c r="D529" s="7"/>
      <c r="H529" s="3" t="s">
        <v>43</v>
      </c>
      <c r="I529" s="3" t="s">
        <v>34</v>
      </c>
      <c r="J529" s="3">
        <f t="shared" si="45"/>
        <v>153462</v>
      </c>
      <c r="K529" s="3">
        <f t="shared" si="44"/>
        <v>153474</v>
      </c>
      <c r="L529" s="3">
        <v>12</v>
      </c>
      <c r="M529" s="3">
        <f t="shared" si="46"/>
        <v>12.769999999999968</v>
      </c>
      <c r="N529" s="3">
        <v>1.25</v>
      </c>
    </row>
    <row r="530" spans="4:14" ht="15" customHeight="1" x14ac:dyDescent="0.25">
      <c r="D530" s="7"/>
      <c r="H530" s="3" t="s">
        <v>34</v>
      </c>
      <c r="I530" s="3" t="s">
        <v>24</v>
      </c>
      <c r="J530" s="3">
        <f t="shared" si="45"/>
        <v>153474</v>
      </c>
      <c r="K530" s="3">
        <f t="shared" si="44"/>
        <v>153488</v>
      </c>
      <c r="L530" s="3">
        <v>14</v>
      </c>
      <c r="M530" s="3">
        <f t="shared" si="46"/>
        <v>11.269999999999968</v>
      </c>
      <c r="N530" s="3">
        <v>1.5</v>
      </c>
    </row>
    <row r="531" spans="4:14" ht="15" customHeight="1" x14ac:dyDescent="0.25">
      <c r="D531" s="7"/>
      <c r="H531" s="3" t="s">
        <v>24</v>
      </c>
      <c r="I531" s="3" t="s">
        <v>34</v>
      </c>
      <c r="J531" s="3">
        <f t="shared" si="45"/>
        <v>153488</v>
      </c>
      <c r="K531" s="3">
        <f t="shared" si="44"/>
        <v>153502</v>
      </c>
      <c r="L531" s="3">
        <v>14</v>
      </c>
      <c r="M531" s="3">
        <f t="shared" si="46"/>
        <v>9.7699999999999676</v>
      </c>
      <c r="N531" s="3">
        <v>1.5</v>
      </c>
    </row>
    <row r="532" spans="4:14" ht="15" customHeight="1" x14ac:dyDescent="0.25">
      <c r="D532" s="7">
        <v>44771</v>
      </c>
      <c r="E532">
        <v>30.64</v>
      </c>
      <c r="F532" s="3">
        <v>51.6</v>
      </c>
      <c r="G532" s="8">
        <f>E532*F532</f>
        <v>1581.0240000000001</v>
      </c>
      <c r="H532" s="3" t="s">
        <v>34</v>
      </c>
      <c r="I532" s="3" t="s">
        <v>36</v>
      </c>
      <c r="J532" s="3">
        <f t="shared" si="45"/>
        <v>153502</v>
      </c>
      <c r="K532" s="3">
        <f t="shared" si="44"/>
        <v>153517</v>
      </c>
      <c r="L532" s="3">
        <v>15</v>
      </c>
      <c r="M532" s="3">
        <f t="shared" si="46"/>
        <v>38.609999999999971</v>
      </c>
      <c r="N532" s="3">
        <v>1.8</v>
      </c>
    </row>
    <row r="533" spans="4:14" ht="15" customHeight="1" x14ac:dyDescent="0.25">
      <c r="D533" s="7"/>
      <c r="G533" s="8"/>
      <c r="H533" s="3" t="s">
        <v>36</v>
      </c>
      <c r="I533" s="3" t="s">
        <v>34</v>
      </c>
      <c r="J533" s="3">
        <f t="shared" si="45"/>
        <v>153517</v>
      </c>
      <c r="K533" s="3">
        <f t="shared" si="44"/>
        <v>153532</v>
      </c>
      <c r="L533" s="3">
        <v>15</v>
      </c>
      <c r="M533" s="3">
        <f t="shared" si="46"/>
        <v>36.809999999999974</v>
      </c>
      <c r="N533" s="3">
        <v>1.8</v>
      </c>
    </row>
    <row r="534" spans="4:14" ht="15" customHeight="1" x14ac:dyDescent="0.25">
      <c r="D534" s="7"/>
      <c r="G534" s="8"/>
      <c r="H534" s="3" t="s">
        <v>34</v>
      </c>
      <c r="I534" s="3" t="s">
        <v>44</v>
      </c>
      <c r="J534" s="3">
        <f t="shared" si="45"/>
        <v>153532</v>
      </c>
      <c r="K534" s="3">
        <f t="shared" si="44"/>
        <v>153572</v>
      </c>
      <c r="L534" s="3">
        <v>40</v>
      </c>
      <c r="M534" s="3">
        <f t="shared" si="46"/>
        <v>32.009999999999977</v>
      </c>
      <c r="N534" s="3">
        <v>4.8</v>
      </c>
    </row>
    <row r="535" spans="4:14" ht="15" customHeight="1" x14ac:dyDescent="0.25">
      <c r="D535" s="7"/>
      <c r="G535" s="8"/>
      <c r="H535" s="3" t="s">
        <v>44</v>
      </c>
      <c r="I535" s="3" t="s">
        <v>34</v>
      </c>
      <c r="J535" s="3">
        <f t="shared" si="45"/>
        <v>153572</v>
      </c>
      <c r="K535" s="3">
        <f t="shared" si="44"/>
        <v>153612</v>
      </c>
      <c r="L535" s="3">
        <v>40</v>
      </c>
      <c r="M535" s="3">
        <f t="shared" si="46"/>
        <v>27.209999999999976</v>
      </c>
      <c r="N535" s="3">
        <v>4.8</v>
      </c>
    </row>
    <row r="536" spans="4:14" ht="15" customHeight="1" x14ac:dyDescent="0.25">
      <c r="D536" s="7"/>
      <c r="G536" s="8"/>
      <c r="H536" s="3" t="s">
        <v>34</v>
      </c>
      <c r="I536" s="3" t="s">
        <v>45</v>
      </c>
      <c r="J536" s="3">
        <f t="shared" si="45"/>
        <v>153612</v>
      </c>
      <c r="K536" s="3">
        <f t="shared" si="44"/>
        <v>153639</v>
      </c>
      <c r="L536" s="3">
        <v>27</v>
      </c>
      <c r="M536" s="3">
        <f t="shared" si="46"/>
        <v>24.009999999999977</v>
      </c>
      <c r="N536" s="3">
        <v>3.2</v>
      </c>
    </row>
    <row r="537" spans="4:14" ht="15" customHeight="1" x14ac:dyDescent="0.25">
      <c r="D537" s="7"/>
      <c r="H537" s="3" t="s">
        <v>45</v>
      </c>
      <c r="I537" s="3" t="s">
        <v>34</v>
      </c>
      <c r="J537" s="3">
        <f t="shared" si="45"/>
        <v>153639</v>
      </c>
      <c r="K537" s="3">
        <f t="shared" si="44"/>
        <v>153666</v>
      </c>
      <c r="L537" s="3">
        <v>27</v>
      </c>
      <c r="M537" s="3">
        <f t="shared" si="46"/>
        <v>20.809999999999977</v>
      </c>
      <c r="N537" s="3">
        <v>3.2</v>
      </c>
    </row>
    <row r="538" spans="4:14" ht="15" customHeight="1" x14ac:dyDescent="0.25">
      <c r="D538" s="2" t="s">
        <v>48</v>
      </c>
      <c r="E538" s="2"/>
      <c r="F538" s="2"/>
      <c r="G538" s="2"/>
    </row>
    <row r="539" spans="4:14" ht="15" customHeight="1" x14ac:dyDescent="0.25">
      <c r="D539" s="13">
        <v>44774</v>
      </c>
      <c r="E539">
        <v>9.61</v>
      </c>
      <c r="F539" s="3">
        <v>51.9</v>
      </c>
      <c r="G539" s="8">
        <f>E539*F539</f>
        <v>498.75899999999996</v>
      </c>
      <c r="H539" s="3" t="s">
        <v>34</v>
      </c>
      <c r="I539" s="3" t="s">
        <v>35</v>
      </c>
      <c r="J539" s="3">
        <f>K537</f>
        <v>153666</v>
      </c>
      <c r="K539" s="3">
        <f t="shared" ref="K539:K570" si="47">J539+L539</f>
        <v>153678</v>
      </c>
      <c r="L539" s="3">
        <v>12</v>
      </c>
      <c r="M539" s="3">
        <f>(E539+M537)-N539</f>
        <v>29.169999999999977</v>
      </c>
      <c r="N539" s="3">
        <v>1.25</v>
      </c>
    </row>
    <row r="540" spans="4:14" ht="15" customHeight="1" x14ac:dyDescent="0.25">
      <c r="H540" s="3" t="s">
        <v>35</v>
      </c>
      <c r="I540" s="3" t="s">
        <v>34</v>
      </c>
      <c r="J540" s="3">
        <f t="shared" ref="J540:J571" si="48">K539</f>
        <v>153678</v>
      </c>
      <c r="K540" s="3">
        <f t="shared" si="47"/>
        <v>153690</v>
      </c>
      <c r="L540" s="3">
        <v>12</v>
      </c>
      <c r="M540" s="3">
        <f t="shared" ref="M540:M571" si="49">(E540+M539)-N540</f>
        <v>27.919999999999977</v>
      </c>
      <c r="N540" s="3">
        <v>1.25</v>
      </c>
    </row>
    <row r="541" spans="4:14" ht="15" customHeight="1" x14ac:dyDescent="0.25">
      <c r="H541" s="3" t="s">
        <v>34</v>
      </c>
      <c r="I541" s="3" t="s">
        <v>37</v>
      </c>
      <c r="J541" s="3">
        <f t="shared" si="48"/>
        <v>153690</v>
      </c>
      <c r="K541" s="3">
        <f t="shared" si="47"/>
        <v>153730</v>
      </c>
      <c r="L541" s="3">
        <v>40</v>
      </c>
      <c r="M541" s="3">
        <f t="shared" si="49"/>
        <v>23.119999999999976</v>
      </c>
      <c r="N541" s="3">
        <v>4.8</v>
      </c>
    </row>
    <row r="542" spans="4:14" ht="15" customHeight="1" x14ac:dyDescent="0.25">
      <c r="H542" s="3" t="s">
        <v>37</v>
      </c>
      <c r="I542" s="3" t="s">
        <v>34</v>
      </c>
      <c r="J542" s="3">
        <f t="shared" si="48"/>
        <v>153730</v>
      </c>
      <c r="K542" s="3">
        <f t="shared" si="47"/>
        <v>153770</v>
      </c>
      <c r="L542" s="3">
        <v>40</v>
      </c>
      <c r="M542" s="3">
        <f t="shared" si="49"/>
        <v>18.319999999999975</v>
      </c>
      <c r="N542" s="3">
        <v>4.8</v>
      </c>
    </row>
    <row r="543" spans="4:14" ht="15" customHeight="1" x14ac:dyDescent="0.25">
      <c r="D543" s="13">
        <v>44775</v>
      </c>
      <c r="H543" s="3" t="s">
        <v>34</v>
      </c>
      <c r="I543" s="3" t="s">
        <v>36</v>
      </c>
      <c r="J543" s="3">
        <f t="shared" si="48"/>
        <v>153770</v>
      </c>
      <c r="K543" s="3">
        <f t="shared" si="47"/>
        <v>153785</v>
      </c>
      <c r="L543" s="3">
        <v>15</v>
      </c>
      <c r="M543" s="3">
        <f t="shared" si="49"/>
        <v>16.519999999999975</v>
      </c>
      <c r="N543" s="3">
        <v>1.8</v>
      </c>
    </row>
    <row r="544" spans="4:14" ht="15" customHeight="1" x14ac:dyDescent="0.25">
      <c r="D544" s="13"/>
      <c r="H544" s="3" t="s">
        <v>36</v>
      </c>
      <c r="I544" s="3" t="s">
        <v>34</v>
      </c>
      <c r="J544" s="3">
        <f t="shared" si="48"/>
        <v>153785</v>
      </c>
      <c r="K544" s="3">
        <f t="shared" si="47"/>
        <v>153800</v>
      </c>
      <c r="L544" s="3">
        <v>15</v>
      </c>
      <c r="M544" s="3">
        <f t="shared" si="49"/>
        <v>14.719999999999974</v>
      </c>
      <c r="N544" s="3">
        <v>1.8</v>
      </c>
    </row>
    <row r="545" spans="4:14" ht="15" customHeight="1" x14ac:dyDescent="0.25">
      <c r="D545" s="13"/>
      <c r="H545" s="3" t="s">
        <v>34</v>
      </c>
      <c r="I545" s="3" t="s">
        <v>44</v>
      </c>
      <c r="J545" s="3">
        <f t="shared" si="48"/>
        <v>153800</v>
      </c>
      <c r="K545" s="3">
        <f t="shared" si="47"/>
        <v>153840</v>
      </c>
      <c r="L545" s="3">
        <v>40</v>
      </c>
      <c r="M545" s="3">
        <f t="shared" si="49"/>
        <v>9.9199999999999733</v>
      </c>
      <c r="N545" s="3">
        <v>4.8</v>
      </c>
    </row>
    <row r="546" spans="4:14" ht="15" customHeight="1" x14ac:dyDescent="0.25">
      <c r="D546" s="13"/>
      <c r="H546" s="3" t="s">
        <v>44</v>
      </c>
      <c r="I546" s="3" t="s">
        <v>34</v>
      </c>
      <c r="J546" s="3">
        <f t="shared" si="48"/>
        <v>153840</v>
      </c>
      <c r="K546" s="3">
        <f t="shared" si="47"/>
        <v>153880</v>
      </c>
      <c r="L546" s="3">
        <v>40</v>
      </c>
      <c r="M546" s="3">
        <f t="shared" si="49"/>
        <v>5.1199999999999735</v>
      </c>
      <c r="N546" s="3">
        <v>4.8</v>
      </c>
    </row>
    <row r="547" spans="4:14" ht="15" customHeight="1" x14ac:dyDescent="0.25">
      <c r="D547" s="13">
        <v>44776</v>
      </c>
      <c r="E547">
        <v>31.04</v>
      </c>
      <c r="F547" s="3">
        <v>51.9</v>
      </c>
      <c r="G547" s="8">
        <f>E547*F547</f>
        <v>1610.9759999999999</v>
      </c>
      <c r="H547" s="3" t="s">
        <v>34</v>
      </c>
      <c r="I547" s="3" t="s">
        <v>39</v>
      </c>
      <c r="J547" s="3">
        <f t="shared" si="48"/>
        <v>153880</v>
      </c>
      <c r="K547" s="3">
        <f t="shared" si="47"/>
        <v>153930</v>
      </c>
      <c r="L547" s="3">
        <v>50</v>
      </c>
      <c r="M547" s="3">
        <f t="shared" si="49"/>
        <v>30.659999999999975</v>
      </c>
      <c r="N547" s="3">
        <v>5.5</v>
      </c>
    </row>
    <row r="548" spans="4:14" ht="15" customHeight="1" x14ac:dyDescent="0.25">
      <c r="D548" s="13"/>
      <c r="G548" s="8"/>
      <c r="H548" s="3" t="s">
        <v>39</v>
      </c>
      <c r="I548" s="3" t="s">
        <v>34</v>
      </c>
      <c r="J548" s="3">
        <f t="shared" si="48"/>
        <v>153930</v>
      </c>
      <c r="K548" s="3">
        <f t="shared" si="47"/>
        <v>153980</v>
      </c>
      <c r="L548" s="3">
        <v>50</v>
      </c>
      <c r="M548" s="3">
        <f t="shared" si="49"/>
        <v>25.159999999999975</v>
      </c>
      <c r="N548" s="3">
        <v>5.5</v>
      </c>
    </row>
    <row r="549" spans="4:14" ht="15" customHeight="1" x14ac:dyDescent="0.25">
      <c r="D549" s="13">
        <v>44777</v>
      </c>
      <c r="H549" s="3" t="s">
        <v>34</v>
      </c>
      <c r="I549" s="3" t="s">
        <v>49</v>
      </c>
      <c r="J549" s="3">
        <f t="shared" si="48"/>
        <v>153980</v>
      </c>
      <c r="K549" s="3">
        <f t="shared" si="47"/>
        <v>154007</v>
      </c>
      <c r="L549" s="3">
        <v>27</v>
      </c>
      <c r="M549" s="3">
        <f t="shared" si="49"/>
        <v>21.959999999999976</v>
      </c>
      <c r="N549" s="3">
        <v>3.2</v>
      </c>
    </row>
    <row r="550" spans="4:14" ht="15" customHeight="1" x14ac:dyDescent="0.25">
      <c r="D550" s="13"/>
      <c r="H550" s="3" t="s">
        <v>49</v>
      </c>
      <c r="I550" s="3" t="s">
        <v>34</v>
      </c>
      <c r="J550" s="3">
        <f t="shared" si="48"/>
        <v>154007</v>
      </c>
      <c r="K550" s="3">
        <f t="shared" si="47"/>
        <v>154034</v>
      </c>
      <c r="L550" s="3">
        <v>27</v>
      </c>
      <c r="M550" s="3">
        <f t="shared" si="49"/>
        <v>18.759999999999977</v>
      </c>
      <c r="N550" s="3">
        <v>3.2</v>
      </c>
    </row>
    <row r="551" spans="4:14" ht="15" customHeight="1" x14ac:dyDescent="0.25">
      <c r="D551" s="13"/>
      <c r="H551" s="3" t="s">
        <v>34</v>
      </c>
      <c r="I551" s="3" t="s">
        <v>36</v>
      </c>
      <c r="J551" s="3">
        <f t="shared" si="48"/>
        <v>154034</v>
      </c>
      <c r="K551" s="3">
        <f t="shared" si="47"/>
        <v>154049</v>
      </c>
      <c r="L551" s="3">
        <v>15</v>
      </c>
      <c r="M551" s="3">
        <f t="shared" si="49"/>
        <v>16.959999999999976</v>
      </c>
      <c r="N551" s="3">
        <v>1.8</v>
      </c>
    </row>
    <row r="552" spans="4:14" ht="15" customHeight="1" x14ac:dyDescent="0.25">
      <c r="D552" s="13"/>
      <c r="H552" s="3" t="s">
        <v>36</v>
      </c>
      <c r="I552" s="3" t="s">
        <v>34</v>
      </c>
      <c r="J552" s="3">
        <f t="shared" si="48"/>
        <v>154049</v>
      </c>
      <c r="K552" s="3">
        <f t="shared" si="47"/>
        <v>154064</v>
      </c>
      <c r="L552" s="3">
        <v>15</v>
      </c>
      <c r="M552" s="3">
        <f t="shared" si="49"/>
        <v>15.159999999999975</v>
      </c>
      <c r="N552" s="3">
        <v>1.8</v>
      </c>
    </row>
    <row r="553" spans="4:14" ht="15" customHeight="1" x14ac:dyDescent="0.25">
      <c r="D553" s="13"/>
      <c r="H553" s="3" t="s">
        <v>34</v>
      </c>
      <c r="I553" s="3" t="s">
        <v>24</v>
      </c>
      <c r="J553" s="3">
        <f t="shared" si="48"/>
        <v>154064</v>
      </c>
      <c r="K553" s="3">
        <f t="shared" si="47"/>
        <v>154078</v>
      </c>
      <c r="L553" s="3">
        <v>14</v>
      </c>
      <c r="M553" s="3">
        <f t="shared" si="49"/>
        <v>13.659999999999975</v>
      </c>
      <c r="N553" s="3">
        <v>1.5</v>
      </c>
    </row>
    <row r="554" spans="4:14" ht="15" customHeight="1" x14ac:dyDescent="0.25">
      <c r="D554" s="13"/>
      <c r="H554" s="3" t="s">
        <v>24</v>
      </c>
      <c r="I554" s="3" t="s">
        <v>34</v>
      </c>
      <c r="J554" s="3">
        <f t="shared" si="48"/>
        <v>154078</v>
      </c>
      <c r="K554" s="3">
        <f t="shared" si="47"/>
        <v>154092</v>
      </c>
      <c r="L554" s="3">
        <v>14</v>
      </c>
      <c r="M554" s="3">
        <f t="shared" si="49"/>
        <v>12.159999999999975</v>
      </c>
      <c r="N554" s="3">
        <v>1.5</v>
      </c>
    </row>
    <row r="555" spans="4:14" ht="15" customHeight="1" x14ac:dyDescent="0.25">
      <c r="D555" s="13">
        <v>44778</v>
      </c>
      <c r="E555">
        <v>31.39</v>
      </c>
      <c r="F555" s="3">
        <v>51.9</v>
      </c>
      <c r="G555" s="8">
        <f>E555*F555</f>
        <v>1629.1410000000001</v>
      </c>
      <c r="H555" s="3" t="s">
        <v>34</v>
      </c>
      <c r="I555" s="3" t="s">
        <v>35</v>
      </c>
      <c r="J555" s="3">
        <f t="shared" si="48"/>
        <v>154092</v>
      </c>
      <c r="K555" s="3">
        <f t="shared" si="47"/>
        <v>154104</v>
      </c>
      <c r="L555" s="3">
        <v>12</v>
      </c>
      <c r="M555" s="3">
        <f t="shared" si="49"/>
        <v>42.299999999999976</v>
      </c>
      <c r="N555" s="3">
        <v>1.25</v>
      </c>
    </row>
    <row r="556" spans="4:14" ht="15" customHeight="1" x14ac:dyDescent="0.25">
      <c r="D556" s="13"/>
      <c r="G556" s="8"/>
      <c r="H556" s="3" t="s">
        <v>35</v>
      </c>
      <c r="I556" s="3" t="s">
        <v>34</v>
      </c>
      <c r="J556" s="3">
        <f t="shared" si="48"/>
        <v>154104</v>
      </c>
      <c r="K556" s="3">
        <f t="shared" si="47"/>
        <v>154116</v>
      </c>
      <c r="L556" s="3">
        <v>12</v>
      </c>
      <c r="M556" s="3">
        <f t="shared" si="49"/>
        <v>41.049999999999976</v>
      </c>
      <c r="N556" s="3">
        <v>1.25</v>
      </c>
    </row>
    <row r="557" spans="4:14" ht="15" customHeight="1" x14ac:dyDescent="0.25">
      <c r="D557" s="13"/>
      <c r="G557" s="8"/>
      <c r="H557" s="3" t="s">
        <v>34</v>
      </c>
      <c r="I557" s="3" t="s">
        <v>44</v>
      </c>
      <c r="J557" s="3">
        <f t="shared" si="48"/>
        <v>154116</v>
      </c>
      <c r="K557" s="3">
        <f t="shared" si="47"/>
        <v>154156</v>
      </c>
      <c r="L557" s="3">
        <v>40</v>
      </c>
      <c r="M557" s="3">
        <f t="shared" si="49"/>
        <v>36.249999999999979</v>
      </c>
      <c r="N557" s="3">
        <v>4.8</v>
      </c>
    </row>
    <row r="558" spans="4:14" ht="15" customHeight="1" x14ac:dyDescent="0.25">
      <c r="D558" s="13"/>
      <c r="G558" s="8"/>
      <c r="H558" s="3" t="s">
        <v>44</v>
      </c>
      <c r="I558" s="3" t="s">
        <v>34</v>
      </c>
      <c r="J558" s="3">
        <f t="shared" si="48"/>
        <v>154156</v>
      </c>
      <c r="K558" s="3">
        <f t="shared" si="47"/>
        <v>154196</v>
      </c>
      <c r="L558" s="3">
        <v>40</v>
      </c>
      <c r="M558" s="3">
        <f t="shared" si="49"/>
        <v>31.449999999999978</v>
      </c>
      <c r="N558" s="3">
        <v>4.8</v>
      </c>
    </row>
    <row r="559" spans="4:14" ht="15" customHeight="1" x14ac:dyDescent="0.25">
      <c r="D559" s="13"/>
      <c r="G559" s="8"/>
      <c r="H559" s="3" t="s">
        <v>34</v>
      </c>
      <c r="I559" s="3" t="s">
        <v>36</v>
      </c>
      <c r="J559" s="3">
        <f t="shared" si="48"/>
        <v>154196</v>
      </c>
      <c r="K559" s="3">
        <f t="shared" si="47"/>
        <v>154211</v>
      </c>
      <c r="L559" s="3">
        <v>15</v>
      </c>
      <c r="M559" s="3">
        <f t="shared" si="49"/>
        <v>29.649999999999977</v>
      </c>
      <c r="N559" s="3">
        <v>1.8</v>
      </c>
    </row>
    <row r="560" spans="4:14" ht="15" customHeight="1" x14ac:dyDescent="0.25">
      <c r="D560" s="13"/>
      <c r="G560" s="8"/>
      <c r="H560" s="3" t="s">
        <v>36</v>
      </c>
      <c r="I560" s="3" t="s">
        <v>34</v>
      </c>
      <c r="J560" s="3">
        <f t="shared" si="48"/>
        <v>154211</v>
      </c>
      <c r="K560" s="3">
        <f t="shared" si="47"/>
        <v>154226</v>
      </c>
      <c r="L560" s="3">
        <v>15</v>
      </c>
      <c r="M560" s="3">
        <f t="shared" si="49"/>
        <v>27.849999999999977</v>
      </c>
      <c r="N560" s="3">
        <v>1.8</v>
      </c>
    </row>
    <row r="561" spans="4:14" ht="15" customHeight="1" x14ac:dyDescent="0.25">
      <c r="D561" s="13">
        <v>44781</v>
      </c>
      <c r="H561" s="3" t="s">
        <v>34</v>
      </c>
      <c r="I561" s="3" t="s">
        <v>37</v>
      </c>
      <c r="J561" s="3">
        <f t="shared" si="48"/>
        <v>154226</v>
      </c>
      <c r="K561" s="3">
        <f t="shared" si="47"/>
        <v>154266</v>
      </c>
      <c r="L561" s="3">
        <v>40</v>
      </c>
      <c r="M561" s="3">
        <f t="shared" si="49"/>
        <v>23.049999999999976</v>
      </c>
      <c r="N561" s="3">
        <v>4.8</v>
      </c>
    </row>
    <row r="562" spans="4:14" ht="15" customHeight="1" x14ac:dyDescent="0.25">
      <c r="D562" s="13"/>
      <c r="H562" s="3" t="s">
        <v>37</v>
      </c>
      <c r="I562" s="3" t="s">
        <v>34</v>
      </c>
      <c r="J562" s="3">
        <f t="shared" si="48"/>
        <v>154266</v>
      </c>
      <c r="K562" s="3">
        <f t="shared" si="47"/>
        <v>154306</v>
      </c>
      <c r="L562" s="3">
        <v>40</v>
      </c>
      <c r="M562" s="3">
        <f t="shared" si="49"/>
        <v>18.249999999999975</v>
      </c>
      <c r="N562" s="3">
        <v>4.8</v>
      </c>
    </row>
    <row r="563" spans="4:14" ht="15" customHeight="1" x14ac:dyDescent="0.25">
      <c r="D563" s="13"/>
      <c r="H563" s="3" t="s">
        <v>34</v>
      </c>
      <c r="I563" s="3" t="s">
        <v>24</v>
      </c>
      <c r="J563" s="3">
        <f t="shared" si="48"/>
        <v>154306</v>
      </c>
      <c r="K563" s="3">
        <f t="shared" si="47"/>
        <v>154320</v>
      </c>
      <c r="L563" s="3">
        <v>14</v>
      </c>
      <c r="M563" s="3">
        <f t="shared" si="49"/>
        <v>16.749999999999975</v>
      </c>
      <c r="N563" s="3">
        <v>1.5</v>
      </c>
    </row>
    <row r="564" spans="4:14" ht="15" customHeight="1" x14ac:dyDescent="0.25">
      <c r="D564" s="13"/>
      <c r="H564" s="3" t="s">
        <v>24</v>
      </c>
      <c r="I564" s="3" t="s">
        <v>34</v>
      </c>
      <c r="J564" s="3">
        <f t="shared" si="48"/>
        <v>154320</v>
      </c>
      <c r="K564" s="3">
        <f t="shared" si="47"/>
        <v>154334</v>
      </c>
      <c r="L564" s="3">
        <v>14</v>
      </c>
      <c r="M564" s="3">
        <f t="shared" si="49"/>
        <v>15.249999999999975</v>
      </c>
      <c r="N564" s="3">
        <v>1.5</v>
      </c>
    </row>
    <row r="565" spans="4:14" ht="15" customHeight="1" x14ac:dyDescent="0.25">
      <c r="D565" s="13"/>
      <c r="H565" s="3" t="s">
        <v>34</v>
      </c>
      <c r="I565" s="3" t="s">
        <v>36</v>
      </c>
      <c r="J565" s="3">
        <f t="shared" si="48"/>
        <v>154334</v>
      </c>
      <c r="K565" s="3">
        <f t="shared" si="47"/>
        <v>154349</v>
      </c>
      <c r="L565" s="3">
        <v>15</v>
      </c>
      <c r="M565" s="3">
        <f t="shared" si="49"/>
        <v>13.449999999999974</v>
      </c>
      <c r="N565" s="3">
        <v>1.8</v>
      </c>
    </row>
    <row r="566" spans="4:14" ht="15" customHeight="1" x14ac:dyDescent="0.25">
      <c r="D566" s="13"/>
      <c r="H566" s="3" t="s">
        <v>36</v>
      </c>
      <c r="I566" s="3" t="s">
        <v>34</v>
      </c>
      <c r="J566" s="3">
        <f t="shared" si="48"/>
        <v>154349</v>
      </c>
      <c r="K566" s="3">
        <f t="shared" si="47"/>
        <v>154364</v>
      </c>
      <c r="L566" s="3">
        <v>15</v>
      </c>
      <c r="M566" s="3">
        <f t="shared" si="49"/>
        <v>11.649999999999974</v>
      </c>
      <c r="N566" s="3">
        <v>1.8</v>
      </c>
    </row>
    <row r="567" spans="4:14" ht="15" customHeight="1" x14ac:dyDescent="0.25">
      <c r="D567" s="13">
        <v>44782</v>
      </c>
      <c r="E567">
        <v>31.78</v>
      </c>
      <c r="F567" s="3">
        <v>51.45</v>
      </c>
      <c r="G567" s="8">
        <f>E567*F567</f>
        <v>1635.0810000000001</v>
      </c>
      <c r="H567" s="3" t="s">
        <v>34</v>
      </c>
      <c r="I567" s="3" t="s">
        <v>35</v>
      </c>
      <c r="J567" s="3">
        <f t="shared" si="48"/>
        <v>154364</v>
      </c>
      <c r="K567" s="3">
        <f t="shared" si="47"/>
        <v>154376</v>
      </c>
      <c r="L567" s="3">
        <v>12</v>
      </c>
      <c r="M567" s="3">
        <f t="shared" si="49"/>
        <v>42.179999999999978</v>
      </c>
      <c r="N567" s="3">
        <v>1.25</v>
      </c>
    </row>
    <row r="568" spans="4:14" ht="15" customHeight="1" x14ac:dyDescent="0.25">
      <c r="D568" s="13"/>
      <c r="G568" s="8"/>
      <c r="H568" s="3" t="s">
        <v>35</v>
      </c>
      <c r="I568" s="3" t="s">
        <v>34</v>
      </c>
      <c r="J568" s="3">
        <f t="shared" si="48"/>
        <v>154376</v>
      </c>
      <c r="K568" s="3">
        <f t="shared" si="47"/>
        <v>154388</v>
      </c>
      <c r="L568" s="3">
        <v>12</v>
      </c>
      <c r="M568" s="3">
        <f t="shared" si="49"/>
        <v>40.929999999999978</v>
      </c>
      <c r="N568" s="3">
        <v>1.25</v>
      </c>
    </row>
    <row r="569" spans="4:14" ht="15" customHeight="1" x14ac:dyDescent="0.25">
      <c r="D569" s="13"/>
      <c r="G569" s="8"/>
      <c r="H569" s="3" t="s">
        <v>34</v>
      </c>
      <c r="I569" s="3" t="s">
        <v>44</v>
      </c>
      <c r="J569" s="3">
        <f t="shared" si="48"/>
        <v>154388</v>
      </c>
      <c r="K569" s="3">
        <f t="shared" si="47"/>
        <v>154428</v>
      </c>
      <c r="L569" s="3">
        <v>40</v>
      </c>
      <c r="M569" s="3">
        <f t="shared" si="49"/>
        <v>36.129999999999981</v>
      </c>
      <c r="N569" s="3">
        <v>4.8</v>
      </c>
    </row>
    <row r="570" spans="4:14" ht="15" customHeight="1" x14ac:dyDescent="0.25">
      <c r="D570" s="13"/>
      <c r="G570" s="8"/>
      <c r="H570" s="3" t="s">
        <v>44</v>
      </c>
      <c r="I570" s="3" t="s">
        <v>34</v>
      </c>
      <c r="J570" s="3">
        <f t="shared" si="48"/>
        <v>154428</v>
      </c>
      <c r="K570" s="3">
        <f t="shared" si="47"/>
        <v>154468</v>
      </c>
      <c r="L570" s="3">
        <v>40</v>
      </c>
      <c r="M570" s="3">
        <f t="shared" si="49"/>
        <v>31.329999999999981</v>
      </c>
      <c r="N570" s="3">
        <v>4.8</v>
      </c>
    </row>
    <row r="571" spans="4:14" ht="15" customHeight="1" x14ac:dyDescent="0.25">
      <c r="D571" s="13">
        <v>44783</v>
      </c>
      <c r="H571" s="3" t="s">
        <v>34</v>
      </c>
      <c r="I571" s="3" t="s">
        <v>35</v>
      </c>
      <c r="J571" s="3">
        <f t="shared" si="48"/>
        <v>154468</v>
      </c>
      <c r="K571" s="3">
        <f t="shared" ref="K571:K602" si="50">J571+L571</f>
        <v>154480</v>
      </c>
      <c r="L571" s="3">
        <v>12</v>
      </c>
      <c r="M571" s="3">
        <f t="shared" si="49"/>
        <v>30.079999999999981</v>
      </c>
      <c r="N571" s="3">
        <v>1.25</v>
      </c>
    </row>
    <row r="572" spans="4:14" ht="15" customHeight="1" x14ac:dyDescent="0.25">
      <c r="D572" s="13"/>
      <c r="H572" s="3" t="s">
        <v>35</v>
      </c>
      <c r="I572" s="3" t="s">
        <v>34</v>
      </c>
      <c r="J572" s="3">
        <f t="shared" ref="J572:J602" si="51">K571</f>
        <v>154480</v>
      </c>
      <c r="K572" s="3">
        <f t="shared" si="50"/>
        <v>154492</v>
      </c>
      <c r="L572" s="3">
        <v>12</v>
      </c>
      <c r="M572" s="3">
        <f t="shared" ref="M572:M603" si="52">(E572+M571)-N572</f>
        <v>28.829999999999981</v>
      </c>
      <c r="N572" s="3">
        <v>1.25</v>
      </c>
    </row>
    <row r="573" spans="4:14" ht="15" customHeight="1" x14ac:dyDescent="0.25">
      <c r="D573" s="13">
        <v>44784</v>
      </c>
      <c r="H573" s="3" t="s">
        <v>34</v>
      </c>
      <c r="I573" s="3" t="s">
        <v>35</v>
      </c>
      <c r="J573" s="3">
        <f t="shared" si="51"/>
        <v>154492</v>
      </c>
      <c r="K573" s="3">
        <f t="shared" si="50"/>
        <v>154504</v>
      </c>
      <c r="L573" s="3">
        <v>12</v>
      </c>
      <c r="M573" s="3">
        <f t="shared" si="52"/>
        <v>27.579999999999981</v>
      </c>
      <c r="N573" s="3">
        <v>1.25</v>
      </c>
    </row>
    <row r="574" spans="4:14" ht="15" customHeight="1" x14ac:dyDescent="0.25">
      <c r="D574" s="13"/>
      <c r="H574" s="3" t="s">
        <v>35</v>
      </c>
      <c r="I574" s="3" t="s">
        <v>34</v>
      </c>
      <c r="J574" s="3">
        <f t="shared" si="51"/>
        <v>154504</v>
      </c>
      <c r="K574" s="3">
        <f t="shared" si="50"/>
        <v>154516</v>
      </c>
      <c r="L574" s="3">
        <v>12</v>
      </c>
      <c r="M574" s="3">
        <f t="shared" si="52"/>
        <v>26.329999999999981</v>
      </c>
      <c r="N574" s="3">
        <v>1.25</v>
      </c>
    </row>
    <row r="575" spans="4:14" ht="15" customHeight="1" x14ac:dyDescent="0.25">
      <c r="D575" s="13">
        <v>44785</v>
      </c>
      <c r="H575" s="3" t="s">
        <v>34</v>
      </c>
      <c r="I575" s="3" t="s">
        <v>36</v>
      </c>
      <c r="J575" s="3">
        <f t="shared" si="51"/>
        <v>154516</v>
      </c>
      <c r="K575" s="3">
        <f t="shared" si="50"/>
        <v>154531</v>
      </c>
      <c r="L575" s="3">
        <v>15</v>
      </c>
      <c r="M575" s="3">
        <f t="shared" si="52"/>
        <v>24.52999999999998</v>
      </c>
      <c r="N575" s="3">
        <v>1.8</v>
      </c>
    </row>
    <row r="576" spans="4:14" ht="15" customHeight="1" x14ac:dyDescent="0.25">
      <c r="D576" s="13"/>
      <c r="H576" s="3" t="s">
        <v>36</v>
      </c>
      <c r="I576" s="3" t="s">
        <v>34</v>
      </c>
      <c r="J576" s="3">
        <f t="shared" si="51"/>
        <v>154531</v>
      </c>
      <c r="K576" s="3">
        <f t="shared" si="50"/>
        <v>154546</v>
      </c>
      <c r="L576" s="3">
        <v>15</v>
      </c>
      <c r="M576" s="3">
        <f t="shared" si="52"/>
        <v>22.729999999999979</v>
      </c>
      <c r="N576" s="3">
        <v>1.8</v>
      </c>
    </row>
    <row r="577" spans="4:14" ht="15" customHeight="1" x14ac:dyDescent="0.25">
      <c r="D577" s="13">
        <v>44788</v>
      </c>
      <c r="H577" s="3" t="s">
        <v>34</v>
      </c>
      <c r="I577" s="3" t="s">
        <v>44</v>
      </c>
      <c r="J577" s="3">
        <f t="shared" si="51"/>
        <v>154546</v>
      </c>
      <c r="K577" s="3">
        <f t="shared" si="50"/>
        <v>154586</v>
      </c>
      <c r="L577" s="3">
        <v>40</v>
      </c>
      <c r="M577" s="3">
        <f t="shared" si="52"/>
        <v>17.929999999999978</v>
      </c>
      <c r="N577" s="3">
        <v>4.8</v>
      </c>
    </row>
    <row r="578" spans="4:14" ht="15" customHeight="1" x14ac:dyDescent="0.25">
      <c r="D578" s="13"/>
      <c r="H578" s="3" t="s">
        <v>44</v>
      </c>
      <c r="I578" s="3" t="s">
        <v>34</v>
      </c>
      <c r="J578" s="3">
        <f t="shared" si="51"/>
        <v>154586</v>
      </c>
      <c r="K578" s="3">
        <f t="shared" si="50"/>
        <v>154626</v>
      </c>
      <c r="L578" s="3">
        <v>40</v>
      </c>
      <c r="M578" s="3">
        <f t="shared" si="52"/>
        <v>13.129999999999978</v>
      </c>
      <c r="N578" s="3">
        <v>4.8</v>
      </c>
    </row>
    <row r="579" spans="4:14" ht="15" customHeight="1" x14ac:dyDescent="0.25">
      <c r="D579" s="13">
        <v>44789</v>
      </c>
      <c r="H579" s="3" t="s">
        <v>34</v>
      </c>
      <c r="I579" s="3" t="s">
        <v>35</v>
      </c>
      <c r="J579" s="3">
        <f t="shared" si="51"/>
        <v>154626</v>
      </c>
      <c r="K579" s="3">
        <f t="shared" si="50"/>
        <v>154638</v>
      </c>
      <c r="L579" s="3">
        <v>12</v>
      </c>
      <c r="M579" s="3">
        <f t="shared" si="52"/>
        <v>11.879999999999978</v>
      </c>
      <c r="N579" s="3">
        <v>1.25</v>
      </c>
    </row>
    <row r="580" spans="4:14" ht="15" customHeight="1" x14ac:dyDescent="0.25">
      <c r="D580" s="13"/>
      <c r="H580" s="3" t="s">
        <v>35</v>
      </c>
      <c r="I580" s="3" t="s">
        <v>34</v>
      </c>
      <c r="J580" s="3">
        <f t="shared" si="51"/>
        <v>154638</v>
      </c>
      <c r="K580" s="3">
        <f t="shared" si="50"/>
        <v>154650</v>
      </c>
      <c r="L580" s="3">
        <v>12</v>
      </c>
      <c r="M580" s="3">
        <f t="shared" si="52"/>
        <v>10.629999999999978</v>
      </c>
      <c r="N580" s="3">
        <v>1.25</v>
      </c>
    </row>
    <row r="581" spans="4:14" ht="15" customHeight="1" x14ac:dyDescent="0.25">
      <c r="D581" s="13"/>
      <c r="H581" s="3" t="s">
        <v>34</v>
      </c>
      <c r="I581" s="3" t="s">
        <v>37</v>
      </c>
      <c r="J581" s="3">
        <f t="shared" si="51"/>
        <v>154650</v>
      </c>
      <c r="K581" s="3">
        <f t="shared" si="50"/>
        <v>154690</v>
      </c>
      <c r="L581" s="3">
        <v>40</v>
      </c>
      <c r="M581" s="3">
        <f t="shared" si="52"/>
        <v>5.8299999999999779</v>
      </c>
      <c r="N581" s="3">
        <v>4.8</v>
      </c>
    </row>
    <row r="582" spans="4:14" ht="15" customHeight="1" x14ac:dyDescent="0.25">
      <c r="D582" s="13"/>
      <c r="H582" s="3" t="s">
        <v>37</v>
      </c>
      <c r="I582" s="3" t="s">
        <v>34</v>
      </c>
      <c r="J582" s="3">
        <f t="shared" si="51"/>
        <v>154690</v>
      </c>
      <c r="K582" s="3">
        <f t="shared" si="50"/>
        <v>154730</v>
      </c>
      <c r="L582" s="3">
        <v>40</v>
      </c>
      <c r="M582" s="3">
        <f t="shared" si="52"/>
        <v>1.029999999999978</v>
      </c>
      <c r="N582" s="3">
        <v>4.8</v>
      </c>
    </row>
    <row r="583" spans="4:14" ht="15" customHeight="1" x14ac:dyDescent="0.25">
      <c r="D583" s="13">
        <v>44790</v>
      </c>
      <c r="E583">
        <v>30.86</v>
      </c>
      <c r="F583" s="3">
        <v>51.6</v>
      </c>
      <c r="G583" s="8">
        <f>E583*F583</f>
        <v>1592.376</v>
      </c>
      <c r="H583" s="3" t="s">
        <v>34</v>
      </c>
      <c r="I583" s="3" t="s">
        <v>35</v>
      </c>
      <c r="J583" s="3">
        <f t="shared" si="51"/>
        <v>154730</v>
      </c>
      <c r="K583" s="3">
        <f t="shared" si="50"/>
        <v>154742</v>
      </c>
      <c r="L583" s="3">
        <v>12</v>
      </c>
      <c r="M583" s="3">
        <f t="shared" si="52"/>
        <v>30.639999999999979</v>
      </c>
      <c r="N583" s="3">
        <v>1.25</v>
      </c>
    </row>
    <row r="584" spans="4:14" ht="15" customHeight="1" x14ac:dyDescent="0.25">
      <c r="D584" s="13"/>
      <c r="G584" s="8"/>
      <c r="H584" s="3" t="s">
        <v>35</v>
      </c>
      <c r="I584" s="3" t="s">
        <v>34</v>
      </c>
      <c r="J584" s="3">
        <f t="shared" si="51"/>
        <v>154742</v>
      </c>
      <c r="K584" s="3">
        <f t="shared" si="50"/>
        <v>154754</v>
      </c>
      <c r="L584" s="3">
        <v>12</v>
      </c>
      <c r="M584" s="3">
        <f t="shared" si="52"/>
        <v>29.389999999999979</v>
      </c>
      <c r="N584" s="3">
        <v>1.25</v>
      </c>
    </row>
    <row r="585" spans="4:14" ht="15" customHeight="1" x14ac:dyDescent="0.25">
      <c r="D585" s="13">
        <v>44791</v>
      </c>
      <c r="H585" s="3" t="s">
        <v>34</v>
      </c>
      <c r="I585" s="3" t="s">
        <v>35</v>
      </c>
      <c r="J585" s="3">
        <f t="shared" si="51"/>
        <v>154754</v>
      </c>
      <c r="K585" s="3">
        <f t="shared" si="50"/>
        <v>154766</v>
      </c>
      <c r="L585" s="3">
        <v>12</v>
      </c>
      <c r="M585" s="3">
        <f t="shared" si="52"/>
        <v>28.139999999999979</v>
      </c>
      <c r="N585" s="3">
        <v>1.25</v>
      </c>
    </row>
    <row r="586" spans="4:14" ht="15" customHeight="1" x14ac:dyDescent="0.25">
      <c r="D586" s="13"/>
      <c r="H586" s="3" t="s">
        <v>35</v>
      </c>
      <c r="I586" s="3" t="s">
        <v>34</v>
      </c>
      <c r="J586" s="3">
        <f t="shared" si="51"/>
        <v>154766</v>
      </c>
      <c r="K586" s="3">
        <f t="shared" si="50"/>
        <v>154778</v>
      </c>
      <c r="L586" s="3">
        <v>12</v>
      </c>
      <c r="M586" s="3">
        <f t="shared" si="52"/>
        <v>26.889999999999979</v>
      </c>
      <c r="N586" s="3">
        <v>1.25</v>
      </c>
    </row>
    <row r="587" spans="4:14" ht="15" customHeight="1" x14ac:dyDescent="0.25">
      <c r="D587" s="13">
        <v>44792</v>
      </c>
      <c r="H587" s="3" t="s">
        <v>34</v>
      </c>
      <c r="I587" s="3" t="s">
        <v>24</v>
      </c>
      <c r="J587" s="3">
        <f t="shared" si="51"/>
        <v>154778</v>
      </c>
      <c r="K587" s="3">
        <f t="shared" si="50"/>
        <v>154792</v>
      </c>
      <c r="L587" s="3">
        <v>14</v>
      </c>
      <c r="M587" s="3">
        <f t="shared" si="52"/>
        <v>25.389999999999979</v>
      </c>
      <c r="N587" s="3">
        <v>1.5</v>
      </c>
    </row>
    <row r="588" spans="4:14" ht="15" customHeight="1" x14ac:dyDescent="0.25">
      <c r="D588" s="13"/>
      <c r="H588" s="3" t="s">
        <v>24</v>
      </c>
      <c r="I588" s="3" t="s">
        <v>34</v>
      </c>
      <c r="J588" s="3">
        <f t="shared" si="51"/>
        <v>154792</v>
      </c>
      <c r="K588" s="3">
        <f t="shared" si="50"/>
        <v>154806</v>
      </c>
      <c r="L588" s="3">
        <v>14</v>
      </c>
      <c r="M588" s="3">
        <f t="shared" si="52"/>
        <v>23.889999999999979</v>
      </c>
      <c r="N588" s="3">
        <v>1.5</v>
      </c>
    </row>
    <row r="589" spans="4:14" ht="15" customHeight="1" x14ac:dyDescent="0.25">
      <c r="D589" s="13">
        <v>44795</v>
      </c>
      <c r="H589" s="3" t="s">
        <v>34</v>
      </c>
      <c r="I589" s="3" t="s">
        <v>35</v>
      </c>
      <c r="J589" s="3">
        <f t="shared" si="51"/>
        <v>154806</v>
      </c>
      <c r="K589" s="3">
        <f t="shared" si="50"/>
        <v>154818</v>
      </c>
      <c r="L589" s="3">
        <v>12</v>
      </c>
      <c r="M589" s="3">
        <f t="shared" si="52"/>
        <v>22.639999999999979</v>
      </c>
      <c r="N589" s="3">
        <v>1.25</v>
      </c>
    </row>
    <row r="590" spans="4:14" ht="15" customHeight="1" x14ac:dyDescent="0.25">
      <c r="D590" s="13"/>
      <c r="H590" s="3" t="s">
        <v>35</v>
      </c>
      <c r="I590" s="3" t="s">
        <v>34</v>
      </c>
      <c r="J590" s="3">
        <f t="shared" si="51"/>
        <v>154818</v>
      </c>
      <c r="K590" s="3">
        <f t="shared" si="50"/>
        <v>154830</v>
      </c>
      <c r="L590" s="3">
        <v>12</v>
      </c>
      <c r="M590" s="3">
        <f t="shared" si="52"/>
        <v>21.389999999999979</v>
      </c>
      <c r="N590" s="3">
        <v>1.25</v>
      </c>
    </row>
    <row r="591" spans="4:14" ht="15" customHeight="1" x14ac:dyDescent="0.25">
      <c r="D591" s="13"/>
      <c r="H591" s="3" t="s">
        <v>34</v>
      </c>
      <c r="I591" s="3" t="s">
        <v>44</v>
      </c>
      <c r="J591" s="3">
        <f t="shared" si="51"/>
        <v>154830</v>
      </c>
      <c r="K591" s="3">
        <f t="shared" si="50"/>
        <v>154870</v>
      </c>
      <c r="L591" s="3">
        <v>40</v>
      </c>
      <c r="M591" s="3">
        <f t="shared" si="52"/>
        <v>16.589999999999979</v>
      </c>
      <c r="N591" s="3">
        <v>4.8</v>
      </c>
    </row>
    <row r="592" spans="4:14" ht="15" customHeight="1" x14ac:dyDescent="0.25">
      <c r="D592" s="13"/>
      <c r="H592" s="3" t="s">
        <v>44</v>
      </c>
      <c r="I592" s="3" t="s">
        <v>34</v>
      </c>
      <c r="J592" s="3">
        <f t="shared" si="51"/>
        <v>154870</v>
      </c>
      <c r="K592" s="3">
        <f t="shared" si="50"/>
        <v>154910</v>
      </c>
      <c r="L592" s="3">
        <v>40</v>
      </c>
      <c r="M592" s="3">
        <f t="shared" si="52"/>
        <v>11.789999999999978</v>
      </c>
      <c r="N592" s="3">
        <v>4.8</v>
      </c>
    </row>
    <row r="593" spans="4:14" ht="15" customHeight="1" x14ac:dyDescent="0.25">
      <c r="D593" s="13">
        <v>44796</v>
      </c>
      <c r="E593">
        <v>31.27</v>
      </c>
      <c r="F593" s="3">
        <v>51.35</v>
      </c>
      <c r="G593" s="8">
        <f>E593*F593</f>
        <v>1605.7145</v>
      </c>
      <c r="H593" s="3" t="s">
        <v>34</v>
      </c>
      <c r="I593" s="3" t="s">
        <v>37</v>
      </c>
      <c r="J593" s="3">
        <f t="shared" si="51"/>
        <v>154910</v>
      </c>
      <c r="K593" s="3">
        <f t="shared" si="50"/>
        <v>154950</v>
      </c>
      <c r="L593" s="3">
        <v>40</v>
      </c>
      <c r="M593" s="3">
        <f t="shared" si="52"/>
        <v>38.259999999999977</v>
      </c>
      <c r="N593" s="3">
        <v>4.8</v>
      </c>
    </row>
    <row r="594" spans="4:14" ht="15" customHeight="1" x14ac:dyDescent="0.25">
      <c r="D594" s="13"/>
      <c r="G594" s="8"/>
      <c r="H594" s="3" t="s">
        <v>37</v>
      </c>
      <c r="I594" s="3" t="s">
        <v>34</v>
      </c>
      <c r="J594" s="3">
        <f t="shared" si="51"/>
        <v>154950</v>
      </c>
      <c r="K594" s="3">
        <f t="shared" si="50"/>
        <v>154990</v>
      </c>
      <c r="L594" s="3">
        <v>40</v>
      </c>
      <c r="M594" s="3">
        <f t="shared" si="52"/>
        <v>33.45999999999998</v>
      </c>
      <c r="N594" s="3">
        <v>4.8</v>
      </c>
    </row>
    <row r="595" spans="4:14" ht="15" customHeight="1" x14ac:dyDescent="0.25">
      <c r="D595" s="13">
        <v>44797</v>
      </c>
      <c r="H595" s="3" t="s">
        <v>34</v>
      </c>
      <c r="I595" s="3" t="s">
        <v>36</v>
      </c>
      <c r="J595" s="3">
        <f t="shared" si="51"/>
        <v>154990</v>
      </c>
      <c r="K595" s="3">
        <f t="shared" si="50"/>
        <v>155005</v>
      </c>
      <c r="L595" s="3">
        <v>15</v>
      </c>
      <c r="M595" s="3">
        <f t="shared" si="52"/>
        <v>31.659999999999979</v>
      </c>
      <c r="N595" s="3">
        <v>1.8</v>
      </c>
    </row>
    <row r="596" spans="4:14" ht="15" customHeight="1" x14ac:dyDescent="0.25">
      <c r="D596" s="13"/>
      <c r="H596" s="3" t="s">
        <v>36</v>
      </c>
      <c r="I596" s="3" t="s">
        <v>34</v>
      </c>
      <c r="J596" s="3">
        <f t="shared" si="51"/>
        <v>155005</v>
      </c>
      <c r="K596" s="3">
        <f t="shared" si="50"/>
        <v>155020</v>
      </c>
      <c r="L596" s="3">
        <v>15</v>
      </c>
      <c r="M596" s="3">
        <f t="shared" si="52"/>
        <v>29.859999999999978</v>
      </c>
      <c r="N596" s="3">
        <v>1.8</v>
      </c>
    </row>
    <row r="597" spans="4:14" ht="15" customHeight="1" x14ac:dyDescent="0.25">
      <c r="D597" s="13">
        <v>44798</v>
      </c>
      <c r="H597" s="3" t="s">
        <v>34</v>
      </c>
      <c r="I597" s="3" t="s">
        <v>35</v>
      </c>
      <c r="J597" s="3">
        <f t="shared" si="51"/>
        <v>155020</v>
      </c>
      <c r="K597" s="3">
        <f t="shared" si="50"/>
        <v>155032</v>
      </c>
      <c r="L597" s="3">
        <v>12</v>
      </c>
      <c r="M597" s="3">
        <f t="shared" si="52"/>
        <v>28.609999999999978</v>
      </c>
      <c r="N597" s="3">
        <v>1.25</v>
      </c>
    </row>
    <row r="598" spans="4:14" ht="15" customHeight="1" x14ac:dyDescent="0.25">
      <c r="D598" s="13"/>
      <c r="H598" s="3" t="s">
        <v>35</v>
      </c>
      <c r="I598" s="3" t="s">
        <v>34</v>
      </c>
      <c r="J598" s="3">
        <f t="shared" si="51"/>
        <v>155032</v>
      </c>
      <c r="K598" s="3">
        <f t="shared" si="50"/>
        <v>155044</v>
      </c>
      <c r="L598" s="3">
        <v>12</v>
      </c>
      <c r="M598" s="3">
        <f t="shared" si="52"/>
        <v>27.359999999999978</v>
      </c>
      <c r="N598" s="3">
        <v>1.25</v>
      </c>
    </row>
    <row r="599" spans="4:14" ht="15" customHeight="1" x14ac:dyDescent="0.25">
      <c r="D599" s="13"/>
      <c r="H599" s="3" t="s">
        <v>34</v>
      </c>
      <c r="I599" s="3" t="s">
        <v>44</v>
      </c>
      <c r="J599" s="3">
        <f t="shared" si="51"/>
        <v>155044</v>
      </c>
      <c r="K599" s="3">
        <f t="shared" si="50"/>
        <v>155084</v>
      </c>
      <c r="L599" s="3">
        <v>40</v>
      </c>
      <c r="M599" s="3">
        <f t="shared" si="52"/>
        <v>22.559999999999977</v>
      </c>
      <c r="N599" s="3">
        <v>4.8</v>
      </c>
    </row>
    <row r="600" spans="4:14" ht="15" customHeight="1" x14ac:dyDescent="0.25">
      <c r="D600" s="13"/>
      <c r="H600" s="3" t="s">
        <v>44</v>
      </c>
      <c r="I600" s="3" t="s">
        <v>34</v>
      </c>
      <c r="J600" s="3">
        <f t="shared" si="51"/>
        <v>155084</v>
      </c>
      <c r="K600" s="3">
        <f t="shared" si="50"/>
        <v>155124</v>
      </c>
      <c r="L600" s="3">
        <v>40</v>
      </c>
      <c r="M600" s="3">
        <f t="shared" si="52"/>
        <v>17.759999999999977</v>
      </c>
      <c r="N600" s="3">
        <v>4.8</v>
      </c>
    </row>
    <row r="601" spans="4:14" ht="15" customHeight="1" x14ac:dyDescent="0.25">
      <c r="D601" s="13">
        <v>44799</v>
      </c>
      <c r="H601" s="3" t="s">
        <v>34</v>
      </c>
      <c r="I601" s="3" t="s">
        <v>49</v>
      </c>
      <c r="J601" s="3">
        <f t="shared" si="51"/>
        <v>155124</v>
      </c>
      <c r="K601" s="3">
        <f t="shared" si="50"/>
        <v>155151</v>
      </c>
      <c r="L601" s="3">
        <v>27</v>
      </c>
      <c r="M601" s="3">
        <f t="shared" si="52"/>
        <v>14.559999999999977</v>
      </c>
      <c r="N601" s="3">
        <v>3.2</v>
      </c>
    </row>
    <row r="602" spans="4:14" ht="15" customHeight="1" x14ac:dyDescent="0.25">
      <c r="D602" s="13"/>
      <c r="H602" s="3" t="s">
        <v>49</v>
      </c>
      <c r="I602" s="3" t="s">
        <v>34</v>
      </c>
      <c r="J602" s="3">
        <f t="shared" si="51"/>
        <v>155151</v>
      </c>
      <c r="K602" s="3">
        <f t="shared" si="50"/>
        <v>155178</v>
      </c>
      <c r="L602" s="3">
        <v>27</v>
      </c>
      <c r="M602" s="3">
        <f t="shared" si="52"/>
        <v>11.359999999999978</v>
      </c>
      <c r="N602" s="3">
        <v>3.2</v>
      </c>
    </row>
    <row r="603" spans="4:14" ht="15" customHeight="1" x14ac:dyDescent="0.25">
      <c r="D603" s="13">
        <v>44802</v>
      </c>
      <c r="E603" s="14" t="s">
        <v>50</v>
      </c>
    </row>
    <row r="604" spans="4:14" ht="15" customHeight="1" x14ac:dyDescent="0.25">
      <c r="D604" s="13">
        <v>44803</v>
      </c>
      <c r="E604" s="14" t="s">
        <v>50</v>
      </c>
    </row>
    <row r="605" spans="4:14" ht="15" customHeight="1" x14ac:dyDescent="0.25">
      <c r="D605" s="13">
        <v>44804</v>
      </c>
      <c r="E605" s="14" t="s">
        <v>50</v>
      </c>
    </row>
    <row r="606" spans="4:14" ht="15" customHeight="1" x14ac:dyDescent="0.25">
      <c r="D606" s="13"/>
    </row>
    <row r="607" spans="4:14" ht="15" customHeight="1" x14ac:dyDescent="0.25">
      <c r="D607" s="2" t="s">
        <v>51</v>
      </c>
      <c r="E607" s="2"/>
      <c r="F607" s="2"/>
      <c r="G607" s="2"/>
    </row>
    <row r="608" spans="4:14" ht="15" customHeight="1" x14ac:dyDescent="0.25">
      <c r="D608" s="13">
        <v>44805</v>
      </c>
      <c r="E608" s="14" t="s">
        <v>50</v>
      </c>
    </row>
    <row r="609" spans="4:14" ht="15" customHeight="1" x14ac:dyDescent="0.25">
      <c r="D609" s="13">
        <v>44806</v>
      </c>
      <c r="E609" s="14" t="s">
        <v>50</v>
      </c>
    </row>
    <row r="610" spans="4:14" ht="15" customHeight="1" x14ac:dyDescent="0.25">
      <c r="D610" s="13">
        <v>44809</v>
      </c>
      <c r="E610" s="14" t="s">
        <v>50</v>
      </c>
    </row>
    <row r="611" spans="4:14" ht="15" customHeight="1" x14ac:dyDescent="0.25">
      <c r="D611" s="13">
        <v>44810</v>
      </c>
      <c r="E611" s="14" t="s">
        <v>50</v>
      </c>
    </row>
    <row r="612" spans="4:14" ht="15" customHeight="1" x14ac:dyDescent="0.25">
      <c r="D612" s="13">
        <v>44811</v>
      </c>
      <c r="E612" s="14" t="s">
        <v>50</v>
      </c>
    </row>
    <row r="613" spans="4:14" ht="15" customHeight="1" x14ac:dyDescent="0.25">
      <c r="D613" s="13">
        <v>44812</v>
      </c>
      <c r="E613" s="14" t="s">
        <v>50</v>
      </c>
    </row>
    <row r="614" spans="4:14" ht="15" customHeight="1" x14ac:dyDescent="0.25">
      <c r="D614" s="13">
        <v>44813</v>
      </c>
      <c r="E614" s="14" t="s">
        <v>50</v>
      </c>
    </row>
    <row r="615" spans="4:14" ht="15" customHeight="1" x14ac:dyDescent="0.25">
      <c r="D615" s="13">
        <v>44816</v>
      </c>
      <c r="E615" s="14"/>
      <c r="H615" s="3" t="s">
        <v>34</v>
      </c>
      <c r="I615" s="3" t="s">
        <v>35</v>
      </c>
      <c r="J615" s="3">
        <v>165200</v>
      </c>
      <c r="K615" s="3">
        <f t="shared" ref="K615:K650" si="53">J615+L615</f>
        <v>165212</v>
      </c>
      <c r="L615" s="3">
        <v>12</v>
      </c>
      <c r="M615" s="3">
        <f>(E615+M602)-N615</f>
        <v>10.109999999999978</v>
      </c>
      <c r="N615" s="3">
        <v>1.25</v>
      </c>
    </row>
    <row r="616" spans="4:14" ht="15" customHeight="1" x14ac:dyDescent="0.25">
      <c r="D616" s="13"/>
      <c r="E616" s="14"/>
      <c r="H616" s="3" t="s">
        <v>35</v>
      </c>
      <c r="I616" s="3" t="s">
        <v>34</v>
      </c>
      <c r="J616" s="3">
        <f t="shared" ref="J616:J650" si="54">K615</f>
        <v>165212</v>
      </c>
      <c r="K616" s="3">
        <f t="shared" si="53"/>
        <v>165224</v>
      </c>
      <c r="L616" s="3">
        <v>12</v>
      </c>
      <c r="M616" s="3">
        <f t="shared" ref="M616:M650" si="55">(E616+M615)-N616</f>
        <v>8.8599999999999781</v>
      </c>
      <c r="N616" s="3">
        <v>1.25</v>
      </c>
    </row>
    <row r="617" spans="4:14" ht="15" customHeight="1" x14ac:dyDescent="0.25">
      <c r="D617" s="13">
        <v>44817</v>
      </c>
      <c r="H617" s="3" t="s">
        <v>34</v>
      </c>
      <c r="I617" s="3" t="s">
        <v>36</v>
      </c>
      <c r="J617" s="3">
        <f t="shared" si="54"/>
        <v>165224</v>
      </c>
      <c r="K617" s="3">
        <f t="shared" si="53"/>
        <v>165239</v>
      </c>
      <c r="L617" s="3">
        <v>15</v>
      </c>
      <c r="M617" s="3">
        <f t="shared" si="55"/>
        <v>7.0599999999999783</v>
      </c>
      <c r="N617" s="3">
        <v>1.8</v>
      </c>
    </row>
    <row r="618" spans="4:14" ht="15" customHeight="1" x14ac:dyDescent="0.25">
      <c r="D618" s="13"/>
      <c r="H618" s="3" t="s">
        <v>36</v>
      </c>
      <c r="I618" s="3" t="s">
        <v>34</v>
      </c>
      <c r="J618" s="3">
        <f t="shared" si="54"/>
        <v>165239</v>
      </c>
      <c r="K618" s="3">
        <f t="shared" si="53"/>
        <v>165254</v>
      </c>
      <c r="L618" s="3">
        <v>15</v>
      </c>
      <c r="M618" s="3">
        <f t="shared" si="55"/>
        <v>5.2599999999999785</v>
      </c>
      <c r="N618" s="3">
        <v>1.8</v>
      </c>
    </row>
    <row r="619" spans="4:14" ht="15" customHeight="1" x14ac:dyDescent="0.25">
      <c r="D619" s="13">
        <v>44818</v>
      </c>
      <c r="H619" s="3" t="s">
        <v>34</v>
      </c>
      <c r="I619" s="3" t="s">
        <v>35</v>
      </c>
      <c r="J619" s="3">
        <f t="shared" si="54"/>
        <v>165254</v>
      </c>
      <c r="K619" s="3">
        <f t="shared" si="53"/>
        <v>165266</v>
      </c>
      <c r="L619" s="3">
        <v>12</v>
      </c>
      <c r="M619" s="3">
        <f t="shared" si="55"/>
        <v>4.0099999999999785</v>
      </c>
      <c r="N619" s="3">
        <v>1.25</v>
      </c>
    </row>
    <row r="620" spans="4:14" ht="15" customHeight="1" x14ac:dyDescent="0.25">
      <c r="D620" s="13"/>
      <c r="H620" s="3" t="s">
        <v>35</v>
      </c>
      <c r="I620" s="3" t="s">
        <v>34</v>
      </c>
      <c r="J620" s="3">
        <f t="shared" si="54"/>
        <v>165266</v>
      </c>
      <c r="K620" s="3">
        <f t="shared" si="53"/>
        <v>165278</v>
      </c>
      <c r="L620" s="3">
        <v>12</v>
      </c>
      <c r="M620" s="3">
        <f t="shared" si="55"/>
        <v>2.7599999999999785</v>
      </c>
      <c r="N620" s="3">
        <v>1.25</v>
      </c>
    </row>
    <row r="621" spans="4:14" ht="15" customHeight="1" x14ac:dyDescent="0.25">
      <c r="D621" s="13">
        <v>44819</v>
      </c>
      <c r="H621" s="3" t="s">
        <v>34</v>
      </c>
      <c r="I621" s="3" t="s">
        <v>35</v>
      </c>
      <c r="J621" s="3">
        <f t="shared" si="54"/>
        <v>165278</v>
      </c>
      <c r="K621" s="3">
        <f t="shared" si="53"/>
        <v>165290</v>
      </c>
      <c r="L621" s="3">
        <v>12</v>
      </c>
      <c r="M621" s="3">
        <f t="shared" si="55"/>
        <v>1.5099999999999785</v>
      </c>
      <c r="N621" s="3">
        <v>1.25</v>
      </c>
    </row>
    <row r="622" spans="4:14" ht="15" customHeight="1" x14ac:dyDescent="0.25">
      <c r="D622" s="13"/>
      <c r="H622" s="3" t="s">
        <v>35</v>
      </c>
      <c r="I622" s="3" t="s">
        <v>34</v>
      </c>
      <c r="J622" s="3">
        <f t="shared" si="54"/>
        <v>165290</v>
      </c>
      <c r="K622" s="3">
        <f t="shared" si="53"/>
        <v>165302</v>
      </c>
      <c r="L622" s="3">
        <v>12</v>
      </c>
      <c r="M622" s="3">
        <f t="shared" si="55"/>
        <v>0.25999999999997847</v>
      </c>
      <c r="N622" s="3">
        <v>1.25</v>
      </c>
    </row>
    <row r="623" spans="4:14" ht="15" customHeight="1" x14ac:dyDescent="0.25">
      <c r="D623" s="13">
        <v>44820</v>
      </c>
      <c r="E623">
        <v>33.4</v>
      </c>
      <c r="F623" s="3">
        <v>51.9</v>
      </c>
      <c r="G623" s="8">
        <f>E623*F623</f>
        <v>1733.4599999999998</v>
      </c>
      <c r="H623" s="3" t="s">
        <v>34</v>
      </c>
      <c r="I623" s="3" t="s">
        <v>49</v>
      </c>
      <c r="J623" s="3">
        <f t="shared" si="54"/>
        <v>165302</v>
      </c>
      <c r="K623" s="3">
        <f t="shared" si="53"/>
        <v>165329</v>
      </c>
      <c r="L623" s="3">
        <v>27</v>
      </c>
      <c r="M623" s="3">
        <f t="shared" si="55"/>
        <v>30.459999999999976</v>
      </c>
      <c r="N623" s="3">
        <v>3.2</v>
      </c>
    </row>
    <row r="624" spans="4:14" ht="15" customHeight="1" x14ac:dyDescent="0.25">
      <c r="D624" s="13"/>
      <c r="G624" s="8"/>
      <c r="H624" s="3" t="s">
        <v>49</v>
      </c>
      <c r="I624" s="3" t="s">
        <v>34</v>
      </c>
      <c r="J624" s="3">
        <f t="shared" si="54"/>
        <v>165329</v>
      </c>
      <c r="K624" s="3">
        <f t="shared" si="53"/>
        <v>165356</v>
      </c>
      <c r="L624" s="3">
        <v>27</v>
      </c>
      <c r="M624" s="3">
        <f t="shared" si="55"/>
        <v>27.259999999999977</v>
      </c>
      <c r="N624" s="3">
        <v>3.2</v>
      </c>
    </row>
    <row r="625" spans="4:14" ht="15" customHeight="1" x14ac:dyDescent="0.25">
      <c r="D625" s="13"/>
      <c r="G625" s="8"/>
      <c r="H625" s="3" t="s">
        <v>34</v>
      </c>
      <c r="I625" s="3" t="s">
        <v>37</v>
      </c>
      <c r="J625" s="3">
        <f t="shared" si="54"/>
        <v>165356</v>
      </c>
      <c r="K625" s="3">
        <f t="shared" si="53"/>
        <v>165396</v>
      </c>
      <c r="L625" s="3">
        <v>40</v>
      </c>
      <c r="M625" s="3">
        <f t="shared" si="55"/>
        <v>22.459999999999976</v>
      </c>
      <c r="N625" s="3">
        <v>4.8</v>
      </c>
    </row>
    <row r="626" spans="4:14" ht="15" customHeight="1" x14ac:dyDescent="0.25">
      <c r="D626" s="13"/>
      <c r="G626" s="8"/>
      <c r="H626" s="3" t="s">
        <v>37</v>
      </c>
      <c r="I626" s="3" t="s">
        <v>34</v>
      </c>
      <c r="J626" s="3">
        <f t="shared" si="54"/>
        <v>165396</v>
      </c>
      <c r="K626" s="3">
        <f t="shared" si="53"/>
        <v>165436</v>
      </c>
      <c r="L626" s="3">
        <v>40</v>
      </c>
      <c r="M626" s="3">
        <f t="shared" si="55"/>
        <v>17.659999999999975</v>
      </c>
      <c r="N626" s="3">
        <v>4.8</v>
      </c>
    </row>
    <row r="627" spans="4:14" ht="15" customHeight="1" x14ac:dyDescent="0.25">
      <c r="D627" s="13">
        <v>44823</v>
      </c>
      <c r="H627" s="3" t="s">
        <v>34</v>
      </c>
      <c r="I627" s="3" t="s">
        <v>36</v>
      </c>
      <c r="J627" s="3">
        <f t="shared" si="54"/>
        <v>165436</v>
      </c>
      <c r="K627" s="3">
        <f t="shared" si="53"/>
        <v>165451</v>
      </c>
      <c r="L627" s="3">
        <v>15</v>
      </c>
      <c r="M627" s="3">
        <f t="shared" si="55"/>
        <v>15.859999999999975</v>
      </c>
      <c r="N627" s="3">
        <v>1.8</v>
      </c>
    </row>
    <row r="628" spans="4:14" ht="15" customHeight="1" x14ac:dyDescent="0.25">
      <c r="D628" s="13"/>
      <c r="H628" s="3" t="s">
        <v>36</v>
      </c>
      <c r="I628" s="3" t="s">
        <v>34</v>
      </c>
      <c r="J628" s="3">
        <f t="shared" si="54"/>
        <v>165451</v>
      </c>
      <c r="K628" s="3">
        <f t="shared" si="53"/>
        <v>165466</v>
      </c>
      <c r="L628" s="3">
        <v>15</v>
      </c>
      <c r="M628" s="3">
        <f t="shared" si="55"/>
        <v>14.059999999999974</v>
      </c>
      <c r="N628" s="3">
        <v>1.8</v>
      </c>
    </row>
    <row r="629" spans="4:14" ht="15" customHeight="1" x14ac:dyDescent="0.25">
      <c r="D629" s="13"/>
      <c r="H629" s="3" t="s">
        <v>34</v>
      </c>
      <c r="I629" s="3" t="s">
        <v>44</v>
      </c>
      <c r="J629" s="3">
        <f t="shared" si="54"/>
        <v>165466</v>
      </c>
      <c r="K629" s="3">
        <f t="shared" si="53"/>
        <v>165506</v>
      </c>
      <c r="L629" s="3">
        <v>40</v>
      </c>
      <c r="M629" s="3">
        <f t="shared" si="55"/>
        <v>9.2599999999999731</v>
      </c>
      <c r="N629" s="3">
        <v>4.8</v>
      </c>
    </row>
    <row r="630" spans="4:14" ht="15" customHeight="1" x14ac:dyDescent="0.25">
      <c r="D630" s="13"/>
      <c r="H630" s="3" t="s">
        <v>44</v>
      </c>
      <c r="I630" s="3" t="s">
        <v>34</v>
      </c>
      <c r="J630" s="3">
        <f t="shared" si="54"/>
        <v>165506</v>
      </c>
      <c r="K630" s="3">
        <f t="shared" si="53"/>
        <v>165546</v>
      </c>
      <c r="L630" s="3">
        <v>40</v>
      </c>
      <c r="M630" s="3">
        <f t="shared" si="55"/>
        <v>4.4599999999999733</v>
      </c>
      <c r="N630" s="3">
        <v>4.8</v>
      </c>
    </row>
    <row r="631" spans="4:14" ht="15" customHeight="1" x14ac:dyDescent="0.25">
      <c r="D631" s="13">
        <v>44824</v>
      </c>
      <c r="E631">
        <v>32.39</v>
      </c>
      <c r="F631" s="3">
        <v>51.55</v>
      </c>
      <c r="G631" s="8">
        <f>E631*F631</f>
        <v>1669.7044999999998</v>
      </c>
      <c r="H631" s="3" t="s">
        <v>34</v>
      </c>
      <c r="I631" s="3" t="s">
        <v>35</v>
      </c>
      <c r="J631" s="3">
        <f t="shared" si="54"/>
        <v>165546</v>
      </c>
      <c r="K631" s="3">
        <f t="shared" si="53"/>
        <v>165558</v>
      </c>
      <c r="L631" s="3">
        <v>12</v>
      </c>
      <c r="M631" s="3">
        <f t="shared" si="55"/>
        <v>35.599999999999973</v>
      </c>
      <c r="N631" s="3">
        <v>1.25</v>
      </c>
    </row>
    <row r="632" spans="4:14" ht="15" customHeight="1" x14ac:dyDescent="0.25">
      <c r="D632" s="13"/>
      <c r="G632" s="8"/>
      <c r="H632" s="3" t="s">
        <v>35</v>
      </c>
      <c r="I632" s="3" t="s">
        <v>34</v>
      </c>
      <c r="J632" s="3">
        <f t="shared" si="54"/>
        <v>165558</v>
      </c>
      <c r="K632" s="3">
        <f t="shared" si="53"/>
        <v>165570</v>
      </c>
      <c r="L632" s="3">
        <v>12</v>
      </c>
      <c r="M632" s="3">
        <f t="shared" si="55"/>
        <v>34.349999999999973</v>
      </c>
      <c r="N632" s="3">
        <v>1.25</v>
      </c>
    </row>
    <row r="633" spans="4:14" ht="15" customHeight="1" x14ac:dyDescent="0.25">
      <c r="D633" s="13">
        <v>44825</v>
      </c>
      <c r="H633" s="3" t="s">
        <v>34</v>
      </c>
      <c r="I633" s="3" t="s">
        <v>49</v>
      </c>
      <c r="J633" s="3">
        <f t="shared" si="54"/>
        <v>165570</v>
      </c>
      <c r="K633" s="3">
        <f t="shared" si="53"/>
        <v>165597</v>
      </c>
      <c r="L633" s="3">
        <v>27</v>
      </c>
      <c r="M633" s="3">
        <f t="shared" si="55"/>
        <v>31.149999999999974</v>
      </c>
      <c r="N633" s="3">
        <v>3.2</v>
      </c>
    </row>
    <row r="634" spans="4:14" ht="15" customHeight="1" x14ac:dyDescent="0.25">
      <c r="D634" s="13"/>
      <c r="H634" s="3" t="s">
        <v>49</v>
      </c>
      <c r="I634" s="3" t="s">
        <v>34</v>
      </c>
      <c r="J634" s="3">
        <f t="shared" si="54"/>
        <v>165597</v>
      </c>
      <c r="K634" s="3">
        <f t="shared" si="53"/>
        <v>165624</v>
      </c>
      <c r="L634" s="3">
        <v>27</v>
      </c>
      <c r="M634" s="3">
        <f t="shared" si="55"/>
        <v>27.949999999999974</v>
      </c>
      <c r="N634" s="3">
        <v>3.2</v>
      </c>
    </row>
    <row r="635" spans="4:14" ht="15" customHeight="1" x14ac:dyDescent="0.25">
      <c r="D635" s="13">
        <v>44826</v>
      </c>
      <c r="H635" s="3" t="s">
        <v>34</v>
      </c>
      <c r="I635" s="3" t="s">
        <v>36</v>
      </c>
      <c r="J635" s="3">
        <f t="shared" si="54"/>
        <v>165624</v>
      </c>
      <c r="K635" s="3">
        <f t="shared" si="53"/>
        <v>165639</v>
      </c>
      <c r="L635" s="3">
        <v>15</v>
      </c>
      <c r="M635" s="3">
        <f t="shared" si="55"/>
        <v>26.149999999999974</v>
      </c>
      <c r="N635" s="3">
        <v>1.8</v>
      </c>
    </row>
    <row r="636" spans="4:14" ht="15" customHeight="1" x14ac:dyDescent="0.25">
      <c r="D636" s="13"/>
      <c r="H636" s="3" t="s">
        <v>36</v>
      </c>
      <c r="I636" s="3" t="s">
        <v>34</v>
      </c>
      <c r="J636" s="3">
        <f t="shared" si="54"/>
        <v>165639</v>
      </c>
      <c r="K636" s="3">
        <f t="shared" si="53"/>
        <v>165654</v>
      </c>
      <c r="L636" s="3">
        <v>15</v>
      </c>
      <c r="M636" s="3">
        <f t="shared" si="55"/>
        <v>24.349999999999973</v>
      </c>
      <c r="N636" s="3">
        <v>1.8</v>
      </c>
    </row>
    <row r="637" spans="4:14" ht="15" customHeight="1" x14ac:dyDescent="0.25">
      <c r="D637" s="13">
        <v>44827</v>
      </c>
      <c r="H637" s="3" t="s">
        <v>34</v>
      </c>
      <c r="I637" s="3" t="s">
        <v>44</v>
      </c>
      <c r="J637" s="3">
        <f t="shared" si="54"/>
        <v>165654</v>
      </c>
      <c r="K637" s="3">
        <f t="shared" si="53"/>
        <v>165694</v>
      </c>
      <c r="L637" s="3">
        <v>40</v>
      </c>
      <c r="M637" s="3">
        <f t="shared" si="55"/>
        <v>19.549999999999972</v>
      </c>
      <c r="N637" s="3">
        <v>4.8</v>
      </c>
    </row>
    <row r="638" spans="4:14" ht="15" customHeight="1" x14ac:dyDescent="0.25">
      <c r="D638" s="13"/>
      <c r="H638" s="3" t="s">
        <v>44</v>
      </c>
      <c r="I638" s="3" t="s">
        <v>34</v>
      </c>
      <c r="J638" s="3">
        <f t="shared" si="54"/>
        <v>165694</v>
      </c>
      <c r="K638" s="3">
        <f t="shared" si="53"/>
        <v>165734</v>
      </c>
      <c r="L638" s="3">
        <v>40</v>
      </c>
      <c r="M638" s="3">
        <f t="shared" si="55"/>
        <v>14.749999999999972</v>
      </c>
      <c r="N638" s="3">
        <v>4.8</v>
      </c>
    </row>
    <row r="639" spans="4:14" ht="15" customHeight="1" x14ac:dyDescent="0.25">
      <c r="D639" s="13">
        <v>44830</v>
      </c>
      <c r="H639" s="3" t="s">
        <v>34</v>
      </c>
      <c r="I639" s="3" t="s">
        <v>24</v>
      </c>
      <c r="J639" s="3">
        <f t="shared" si="54"/>
        <v>165734</v>
      </c>
      <c r="K639" s="3">
        <f t="shared" si="53"/>
        <v>165748</v>
      </c>
      <c r="L639" s="3">
        <v>14</v>
      </c>
      <c r="M639" s="3">
        <f t="shared" si="55"/>
        <v>13.249999999999972</v>
      </c>
      <c r="N639" s="3">
        <v>1.5</v>
      </c>
    </row>
    <row r="640" spans="4:14" ht="15" customHeight="1" x14ac:dyDescent="0.25">
      <c r="D640" s="13"/>
      <c r="H640" s="3" t="s">
        <v>24</v>
      </c>
      <c r="I640" s="3" t="s">
        <v>34</v>
      </c>
      <c r="J640" s="3">
        <f t="shared" si="54"/>
        <v>165748</v>
      </c>
      <c r="K640" s="3">
        <f t="shared" si="53"/>
        <v>165762</v>
      </c>
      <c r="L640" s="3">
        <v>14</v>
      </c>
      <c r="M640" s="3">
        <f t="shared" si="55"/>
        <v>11.749999999999972</v>
      </c>
      <c r="N640" s="3">
        <v>1.5</v>
      </c>
    </row>
    <row r="641" spans="4:14" ht="15" customHeight="1" x14ac:dyDescent="0.25">
      <c r="D641" s="13">
        <v>44831</v>
      </c>
      <c r="H641" s="3" t="s">
        <v>34</v>
      </c>
      <c r="I641" s="3" t="s">
        <v>35</v>
      </c>
      <c r="J641" s="3">
        <f t="shared" si="54"/>
        <v>165762</v>
      </c>
      <c r="K641" s="3">
        <f t="shared" si="53"/>
        <v>165774</v>
      </c>
      <c r="L641" s="3">
        <v>12</v>
      </c>
      <c r="M641" s="3">
        <f t="shared" si="55"/>
        <v>10.499999999999972</v>
      </c>
      <c r="N641" s="3">
        <v>1.25</v>
      </c>
    </row>
    <row r="642" spans="4:14" ht="15" customHeight="1" x14ac:dyDescent="0.25">
      <c r="D642" s="13"/>
      <c r="H642" s="3" t="s">
        <v>35</v>
      </c>
      <c r="I642" s="3" t="s">
        <v>34</v>
      </c>
      <c r="J642" s="3">
        <f t="shared" si="54"/>
        <v>165774</v>
      </c>
      <c r="K642" s="3">
        <f t="shared" si="53"/>
        <v>165786</v>
      </c>
      <c r="L642" s="3">
        <v>12</v>
      </c>
      <c r="M642" s="3">
        <f t="shared" si="55"/>
        <v>9.2499999999999716</v>
      </c>
      <c r="N642" s="3">
        <v>1.25</v>
      </c>
    </row>
    <row r="643" spans="4:14" ht="15" customHeight="1" x14ac:dyDescent="0.25">
      <c r="D643" s="13">
        <v>44832</v>
      </c>
      <c r="E643">
        <v>31</v>
      </c>
      <c r="F643" s="3">
        <v>51.6</v>
      </c>
      <c r="G643" s="8">
        <f>E643*F643</f>
        <v>1599.6000000000001</v>
      </c>
      <c r="H643" s="3" t="s">
        <v>34</v>
      </c>
      <c r="I643" s="3" t="s">
        <v>49</v>
      </c>
      <c r="J643" s="3">
        <f t="shared" si="54"/>
        <v>165786</v>
      </c>
      <c r="K643" s="3">
        <f t="shared" si="53"/>
        <v>165813</v>
      </c>
      <c r="L643" s="3">
        <v>27</v>
      </c>
      <c r="M643" s="3">
        <f t="shared" si="55"/>
        <v>37.049999999999969</v>
      </c>
      <c r="N643" s="3">
        <v>3.2</v>
      </c>
    </row>
    <row r="644" spans="4:14" ht="15" customHeight="1" x14ac:dyDescent="0.25">
      <c r="D644" s="13"/>
      <c r="G644" s="8"/>
      <c r="H644" s="3" t="s">
        <v>49</v>
      </c>
      <c r="I644" s="3" t="s">
        <v>34</v>
      </c>
      <c r="J644" s="3">
        <f t="shared" si="54"/>
        <v>165813</v>
      </c>
      <c r="K644" s="3">
        <f t="shared" si="53"/>
        <v>165840</v>
      </c>
      <c r="L644" s="3">
        <v>27</v>
      </c>
      <c r="M644" s="3">
        <f t="shared" si="55"/>
        <v>33.849999999999966</v>
      </c>
      <c r="N644" s="3">
        <v>3.2</v>
      </c>
    </row>
    <row r="645" spans="4:14" ht="15" customHeight="1" x14ac:dyDescent="0.25">
      <c r="D645" s="13">
        <v>44833</v>
      </c>
      <c r="H645" s="3" t="s">
        <v>34</v>
      </c>
      <c r="I645" s="3" t="s">
        <v>44</v>
      </c>
      <c r="J645" s="3">
        <f t="shared" si="54"/>
        <v>165840</v>
      </c>
      <c r="K645" s="3">
        <f t="shared" si="53"/>
        <v>165880</v>
      </c>
      <c r="L645" s="3">
        <v>40</v>
      </c>
      <c r="M645" s="3">
        <f t="shared" si="55"/>
        <v>29.049999999999965</v>
      </c>
      <c r="N645" s="3">
        <v>4.8</v>
      </c>
    </row>
    <row r="646" spans="4:14" ht="15" customHeight="1" x14ac:dyDescent="0.25">
      <c r="D646" s="13"/>
      <c r="H646" s="3" t="s">
        <v>44</v>
      </c>
      <c r="I646" s="3" t="s">
        <v>34</v>
      </c>
      <c r="J646" s="3">
        <f t="shared" si="54"/>
        <v>165880</v>
      </c>
      <c r="K646" s="3">
        <f t="shared" si="53"/>
        <v>165920</v>
      </c>
      <c r="L646" s="3">
        <v>40</v>
      </c>
      <c r="M646" s="3">
        <f t="shared" si="55"/>
        <v>24.249999999999964</v>
      </c>
      <c r="N646" s="3">
        <v>4.8</v>
      </c>
    </row>
    <row r="647" spans="4:14" ht="15" customHeight="1" x14ac:dyDescent="0.25">
      <c r="D647" s="13"/>
      <c r="H647" s="3" t="s">
        <v>34</v>
      </c>
      <c r="I647" s="3" t="s">
        <v>36</v>
      </c>
      <c r="J647" s="3">
        <f t="shared" si="54"/>
        <v>165920</v>
      </c>
      <c r="K647" s="3">
        <f t="shared" si="53"/>
        <v>165935</v>
      </c>
      <c r="L647" s="3">
        <v>15</v>
      </c>
      <c r="M647" s="3">
        <f t="shared" si="55"/>
        <v>22.449999999999964</v>
      </c>
      <c r="N647" s="3">
        <v>1.8</v>
      </c>
    </row>
    <row r="648" spans="4:14" ht="15" customHeight="1" x14ac:dyDescent="0.25">
      <c r="D648" s="13"/>
      <c r="H648" s="3" t="s">
        <v>36</v>
      </c>
      <c r="I648" s="3" t="s">
        <v>34</v>
      </c>
      <c r="J648" s="3">
        <f t="shared" si="54"/>
        <v>165935</v>
      </c>
      <c r="K648" s="3">
        <f t="shared" si="53"/>
        <v>165950</v>
      </c>
      <c r="L648" s="3">
        <v>15</v>
      </c>
      <c r="M648" s="3">
        <f t="shared" si="55"/>
        <v>20.649999999999963</v>
      </c>
      <c r="N648" s="3">
        <v>1.8</v>
      </c>
    </row>
    <row r="649" spans="4:14" ht="15" customHeight="1" x14ac:dyDescent="0.25">
      <c r="D649" s="13">
        <v>44834</v>
      </c>
      <c r="H649" s="3" t="s">
        <v>34</v>
      </c>
      <c r="I649" s="3" t="s">
        <v>49</v>
      </c>
      <c r="J649" s="3">
        <f t="shared" si="54"/>
        <v>165950</v>
      </c>
      <c r="K649" s="3">
        <f t="shared" si="53"/>
        <v>165977</v>
      </c>
      <c r="L649" s="3">
        <v>27</v>
      </c>
      <c r="M649" s="3">
        <f t="shared" si="55"/>
        <v>17.449999999999964</v>
      </c>
      <c r="N649" s="3">
        <v>3.2</v>
      </c>
    </row>
    <row r="650" spans="4:14" ht="15" customHeight="1" x14ac:dyDescent="0.25">
      <c r="H650" s="3" t="s">
        <v>49</v>
      </c>
      <c r="I650" s="3" t="s">
        <v>34</v>
      </c>
      <c r="J650" s="3">
        <f t="shared" si="54"/>
        <v>165977</v>
      </c>
      <c r="K650" s="3">
        <f t="shared" si="53"/>
        <v>166004</v>
      </c>
      <c r="L650" s="3">
        <v>27</v>
      </c>
      <c r="M650" s="3">
        <f t="shared" si="55"/>
        <v>14.249999999999964</v>
      </c>
      <c r="N650" s="3">
        <v>3.2</v>
      </c>
    </row>
    <row r="652" spans="4:14" ht="15" customHeight="1" x14ac:dyDescent="0.25">
      <c r="D652" s="2" t="s">
        <v>52</v>
      </c>
      <c r="E652" s="2"/>
      <c r="F652" s="2"/>
      <c r="G652" s="2"/>
    </row>
    <row r="653" spans="4:14" ht="15" customHeight="1" x14ac:dyDescent="0.25">
      <c r="D653" s="13">
        <v>44837</v>
      </c>
      <c r="H653" s="3" t="s">
        <v>34</v>
      </c>
      <c r="I653" s="3" t="s">
        <v>36</v>
      </c>
      <c r="J653" s="3">
        <f>K650</f>
        <v>166004</v>
      </c>
      <c r="K653" s="3">
        <f t="shared" ref="K653:K698" si="56">J653+L653</f>
        <v>166019</v>
      </c>
      <c r="L653" s="3">
        <v>15</v>
      </c>
      <c r="M653" s="3">
        <f>(E653+M650)-N653</f>
        <v>12.449999999999964</v>
      </c>
      <c r="N653" s="3">
        <v>1.8</v>
      </c>
    </row>
    <row r="654" spans="4:14" ht="15" customHeight="1" x14ac:dyDescent="0.25">
      <c r="D654" s="13"/>
      <c r="H654" s="3" t="s">
        <v>36</v>
      </c>
      <c r="I654" s="3" t="s">
        <v>34</v>
      </c>
      <c r="J654" s="3">
        <f t="shared" ref="J654:J698" si="57">K653</f>
        <v>166019</v>
      </c>
      <c r="K654" s="3">
        <f t="shared" si="56"/>
        <v>166034</v>
      </c>
      <c r="L654" s="3">
        <v>15</v>
      </c>
      <c r="M654" s="3">
        <f t="shared" ref="M654:M698" si="58">(E654+M653)-N654</f>
        <v>10.649999999999963</v>
      </c>
      <c r="N654" s="3">
        <v>1.8</v>
      </c>
    </row>
    <row r="655" spans="4:14" ht="15" customHeight="1" x14ac:dyDescent="0.25">
      <c r="D655" s="13">
        <v>44838</v>
      </c>
      <c r="H655" s="3" t="s">
        <v>34</v>
      </c>
      <c r="I655" s="3" t="s">
        <v>35</v>
      </c>
      <c r="J655" s="3">
        <f t="shared" si="57"/>
        <v>166034</v>
      </c>
      <c r="K655" s="3">
        <f t="shared" si="56"/>
        <v>166046</v>
      </c>
      <c r="L655" s="3">
        <v>12</v>
      </c>
      <c r="M655" s="3">
        <f t="shared" si="58"/>
        <v>9.3999999999999631</v>
      </c>
      <c r="N655" s="3">
        <v>1.25</v>
      </c>
    </row>
    <row r="656" spans="4:14" ht="15" customHeight="1" x14ac:dyDescent="0.25">
      <c r="D656" s="13"/>
      <c r="H656" s="3" t="s">
        <v>35</v>
      </c>
      <c r="I656" s="3" t="s">
        <v>34</v>
      </c>
      <c r="J656" s="3">
        <f t="shared" si="57"/>
        <v>166046</v>
      </c>
      <c r="K656" s="3">
        <f t="shared" si="56"/>
        <v>166058</v>
      </c>
      <c r="L656" s="3">
        <v>12</v>
      </c>
      <c r="M656" s="3">
        <f t="shared" si="58"/>
        <v>8.1499999999999631</v>
      </c>
      <c r="N656" s="3">
        <v>1.25</v>
      </c>
    </row>
    <row r="657" spans="4:14" ht="15" customHeight="1" x14ac:dyDescent="0.25">
      <c r="D657" s="13">
        <v>44839</v>
      </c>
      <c r="H657" s="3" t="s">
        <v>34</v>
      </c>
      <c r="I657" s="3" t="s">
        <v>35</v>
      </c>
      <c r="J657" s="3">
        <f t="shared" si="57"/>
        <v>166058</v>
      </c>
      <c r="K657" s="3">
        <f t="shared" si="56"/>
        <v>166070</v>
      </c>
      <c r="L657" s="3">
        <v>12</v>
      </c>
      <c r="M657" s="3">
        <f t="shared" si="58"/>
        <v>6.8999999999999631</v>
      </c>
      <c r="N657" s="3">
        <v>1.25</v>
      </c>
    </row>
    <row r="658" spans="4:14" ht="15" customHeight="1" x14ac:dyDescent="0.25">
      <c r="D658" s="13"/>
      <c r="H658" s="3" t="s">
        <v>35</v>
      </c>
      <c r="I658" s="3" t="s">
        <v>34</v>
      </c>
      <c r="J658" s="3">
        <f t="shared" si="57"/>
        <v>166070</v>
      </c>
      <c r="K658" s="3">
        <f t="shared" si="56"/>
        <v>166082</v>
      </c>
      <c r="L658" s="3">
        <v>12</v>
      </c>
      <c r="M658" s="3">
        <f t="shared" si="58"/>
        <v>5.6499999999999631</v>
      </c>
      <c r="N658" s="3">
        <v>1.25</v>
      </c>
    </row>
    <row r="659" spans="4:14" ht="15" customHeight="1" x14ac:dyDescent="0.25">
      <c r="D659" s="13">
        <v>44840</v>
      </c>
      <c r="H659" s="3" t="s">
        <v>34</v>
      </c>
      <c r="I659" s="3" t="s">
        <v>35</v>
      </c>
      <c r="J659" s="3">
        <f t="shared" si="57"/>
        <v>166082</v>
      </c>
      <c r="K659" s="3">
        <f t="shared" si="56"/>
        <v>166094</v>
      </c>
      <c r="L659" s="3">
        <v>12</v>
      </c>
      <c r="M659" s="3">
        <f t="shared" si="58"/>
        <v>4.3999999999999631</v>
      </c>
      <c r="N659" s="3">
        <v>1.25</v>
      </c>
    </row>
    <row r="660" spans="4:14" ht="15" customHeight="1" x14ac:dyDescent="0.25">
      <c r="D660" s="13"/>
      <c r="H660" s="3" t="s">
        <v>35</v>
      </c>
      <c r="I660" s="3" t="s">
        <v>34</v>
      </c>
      <c r="J660" s="3">
        <f t="shared" si="57"/>
        <v>166094</v>
      </c>
      <c r="K660" s="3">
        <f t="shared" si="56"/>
        <v>166106</v>
      </c>
      <c r="L660" s="3">
        <v>12</v>
      </c>
      <c r="M660" s="3">
        <f t="shared" si="58"/>
        <v>3.1499999999999631</v>
      </c>
      <c r="N660" s="3">
        <v>1.25</v>
      </c>
    </row>
    <row r="661" spans="4:14" ht="15" customHeight="1" x14ac:dyDescent="0.25">
      <c r="D661" s="13">
        <v>44841</v>
      </c>
      <c r="H661" s="3" t="s">
        <v>34</v>
      </c>
      <c r="I661" s="3" t="s">
        <v>35</v>
      </c>
      <c r="J661" s="3">
        <f t="shared" si="57"/>
        <v>166106</v>
      </c>
      <c r="K661" s="3">
        <f t="shared" si="56"/>
        <v>166118</v>
      </c>
      <c r="L661" s="3">
        <v>12</v>
      </c>
      <c r="M661" s="3">
        <f t="shared" si="58"/>
        <v>1.8999999999999631</v>
      </c>
      <c r="N661" s="3">
        <v>1.25</v>
      </c>
    </row>
    <row r="662" spans="4:14" ht="15" customHeight="1" x14ac:dyDescent="0.25">
      <c r="D662" s="13"/>
      <c r="H662" s="3" t="s">
        <v>35</v>
      </c>
      <c r="I662" s="3" t="s">
        <v>34</v>
      </c>
      <c r="J662" s="3">
        <f t="shared" si="57"/>
        <v>166118</v>
      </c>
      <c r="K662" s="3">
        <f t="shared" si="56"/>
        <v>166130</v>
      </c>
      <c r="L662" s="3">
        <v>12</v>
      </c>
      <c r="M662" s="3">
        <f t="shared" si="58"/>
        <v>0.64999999999996305</v>
      </c>
      <c r="N662" s="3">
        <v>1.25</v>
      </c>
    </row>
    <row r="663" spans="4:14" ht="15" customHeight="1" x14ac:dyDescent="0.25">
      <c r="D663" s="13">
        <v>44844</v>
      </c>
      <c r="E663">
        <v>31.77</v>
      </c>
      <c r="F663" s="3">
        <v>51.6</v>
      </c>
      <c r="G663" s="8">
        <f>E663*F663</f>
        <v>1639.3320000000001</v>
      </c>
      <c r="H663" s="3" t="s">
        <v>34</v>
      </c>
      <c r="I663" s="3" t="s">
        <v>49</v>
      </c>
      <c r="J663" s="3">
        <f t="shared" si="57"/>
        <v>166130</v>
      </c>
      <c r="K663" s="3">
        <f t="shared" si="56"/>
        <v>166157</v>
      </c>
      <c r="L663" s="3">
        <v>27</v>
      </c>
      <c r="M663" s="3">
        <f t="shared" si="58"/>
        <v>29.21999999999996</v>
      </c>
      <c r="N663" s="3">
        <v>3.2</v>
      </c>
    </row>
    <row r="664" spans="4:14" ht="15" customHeight="1" x14ac:dyDescent="0.25">
      <c r="D664" s="13"/>
      <c r="G664" s="8"/>
      <c r="H664" s="3" t="s">
        <v>49</v>
      </c>
      <c r="I664" s="3" t="s">
        <v>34</v>
      </c>
      <c r="J664" s="3">
        <f t="shared" si="57"/>
        <v>166157</v>
      </c>
      <c r="K664" s="3">
        <f t="shared" si="56"/>
        <v>166184</v>
      </c>
      <c r="L664" s="3">
        <v>27</v>
      </c>
      <c r="M664" s="3">
        <f t="shared" si="58"/>
        <v>26.01999999999996</v>
      </c>
      <c r="N664" s="3">
        <v>3.2</v>
      </c>
    </row>
    <row r="665" spans="4:14" ht="15" customHeight="1" x14ac:dyDescent="0.25">
      <c r="D665" s="13">
        <v>44845</v>
      </c>
      <c r="H665" s="3" t="s">
        <v>34</v>
      </c>
      <c r="I665" s="3" t="s">
        <v>36</v>
      </c>
      <c r="J665" s="3">
        <f t="shared" si="57"/>
        <v>166184</v>
      </c>
      <c r="K665" s="3">
        <f t="shared" si="56"/>
        <v>166199</v>
      </c>
      <c r="L665" s="3">
        <v>15</v>
      </c>
      <c r="M665" s="3">
        <f t="shared" si="58"/>
        <v>24.21999999999996</v>
      </c>
      <c r="N665" s="3">
        <v>1.8</v>
      </c>
    </row>
    <row r="666" spans="4:14" ht="15" customHeight="1" x14ac:dyDescent="0.25">
      <c r="D666" s="13"/>
      <c r="H666" s="3" t="s">
        <v>36</v>
      </c>
      <c r="I666" s="3" t="s">
        <v>34</v>
      </c>
      <c r="J666" s="3">
        <f t="shared" si="57"/>
        <v>166199</v>
      </c>
      <c r="K666" s="3">
        <f t="shared" si="56"/>
        <v>166214</v>
      </c>
      <c r="L666" s="3">
        <v>15</v>
      </c>
      <c r="M666" s="3">
        <f t="shared" si="58"/>
        <v>22.419999999999959</v>
      </c>
      <c r="N666" s="3">
        <v>1.8</v>
      </c>
    </row>
    <row r="667" spans="4:14" ht="15" customHeight="1" x14ac:dyDescent="0.25">
      <c r="D667" s="13">
        <v>44846</v>
      </c>
      <c r="H667" s="3" t="s">
        <v>34</v>
      </c>
      <c r="I667" s="3" t="s">
        <v>49</v>
      </c>
      <c r="J667" s="3">
        <f t="shared" si="57"/>
        <v>166214</v>
      </c>
      <c r="K667" s="3">
        <f t="shared" si="56"/>
        <v>166241</v>
      </c>
      <c r="L667" s="3">
        <v>27</v>
      </c>
      <c r="M667" s="3">
        <f t="shared" si="58"/>
        <v>19.21999999999996</v>
      </c>
      <c r="N667" s="3">
        <v>3.2</v>
      </c>
    </row>
    <row r="668" spans="4:14" ht="15" customHeight="1" x14ac:dyDescent="0.25">
      <c r="D668" s="13"/>
      <c r="H668" s="3" t="s">
        <v>49</v>
      </c>
      <c r="I668" s="3" t="s">
        <v>34</v>
      </c>
      <c r="J668" s="3">
        <f t="shared" si="57"/>
        <v>166241</v>
      </c>
      <c r="K668" s="3">
        <f t="shared" si="56"/>
        <v>166268</v>
      </c>
      <c r="L668" s="3">
        <v>27</v>
      </c>
      <c r="M668" s="3">
        <f t="shared" si="58"/>
        <v>16.01999999999996</v>
      </c>
      <c r="N668" s="3">
        <v>3.2</v>
      </c>
    </row>
    <row r="669" spans="4:14" ht="15" customHeight="1" x14ac:dyDescent="0.25">
      <c r="D669" s="13">
        <v>44847</v>
      </c>
      <c r="H669" s="3" t="s">
        <v>34</v>
      </c>
      <c r="I669" s="3" t="s">
        <v>35</v>
      </c>
      <c r="J669" s="3">
        <f t="shared" si="57"/>
        <v>166268</v>
      </c>
      <c r="K669" s="3">
        <f t="shared" si="56"/>
        <v>166280</v>
      </c>
      <c r="L669" s="3">
        <v>12</v>
      </c>
      <c r="M669" s="3">
        <f t="shared" si="58"/>
        <v>14.76999999999996</v>
      </c>
      <c r="N669" s="3">
        <v>1.25</v>
      </c>
    </row>
    <row r="670" spans="4:14" ht="15" customHeight="1" x14ac:dyDescent="0.25">
      <c r="D670" s="13"/>
      <c r="H670" s="3" t="s">
        <v>35</v>
      </c>
      <c r="I670" s="3" t="s">
        <v>34</v>
      </c>
      <c r="J670" s="3">
        <f t="shared" si="57"/>
        <v>166280</v>
      </c>
      <c r="K670" s="3">
        <f t="shared" si="56"/>
        <v>166292</v>
      </c>
      <c r="L670" s="3">
        <v>12</v>
      </c>
      <c r="M670" s="3">
        <f t="shared" si="58"/>
        <v>13.51999999999996</v>
      </c>
      <c r="N670" s="3">
        <v>1.25</v>
      </c>
    </row>
    <row r="671" spans="4:14" ht="15" customHeight="1" x14ac:dyDescent="0.25">
      <c r="D671" s="13">
        <v>44848</v>
      </c>
      <c r="H671" s="3" t="s">
        <v>34</v>
      </c>
      <c r="I671" s="3" t="s">
        <v>32</v>
      </c>
      <c r="J671" s="3">
        <f t="shared" si="57"/>
        <v>166292</v>
      </c>
      <c r="K671" s="3">
        <f t="shared" si="56"/>
        <v>166317</v>
      </c>
      <c r="L671" s="3">
        <v>25</v>
      </c>
      <c r="M671" s="3">
        <f t="shared" si="58"/>
        <v>10.51999999999996</v>
      </c>
      <c r="N671" s="3">
        <v>3</v>
      </c>
    </row>
    <row r="672" spans="4:14" ht="15" customHeight="1" x14ac:dyDescent="0.25">
      <c r="D672" s="13"/>
      <c r="H672" s="3" t="s">
        <v>32</v>
      </c>
      <c r="I672" s="3" t="s">
        <v>34</v>
      </c>
      <c r="J672" s="3">
        <f t="shared" si="57"/>
        <v>166317</v>
      </c>
      <c r="K672" s="3">
        <f t="shared" si="56"/>
        <v>166342</v>
      </c>
      <c r="L672" s="3">
        <v>25</v>
      </c>
      <c r="M672" s="3">
        <f t="shared" si="58"/>
        <v>7.5199999999999605</v>
      </c>
      <c r="N672" s="3">
        <v>3</v>
      </c>
    </row>
    <row r="673" spans="4:14" ht="15" customHeight="1" x14ac:dyDescent="0.25">
      <c r="D673" s="13">
        <v>44851</v>
      </c>
      <c r="H673" s="3" t="s">
        <v>34</v>
      </c>
      <c r="I673" s="3" t="s">
        <v>49</v>
      </c>
      <c r="J673" s="3">
        <f t="shared" si="57"/>
        <v>166342</v>
      </c>
      <c r="K673" s="3">
        <f t="shared" si="56"/>
        <v>166369</v>
      </c>
      <c r="L673" s="3">
        <v>27</v>
      </c>
      <c r="M673" s="3">
        <f t="shared" si="58"/>
        <v>4.3199999999999603</v>
      </c>
      <c r="N673" s="3">
        <v>3.2</v>
      </c>
    </row>
    <row r="674" spans="4:14" ht="15" customHeight="1" x14ac:dyDescent="0.25">
      <c r="D674" s="13"/>
      <c r="H674" s="3" t="s">
        <v>49</v>
      </c>
      <c r="I674" s="3" t="s">
        <v>34</v>
      </c>
      <c r="J674" s="3">
        <f t="shared" si="57"/>
        <v>166369</v>
      </c>
      <c r="K674" s="3">
        <f t="shared" si="56"/>
        <v>166396</v>
      </c>
      <c r="L674" s="3">
        <v>27</v>
      </c>
      <c r="M674" s="3">
        <f t="shared" si="58"/>
        <v>1.1199999999999601</v>
      </c>
      <c r="N674" s="3">
        <v>3.2</v>
      </c>
    </row>
    <row r="675" spans="4:14" ht="15" customHeight="1" x14ac:dyDescent="0.25">
      <c r="D675" s="13">
        <v>44852</v>
      </c>
      <c r="E675">
        <v>31.99</v>
      </c>
      <c r="F675" s="3">
        <v>51.6</v>
      </c>
      <c r="G675" s="8">
        <f>E675*F675</f>
        <v>1650.684</v>
      </c>
      <c r="H675" s="3" t="s">
        <v>34</v>
      </c>
      <c r="I675" s="3" t="s">
        <v>49</v>
      </c>
      <c r="J675" s="3">
        <f t="shared" si="57"/>
        <v>166396</v>
      </c>
      <c r="K675" s="3">
        <f t="shared" si="56"/>
        <v>166423</v>
      </c>
      <c r="L675" s="3">
        <v>27</v>
      </c>
      <c r="M675" s="3">
        <f t="shared" si="58"/>
        <v>29.909999999999958</v>
      </c>
      <c r="N675" s="3">
        <v>3.2</v>
      </c>
    </row>
    <row r="676" spans="4:14" ht="15" customHeight="1" x14ac:dyDescent="0.25">
      <c r="D676" s="13"/>
      <c r="G676" s="8"/>
      <c r="H676" s="3" t="s">
        <v>49</v>
      </c>
      <c r="I676" s="3" t="s">
        <v>34</v>
      </c>
      <c r="J676" s="3">
        <f t="shared" si="57"/>
        <v>166423</v>
      </c>
      <c r="K676" s="3">
        <f t="shared" si="56"/>
        <v>166450</v>
      </c>
      <c r="L676" s="3">
        <v>27</v>
      </c>
      <c r="M676" s="3">
        <f t="shared" si="58"/>
        <v>26.709999999999958</v>
      </c>
      <c r="N676" s="3">
        <v>3.2</v>
      </c>
    </row>
    <row r="677" spans="4:14" ht="15" customHeight="1" x14ac:dyDescent="0.25">
      <c r="D677" s="13">
        <v>44853</v>
      </c>
      <c r="H677" s="3" t="s">
        <v>34</v>
      </c>
      <c r="I677" s="3" t="s">
        <v>49</v>
      </c>
      <c r="J677" s="3">
        <f t="shared" si="57"/>
        <v>166450</v>
      </c>
      <c r="K677" s="3">
        <f t="shared" si="56"/>
        <v>166477</v>
      </c>
      <c r="L677" s="3">
        <v>27</v>
      </c>
      <c r="M677" s="3">
        <f t="shared" si="58"/>
        <v>23.509999999999959</v>
      </c>
      <c r="N677" s="3">
        <v>3.2</v>
      </c>
    </row>
    <row r="678" spans="4:14" ht="15" customHeight="1" x14ac:dyDescent="0.25">
      <c r="D678" s="13"/>
      <c r="H678" s="3" t="s">
        <v>49</v>
      </c>
      <c r="I678" s="3" t="s">
        <v>34</v>
      </c>
      <c r="J678" s="3">
        <f t="shared" si="57"/>
        <v>166477</v>
      </c>
      <c r="K678" s="3">
        <f t="shared" si="56"/>
        <v>166504</v>
      </c>
      <c r="L678" s="3">
        <v>27</v>
      </c>
      <c r="M678" s="3">
        <f t="shared" si="58"/>
        <v>20.30999999999996</v>
      </c>
      <c r="N678" s="3">
        <v>3.2</v>
      </c>
    </row>
    <row r="679" spans="4:14" ht="15" customHeight="1" x14ac:dyDescent="0.25">
      <c r="D679" s="13">
        <v>44854</v>
      </c>
      <c r="H679" s="3" t="s">
        <v>34</v>
      </c>
      <c r="I679" s="3" t="s">
        <v>49</v>
      </c>
      <c r="J679" s="3">
        <f t="shared" si="57"/>
        <v>166504</v>
      </c>
      <c r="K679" s="3">
        <f t="shared" si="56"/>
        <v>166531</v>
      </c>
      <c r="L679" s="3">
        <v>27</v>
      </c>
      <c r="M679" s="3">
        <f t="shared" si="58"/>
        <v>17.10999999999996</v>
      </c>
      <c r="N679" s="3">
        <v>3.2</v>
      </c>
    </row>
    <row r="680" spans="4:14" ht="15" customHeight="1" x14ac:dyDescent="0.25">
      <c r="D680" s="13"/>
      <c r="H680" s="3" t="s">
        <v>49</v>
      </c>
      <c r="I680" s="3" t="s">
        <v>34</v>
      </c>
      <c r="J680" s="3">
        <f t="shared" si="57"/>
        <v>166531</v>
      </c>
      <c r="K680" s="3">
        <f t="shared" si="56"/>
        <v>166558</v>
      </c>
      <c r="L680" s="3">
        <v>27</v>
      </c>
      <c r="M680" s="3">
        <f t="shared" si="58"/>
        <v>13.909999999999961</v>
      </c>
      <c r="N680" s="3">
        <v>3.2</v>
      </c>
    </row>
    <row r="681" spans="4:14" ht="15" customHeight="1" x14ac:dyDescent="0.25">
      <c r="D681" s="13">
        <v>44855</v>
      </c>
      <c r="E681">
        <v>30.63</v>
      </c>
      <c r="F681" s="3">
        <v>51.6</v>
      </c>
      <c r="G681" s="8">
        <f>E681*F681</f>
        <v>1580.508</v>
      </c>
      <c r="H681" s="3" t="s">
        <v>34</v>
      </c>
      <c r="I681" s="3" t="s">
        <v>49</v>
      </c>
      <c r="J681" s="3">
        <f t="shared" si="57"/>
        <v>166558</v>
      </c>
      <c r="K681" s="3">
        <f t="shared" si="56"/>
        <v>166585</v>
      </c>
      <c r="L681" s="3">
        <v>27</v>
      </c>
      <c r="M681" s="3">
        <f t="shared" si="58"/>
        <v>41.339999999999961</v>
      </c>
      <c r="N681" s="3">
        <v>3.2</v>
      </c>
    </row>
    <row r="682" spans="4:14" ht="15" customHeight="1" x14ac:dyDescent="0.25">
      <c r="D682" s="13"/>
      <c r="G682" s="8"/>
      <c r="H682" s="3" t="s">
        <v>49</v>
      </c>
      <c r="I682" s="3" t="s">
        <v>34</v>
      </c>
      <c r="J682" s="3">
        <f t="shared" si="57"/>
        <v>166585</v>
      </c>
      <c r="K682" s="3">
        <f t="shared" si="56"/>
        <v>166612</v>
      </c>
      <c r="L682" s="3">
        <v>27</v>
      </c>
      <c r="M682" s="3">
        <f t="shared" si="58"/>
        <v>38.139999999999958</v>
      </c>
      <c r="N682" s="3">
        <v>3.2</v>
      </c>
    </row>
    <row r="683" spans="4:14" ht="15" customHeight="1" x14ac:dyDescent="0.25">
      <c r="D683" s="13">
        <v>44858</v>
      </c>
      <c r="H683" s="3" t="s">
        <v>34</v>
      </c>
      <c r="I683" s="3" t="s">
        <v>36</v>
      </c>
      <c r="J683" s="3">
        <f t="shared" si="57"/>
        <v>166612</v>
      </c>
      <c r="K683" s="3">
        <f t="shared" si="56"/>
        <v>166627</v>
      </c>
      <c r="L683" s="3">
        <v>15</v>
      </c>
      <c r="M683" s="3">
        <f t="shared" si="58"/>
        <v>36.339999999999961</v>
      </c>
      <c r="N683" s="3">
        <v>1.8</v>
      </c>
    </row>
    <row r="684" spans="4:14" ht="15" customHeight="1" x14ac:dyDescent="0.25">
      <c r="D684" s="13"/>
      <c r="H684" s="3" t="s">
        <v>36</v>
      </c>
      <c r="I684" s="3" t="s">
        <v>34</v>
      </c>
      <c r="J684" s="3">
        <f t="shared" si="57"/>
        <v>166627</v>
      </c>
      <c r="K684" s="3">
        <f t="shared" si="56"/>
        <v>166642</v>
      </c>
      <c r="L684" s="3">
        <v>15</v>
      </c>
      <c r="M684" s="3">
        <f t="shared" si="58"/>
        <v>34.539999999999964</v>
      </c>
      <c r="N684" s="3">
        <v>1.8</v>
      </c>
    </row>
    <row r="685" spans="4:14" ht="15" customHeight="1" x14ac:dyDescent="0.25">
      <c r="D685" s="13">
        <v>44859</v>
      </c>
      <c r="H685" s="3" t="s">
        <v>34</v>
      </c>
      <c r="I685" s="3" t="s">
        <v>32</v>
      </c>
      <c r="J685" s="3">
        <f t="shared" si="57"/>
        <v>166642</v>
      </c>
      <c r="K685" s="3">
        <f t="shared" si="56"/>
        <v>166667</v>
      </c>
      <c r="L685" s="3">
        <v>25</v>
      </c>
      <c r="M685" s="3">
        <f t="shared" si="58"/>
        <v>31.539999999999964</v>
      </c>
      <c r="N685" s="3">
        <v>3</v>
      </c>
    </row>
    <row r="686" spans="4:14" ht="15" customHeight="1" x14ac:dyDescent="0.25">
      <c r="D686" s="13"/>
      <c r="H686" s="3" t="s">
        <v>32</v>
      </c>
      <c r="I686" s="3" t="s">
        <v>34</v>
      </c>
      <c r="J686" s="3">
        <f t="shared" si="57"/>
        <v>166667</v>
      </c>
      <c r="K686" s="3">
        <f t="shared" si="56"/>
        <v>166692</v>
      </c>
      <c r="L686" s="3">
        <v>25</v>
      </c>
      <c r="M686" s="3">
        <f t="shared" si="58"/>
        <v>28.539999999999964</v>
      </c>
      <c r="N686" s="3">
        <v>3</v>
      </c>
    </row>
    <row r="687" spans="4:14" ht="15" customHeight="1" x14ac:dyDescent="0.25">
      <c r="D687" s="13"/>
      <c r="H687" s="3" t="s">
        <v>34</v>
      </c>
      <c r="I687" s="3" t="s">
        <v>49</v>
      </c>
      <c r="J687" s="3">
        <f t="shared" si="57"/>
        <v>166692</v>
      </c>
      <c r="K687" s="3">
        <f t="shared" si="56"/>
        <v>166719</v>
      </c>
      <c r="L687" s="3">
        <v>27</v>
      </c>
      <c r="M687" s="3">
        <f t="shared" si="58"/>
        <v>25.339999999999964</v>
      </c>
      <c r="N687" s="3">
        <v>3.2</v>
      </c>
    </row>
    <row r="688" spans="4:14" ht="15" customHeight="1" x14ac:dyDescent="0.25">
      <c r="D688" s="13"/>
      <c r="H688" s="3" t="s">
        <v>49</v>
      </c>
      <c r="I688" s="3" t="s">
        <v>34</v>
      </c>
      <c r="J688" s="3">
        <f t="shared" si="57"/>
        <v>166719</v>
      </c>
      <c r="K688" s="3">
        <f t="shared" si="56"/>
        <v>166746</v>
      </c>
      <c r="L688" s="3">
        <v>27</v>
      </c>
      <c r="M688" s="3">
        <f t="shared" si="58"/>
        <v>22.139999999999965</v>
      </c>
      <c r="N688" s="3">
        <v>3.2</v>
      </c>
    </row>
    <row r="689" spans="4:14" ht="15" customHeight="1" x14ac:dyDescent="0.25">
      <c r="D689" s="13">
        <v>44860</v>
      </c>
      <c r="H689" s="3" t="s">
        <v>34</v>
      </c>
      <c r="I689" s="3" t="s">
        <v>35</v>
      </c>
      <c r="J689" s="3">
        <f t="shared" si="57"/>
        <v>166746</v>
      </c>
      <c r="K689" s="3">
        <f t="shared" si="56"/>
        <v>166758</v>
      </c>
      <c r="L689" s="3">
        <v>12</v>
      </c>
      <c r="M689" s="3">
        <f t="shared" si="58"/>
        <v>20.889999999999965</v>
      </c>
      <c r="N689" s="3">
        <v>1.25</v>
      </c>
    </row>
    <row r="690" spans="4:14" ht="15" customHeight="1" x14ac:dyDescent="0.25">
      <c r="D690" s="13"/>
      <c r="H690" s="3" t="s">
        <v>35</v>
      </c>
      <c r="I690" s="3" t="s">
        <v>34</v>
      </c>
      <c r="J690" s="3">
        <f t="shared" si="57"/>
        <v>166758</v>
      </c>
      <c r="K690" s="3">
        <f t="shared" si="56"/>
        <v>166770</v>
      </c>
      <c r="L690" s="3">
        <v>12</v>
      </c>
      <c r="M690" s="3">
        <f t="shared" si="58"/>
        <v>19.639999999999965</v>
      </c>
      <c r="N690" s="3">
        <v>1.25</v>
      </c>
    </row>
    <row r="691" spans="4:14" ht="15" customHeight="1" x14ac:dyDescent="0.25">
      <c r="D691" s="13">
        <v>44861</v>
      </c>
      <c r="H691" s="3" t="s">
        <v>34</v>
      </c>
      <c r="I691" s="3" t="s">
        <v>49</v>
      </c>
      <c r="J691" s="3">
        <f t="shared" si="57"/>
        <v>166770</v>
      </c>
      <c r="K691" s="3">
        <f t="shared" si="56"/>
        <v>166797</v>
      </c>
      <c r="L691" s="3">
        <v>27</v>
      </c>
      <c r="M691" s="3">
        <f t="shared" si="58"/>
        <v>16.439999999999966</v>
      </c>
      <c r="N691" s="3">
        <v>3.2</v>
      </c>
    </row>
    <row r="692" spans="4:14" ht="15" customHeight="1" x14ac:dyDescent="0.25">
      <c r="D692" s="13"/>
      <c r="H692" s="3" t="s">
        <v>49</v>
      </c>
      <c r="I692" s="3" t="s">
        <v>34</v>
      </c>
      <c r="J692" s="3">
        <f t="shared" si="57"/>
        <v>166797</v>
      </c>
      <c r="K692" s="3">
        <f t="shared" si="56"/>
        <v>166824</v>
      </c>
      <c r="L692" s="3">
        <v>27</v>
      </c>
      <c r="M692" s="3">
        <f t="shared" si="58"/>
        <v>13.239999999999966</v>
      </c>
      <c r="N692" s="3">
        <v>3.2</v>
      </c>
    </row>
    <row r="693" spans="4:14" ht="15" customHeight="1" x14ac:dyDescent="0.25">
      <c r="D693" s="13">
        <v>44862</v>
      </c>
      <c r="E693">
        <v>33.75</v>
      </c>
      <c r="F693" s="3">
        <v>50.8</v>
      </c>
      <c r="G693" s="8">
        <f>E693*F693</f>
        <v>1714.5</v>
      </c>
      <c r="H693" s="3" t="s">
        <v>34</v>
      </c>
      <c r="I693" s="3" t="s">
        <v>49</v>
      </c>
      <c r="J693" s="3">
        <f t="shared" si="57"/>
        <v>166824</v>
      </c>
      <c r="K693" s="3">
        <f t="shared" si="56"/>
        <v>166851</v>
      </c>
      <c r="L693" s="3">
        <v>27</v>
      </c>
      <c r="M693" s="3">
        <f t="shared" si="58"/>
        <v>43.789999999999964</v>
      </c>
      <c r="N693" s="3">
        <v>3.2</v>
      </c>
    </row>
    <row r="694" spans="4:14" ht="15" customHeight="1" x14ac:dyDescent="0.25">
      <c r="D694" s="13"/>
      <c r="G694" s="8"/>
      <c r="H694" s="3" t="s">
        <v>49</v>
      </c>
      <c r="I694" s="3" t="s">
        <v>34</v>
      </c>
      <c r="J694" s="3">
        <f t="shared" si="57"/>
        <v>166851</v>
      </c>
      <c r="K694" s="3">
        <f t="shared" si="56"/>
        <v>166878</v>
      </c>
      <c r="L694" s="3">
        <v>27</v>
      </c>
      <c r="M694" s="3">
        <f t="shared" si="58"/>
        <v>40.589999999999961</v>
      </c>
      <c r="N694" s="3">
        <v>3.2</v>
      </c>
    </row>
    <row r="695" spans="4:14" ht="15" customHeight="1" x14ac:dyDescent="0.25">
      <c r="D695" s="13">
        <v>44865</v>
      </c>
      <c r="H695" s="3" t="s">
        <v>34</v>
      </c>
      <c r="I695" s="3" t="s">
        <v>37</v>
      </c>
      <c r="J695" s="3">
        <f t="shared" si="57"/>
        <v>166878</v>
      </c>
      <c r="K695" s="3">
        <f t="shared" si="56"/>
        <v>166918</v>
      </c>
      <c r="L695" s="3">
        <v>40</v>
      </c>
      <c r="M695" s="3">
        <f t="shared" si="58"/>
        <v>35.789999999999964</v>
      </c>
      <c r="N695" s="3">
        <v>4.8</v>
      </c>
    </row>
    <row r="696" spans="4:14" ht="15" customHeight="1" x14ac:dyDescent="0.25">
      <c r="H696" s="3" t="s">
        <v>37</v>
      </c>
      <c r="I696" s="3" t="s">
        <v>34</v>
      </c>
      <c r="J696" s="3">
        <f t="shared" si="57"/>
        <v>166918</v>
      </c>
      <c r="K696" s="3">
        <f t="shared" si="56"/>
        <v>166958</v>
      </c>
      <c r="L696" s="3">
        <v>40</v>
      </c>
      <c r="M696" s="3">
        <f t="shared" si="58"/>
        <v>30.989999999999963</v>
      </c>
      <c r="N696" s="3">
        <v>4.8</v>
      </c>
    </row>
    <row r="697" spans="4:14" ht="15" customHeight="1" x14ac:dyDescent="0.25">
      <c r="D697" s="13"/>
      <c r="H697" s="3" t="s">
        <v>34</v>
      </c>
      <c r="I697" s="3" t="s">
        <v>49</v>
      </c>
      <c r="J697" s="3">
        <f t="shared" si="57"/>
        <v>166958</v>
      </c>
      <c r="K697" s="3">
        <f t="shared" si="56"/>
        <v>166985</v>
      </c>
      <c r="L697" s="3">
        <v>27</v>
      </c>
      <c r="M697" s="3">
        <f t="shared" si="58"/>
        <v>27.789999999999964</v>
      </c>
      <c r="N697" s="3">
        <v>3.2</v>
      </c>
    </row>
    <row r="698" spans="4:14" ht="15" customHeight="1" x14ac:dyDescent="0.25">
      <c r="D698" s="13"/>
      <c r="H698" s="3" t="s">
        <v>49</v>
      </c>
      <c r="I698" s="3" t="s">
        <v>34</v>
      </c>
      <c r="J698" s="3">
        <f t="shared" si="57"/>
        <v>166985</v>
      </c>
      <c r="K698" s="3">
        <f t="shared" si="56"/>
        <v>167012</v>
      </c>
      <c r="L698" s="3">
        <v>27</v>
      </c>
      <c r="M698" s="3">
        <f t="shared" si="58"/>
        <v>24.589999999999964</v>
      </c>
      <c r="N698" s="3">
        <v>3.2</v>
      </c>
    </row>
    <row r="699" spans="4:14" ht="15" customHeight="1" x14ac:dyDescent="0.25">
      <c r="D699" s="13"/>
    </row>
    <row r="700" spans="4:14" ht="15" customHeight="1" x14ac:dyDescent="0.25">
      <c r="D700" s="2" t="s">
        <v>53</v>
      </c>
      <c r="E700" s="2"/>
      <c r="F700" s="2"/>
      <c r="G700" s="2"/>
    </row>
    <row r="701" spans="4:14" ht="15" customHeight="1" x14ac:dyDescent="0.25">
      <c r="D701" s="13">
        <v>44866</v>
      </c>
      <c r="H701" s="3" t="s">
        <v>34</v>
      </c>
      <c r="I701" s="3" t="s">
        <v>49</v>
      </c>
      <c r="J701" s="3">
        <f>K698</f>
        <v>167012</v>
      </c>
      <c r="K701" s="3">
        <f t="shared" ref="K701:K732" si="59">J701+L701</f>
        <v>167039</v>
      </c>
      <c r="L701" s="3">
        <v>27</v>
      </c>
      <c r="M701" s="3">
        <f>(E701+M698)-N701</f>
        <v>21.389999999999965</v>
      </c>
      <c r="N701" s="3">
        <v>3.2</v>
      </c>
    </row>
    <row r="702" spans="4:14" ht="15" customHeight="1" x14ac:dyDescent="0.25">
      <c r="D702" s="13"/>
      <c r="H702" s="3" t="s">
        <v>49</v>
      </c>
      <c r="I702" s="3" t="s">
        <v>34</v>
      </c>
      <c r="J702" s="3">
        <f t="shared" ref="J702:J733" si="60">K701</f>
        <v>167039</v>
      </c>
      <c r="K702" s="3">
        <f t="shared" si="59"/>
        <v>167066</v>
      </c>
      <c r="L702" s="3">
        <v>27</v>
      </c>
      <c r="M702" s="3">
        <f t="shared" ref="M702:M733" si="61">(E702+M701)-N702</f>
        <v>18.189999999999966</v>
      </c>
      <c r="N702" s="3">
        <v>3.2</v>
      </c>
    </row>
    <row r="703" spans="4:14" ht="15" customHeight="1" x14ac:dyDescent="0.25">
      <c r="D703" s="13">
        <v>44867</v>
      </c>
      <c r="E703">
        <v>32.909999999999997</v>
      </c>
      <c r="F703" s="3">
        <v>51.6</v>
      </c>
      <c r="G703" s="8">
        <f>E703*F703</f>
        <v>1698.1559999999999</v>
      </c>
      <c r="H703" s="3" t="s">
        <v>34</v>
      </c>
      <c r="I703" s="3" t="s">
        <v>24</v>
      </c>
      <c r="J703" s="3">
        <f t="shared" si="60"/>
        <v>167066</v>
      </c>
      <c r="K703" s="3">
        <f t="shared" si="59"/>
        <v>167080</v>
      </c>
      <c r="L703" s="3">
        <v>14</v>
      </c>
      <c r="M703" s="3">
        <f t="shared" si="61"/>
        <v>49.599999999999966</v>
      </c>
      <c r="N703" s="3">
        <v>1.5</v>
      </c>
    </row>
    <row r="704" spans="4:14" ht="15" customHeight="1" x14ac:dyDescent="0.25">
      <c r="D704" s="13"/>
      <c r="G704" s="8"/>
      <c r="H704" s="3" t="s">
        <v>24</v>
      </c>
      <c r="I704" s="3" t="s">
        <v>34</v>
      </c>
      <c r="J704" s="3">
        <f t="shared" si="60"/>
        <v>167080</v>
      </c>
      <c r="K704" s="3">
        <f t="shared" si="59"/>
        <v>167094</v>
      </c>
      <c r="L704" s="3">
        <v>14</v>
      </c>
      <c r="M704" s="3">
        <f t="shared" si="61"/>
        <v>48.099999999999966</v>
      </c>
      <c r="N704" s="3">
        <v>1.5</v>
      </c>
    </row>
    <row r="705" spans="4:14" ht="15" customHeight="1" x14ac:dyDescent="0.25">
      <c r="D705" s="13"/>
      <c r="G705" s="8"/>
      <c r="H705" s="3" t="s">
        <v>34</v>
      </c>
      <c r="I705" s="3" t="s">
        <v>37</v>
      </c>
      <c r="J705" s="3">
        <f t="shared" si="60"/>
        <v>167094</v>
      </c>
      <c r="K705" s="3">
        <f t="shared" si="59"/>
        <v>167134</v>
      </c>
      <c r="L705" s="3">
        <v>40</v>
      </c>
      <c r="M705" s="3">
        <f t="shared" si="61"/>
        <v>43.299999999999969</v>
      </c>
      <c r="N705" s="3">
        <v>4.8</v>
      </c>
    </row>
    <row r="706" spans="4:14" ht="15" customHeight="1" x14ac:dyDescent="0.25">
      <c r="D706" s="13"/>
      <c r="G706" s="8"/>
      <c r="H706" s="3" t="s">
        <v>37</v>
      </c>
      <c r="I706" s="3" t="s">
        <v>34</v>
      </c>
      <c r="J706" s="3">
        <f t="shared" si="60"/>
        <v>167134</v>
      </c>
      <c r="K706" s="3">
        <f t="shared" si="59"/>
        <v>167174</v>
      </c>
      <c r="L706" s="3">
        <v>40</v>
      </c>
      <c r="M706" s="3">
        <f t="shared" si="61"/>
        <v>38.499999999999972</v>
      </c>
      <c r="N706" s="3">
        <v>4.8</v>
      </c>
    </row>
    <row r="707" spans="4:14" ht="15" customHeight="1" x14ac:dyDescent="0.25">
      <c r="D707" s="13">
        <v>44868</v>
      </c>
      <c r="H707" s="3" t="s">
        <v>34</v>
      </c>
      <c r="I707" s="3" t="s">
        <v>32</v>
      </c>
      <c r="J707" s="3">
        <f t="shared" si="60"/>
        <v>167174</v>
      </c>
      <c r="K707" s="3">
        <f t="shared" si="59"/>
        <v>167199</v>
      </c>
      <c r="L707" s="3">
        <v>25</v>
      </c>
      <c r="M707" s="3">
        <f t="shared" si="61"/>
        <v>35.499999999999972</v>
      </c>
      <c r="N707" s="3">
        <v>3</v>
      </c>
    </row>
    <row r="708" spans="4:14" ht="15" customHeight="1" x14ac:dyDescent="0.25">
      <c r="D708" s="13"/>
      <c r="H708" s="3" t="s">
        <v>32</v>
      </c>
      <c r="I708" s="3" t="s">
        <v>34</v>
      </c>
      <c r="J708" s="3">
        <f t="shared" si="60"/>
        <v>167199</v>
      </c>
      <c r="K708" s="3">
        <f t="shared" si="59"/>
        <v>167224</v>
      </c>
      <c r="L708" s="3">
        <v>25</v>
      </c>
      <c r="M708" s="3">
        <f t="shared" si="61"/>
        <v>32.499999999999972</v>
      </c>
      <c r="N708" s="3">
        <v>3</v>
      </c>
    </row>
    <row r="709" spans="4:14" ht="15" customHeight="1" x14ac:dyDescent="0.25">
      <c r="D709" s="13"/>
      <c r="H709" s="3" t="s">
        <v>34</v>
      </c>
      <c r="I709" s="3" t="s">
        <v>37</v>
      </c>
      <c r="J709" s="3">
        <f t="shared" si="60"/>
        <v>167224</v>
      </c>
      <c r="K709" s="3">
        <f t="shared" si="59"/>
        <v>167264</v>
      </c>
      <c r="L709" s="3">
        <v>40</v>
      </c>
      <c r="M709" s="3">
        <f t="shared" si="61"/>
        <v>27.699999999999971</v>
      </c>
      <c r="N709" s="3">
        <v>4.8</v>
      </c>
    </row>
    <row r="710" spans="4:14" ht="15" customHeight="1" x14ac:dyDescent="0.25">
      <c r="D710" s="13"/>
      <c r="H710" s="3" t="s">
        <v>37</v>
      </c>
      <c r="I710" s="3" t="s">
        <v>34</v>
      </c>
      <c r="J710" s="3">
        <f t="shared" si="60"/>
        <v>167264</v>
      </c>
      <c r="K710" s="3">
        <f t="shared" si="59"/>
        <v>167304</v>
      </c>
      <c r="L710" s="3">
        <v>40</v>
      </c>
      <c r="M710" s="3">
        <f t="shared" si="61"/>
        <v>22.89999999999997</v>
      </c>
      <c r="N710" s="3">
        <v>4.8</v>
      </c>
    </row>
    <row r="711" spans="4:14" ht="15" customHeight="1" x14ac:dyDescent="0.25">
      <c r="D711" s="13">
        <v>44872</v>
      </c>
      <c r="H711" s="3" t="s">
        <v>34</v>
      </c>
      <c r="I711" s="3" t="s">
        <v>32</v>
      </c>
      <c r="J711" s="3">
        <f t="shared" si="60"/>
        <v>167304</v>
      </c>
      <c r="K711" s="3">
        <f t="shared" si="59"/>
        <v>167329</v>
      </c>
      <c r="L711" s="3">
        <v>25</v>
      </c>
      <c r="M711" s="3">
        <f t="shared" si="61"/>
        <v>19.89999999999997</v>
      </c>
      <c r="N711" s="3">
        <v>3</v>
      </c>
    </row>
    <row r="712" spans="4:14" ht="15" customHeight="1" x14ac:dyDescent="0.25">
      <c r="D712" s="13"/>
      <c r="H712" s="3" t="s">
        <v>32</v>
      </c>
      <c r="I712" s="3" t="s">
        <v>34</v>
      </c>
      <c r="J712" s="3">
        <f t="shared" si="60"/>
        <v>167329</v>
      </c>
      <c r="K712" s="3">
        <f t="shared" si="59"/>
        <v>167354</v>
      </c>
      <c r="L712" s="3">
        <v>25</v>
      </c>
      <c r="M712" s="3">
        <f t="shared" si="61"/>
        <v>16.89999999999997</v>
      </c>
      <c r="N712" s="3">
        <v>3</v>
      </c>
    </row>
    <row r="713" spans="4:14" ht="15" customHeight="1" x14ac:dyDescent="0.25">
      <c r="D713" s="13"/>
      <c r="H713" s="3" t="s">
        <v>34</v>
      </c>
      <c r="I713" s="3" t="s">
        <v>49</v>
      </c>
      <c r="J713" s="3">
        <f t="shared" si="60"/>
        <v>167354</v>
      </c>
      <c r="K713" s="3">
        <f t="shared" si="59"/>
        <v>167381</v>
      </c>
      <c r="L713" s="3">
        <v>27</v>
      </c>
      <c r="M713" s="3">
        <f t="shared" si="61"/>
        <v>13.699999999999971</v>
      </c>
      <c r="N713" s="3">
        <v>3.2</v>
      </c>
    </row>
    <row r="714" spans="4:14" ht="15" customHeight="1" x14ac:dyDescent="0.25">
      <c r="D714" s="13"/>
      <c r="H714" s="3" t="s">
        <v>49</v>
      </c>
      <c r="I714" s="3" t="s">
        <v>34</v>
      </c>
      <c r="J714" s="3">
        <f t="shared" si="60"/>
        <v>167381</v>
      </c>
      <c r="K714" s="3">
        <f t="shared" si="59"/>
        <v>167408</v>
      </c>
      <c r="L714" s="3">
        <v>27</v>
      </c>
      <c r="M714" s="3">
        <f t="shared" si="61"/>
        <v>10.499999999999972</v>
      </c>
      <c r="N714" s="3">
        <v>3.2</v>
      </c>
    </row>
    <row r="715" spans="4:14" ht="15" customHeight="1" x14ac:dyDescent="0.25">
      <c r="D715" s="13">
        <v>44873</v>
      </c>
      <c r="E715">
        <v>31.65</v>
      </c>
      <c r="F715" s="3">
        <v>51.9</v>
      </c>
      <c r="G715" s="8">
        <f>E715*F715</f>
        <v>1642.635</v>
      </c>
      <c r="H715" s="3" t="s">
        <v>34</v>
      </c>
      <c r="I715" s="3" t="s">
        <v>43</v>
      </c>
      <c r="J715" s="3">
        <f t="shared" si="60"/>
        <v>167408</v>
      </c>
      <c r="K715" s="3">
        <f t="shared" si="59"/>
        <v>167420</v>
      </c>
      <c r="L715" s="3">
        <v>12</v>
      </c>
      <c r="M715" s="3">
        <f t="shared" si="61"/>
        <v>40.89999999999997</v>
      </c>
      <c r="N715" s="3">
        <v>1.25</v>
      </c>
    </row>
    <row r="716" spans="4:14" ht="15" customHeight="1" x14ac:dyDescent="0.25">
      <c r="D716" s="13"/>
      <c r="G716" s="8"/>
      <c r="H716" s="3" t="s">
        <v>43</v>
      </c>
      <c r="I716" s="3" t="s">
        <v>34</v>
      </c>
      <c r="J716" s="3">
        <f t="shared" si="60"/>
        <v>167420</v>
      </c>
      <c r="K716" s="3">
        <f t="shared" si="59"/>
        <v>167432</v>
      </c>
      <c r="L716" s="3">
        <v>12</v>
      </c>
      <c r="M716" s="3">
        <f t="shared" si="61"/>
        <v>39.64999999999997</v>
      </c>
      <c r="N716" s="3">
        <v>1.25</v>
      </c>
    </row>
    <row r="717" spans="4:14" ht="15" customHeight="1" x14ac:dyDescent="0.25">
      <c r="D717" s="13">
        <v>44874</v>
      </c>
      <c r="H717" s="3" t="s">
        <v>34</v>
      </c>
      <c r="I717" s="3" t="s">
        <v>32</v>
      </c>
      <c r="J717" s="3">
        <f t="shared" si="60"/>
        <v>167432</v>
      </c>
      <c r="K717" s="3">
        <f t="shared" si="59"/>
        <v>167457</v>
      </c>
      <c r="L717" s="3">
        <v>25</v>
      </c>
      <c r="M717" s="3">
        <f t="shared" si="61"/>
        <v>36.64999999999997</v>
      </c>
      <c r="N717" s="3">
        <v>3</v>
      </c>
    </row>
    <row r="718" spans="4:14" ht="15" customHeight="1" x14ac:dyDescent="0.25">
      <c r="D718" s="13"/>
      <c r="H718" s="3" t="s">
        <v>32</v>
      </c>
      <c r="I718" s="3" t="s">
        <v>34</v>
      </c>
      <c r="J718" s="3">
        <f t="shared" si="60"/>
        <v>167457</v>
      </c>
      <c r="K718" s="3">
        <f t="shared" si="59"/>
        <v>167482</v>
      </c>
      <c r="L718" s="3">
        <v>25</v>
      </c>
      <c r="M718" s="3">
        <f t="shared" si="61"/>
        <v>33.64999999999997</v>
      </c>
      <c r="N718" s="3">
        <v>3</v>
      </c>
    </row>
    <row r="719" spans="4:14" ht="15" customHeight="1" x14ac:dyDescent="0.25">
      <c r="D719" s="13"/>
      <c r="H719" s="3" t="s">
        <v>34</v>
      </c>
      <c r="I719" s="3" t="s">
        <v>49</v>
      </c>
      <c r="J719" s="3">
        <f t="shared" si="60"/>
        <v>167482</v>
      </c>
      <c r="K719" s="3">
        <f t="shared" si="59"/>
        <v>167509</v>
      </c>
      <c r="L719" s="3">
        <v>27</v>
      </c>
      <c r="M719" s="3">
        <f t="shared" si="61"/>
        <v>30.449999999999971</v>
      </c>
      <c r="N719" s="3">
        <v>3.2</v>
      </c>
    </row>
    <row r="720" spans="4:14" ht="15" customHeight="1" x14ac:dyDescent="0.25">
      <c r="D720" s="13"/>
      <c r="H720" s="3" t="s">
        <v>49</v>
      </c>
      <c r="I720" s="3" t="s">
        <v>34</v>
      </c>
      <c r="J720" s="3">
        <f t="shared" si="60"/>
        <v>167509</v>
      </c>
      <c r="K720" s="3">
        <f t="shared" si="59"/>
        <v>167536</v>
      </c>
      <c r="L720" s="3">
        <v>27</v>
      </c>
      <c r="M720" s="3">
        <f t="shared" si="61"/>
        <v>27.249999999999972</v>
      </c>
      <c r="N720" s="3">
        <v>3.2</v>
      </c>
    </row>
    <row r="721" spans="4:14" ht="15" customHeight="1" x14ac:dyDescent="0.25">
      <c r="D721" s="13">
        <v>44875</v>
      </c>
      <c r="H721" s="3" t="s">
        <v>34</v>
      </c>
      <c r="I721" s="3" t="s">
        <v>36</v>
      </c>
      <c r="J721" s="3">
        <f t="shared" si="60"/>
        <v>167536</v>
      </c>
      <c r="K721" s="3">
        <f t="shared" si="59"/>
        <v>167551</v>
      </c>
      <c r="L721" s="3">
        <v>15</v>
      </c>
      <c r="M721" s="3">
        <f t="shared" si="61"/>
        <v>25.449999999999971</v>
      </c>
      <c r="N721" s="3">
        <v>1.8</v>
      </c>
    </row>
    <row r="722" spans="4:14" ht="15" customHeight="1" x14ac:dyDescent="0.25">
      <c r="D722" s="13"/>
      <c r="H722" s="3" t="s">
        <v>36</v>
      </c>
      <c r="I722" s="3" t="s">
        <v>34</v>
      </c>
      <c r="J722" s="3">
        <f t="shared" si="60"/>
        <v>167551</v>
      </c>
      <c r="K722" s="3">
        <f t="shared" si="59"/>
        <v>167566</v>
      </c>
      <c r="L722" s="3">
        <v>15</v>
      </c>
      <c r="M722" s="3">
        <f t="shared" si="61"/>
        <v>23.64999999999997</v>
      </c>
      <c r="N722" s="3">
        <v>1.8</v>
      </c>
    </row>
    <row r="723" spans="4:14" ht="15" customHeight="1" x14ac:dyDescent="0.25">
      <c r="D723" s="13"/>
      <c r="H723" s="3" t="s">
        <v>34</v>
      </c>
      <c r="I723" s="3" t="s">
        <v>54</v>
      </c>
      <c r="J723" s="3">
        <f t="shared" si="60"/>
        <v>167566</v>
      </c>
      <c r="K723" s="3">
        <f t="shared" si="59"/>
        <v>167593</v>
      </c>
      <c r="L723" s="3">
        <v>27</v>
      </c>
      <c r="M723" s="3">
        <f t="shared" si="61"/>
        <v>20.449999999999971</v>
      </c>
      <c r="N723" s="3">
        <v>3.2</v>
      </c>
    </row>
    <row r="724" spans="4:14" ht="15" customHeight="1" x14ac:dyDescent="0.25">
      <c r="D724" s="13"/>
      <c r="H724" s="3" t="s">
        <v>54</v>
      </c>
      <c r="I724" s="3" t="s">
        <v>34</v>
      </c>
      <c r="J724" s="3">
        <f t="shared" si="60"/>
        <v>167593</v>
      </c>
      <c r="K724" s="3">
        <f t="shared" si="59"/>
        <v>167620</v>
      </c>
      <c r="L724" s="3">
        <v>27</v>
      </c>
      <c r="M724" s="3">
        <f t="shared" si="61"/>
        <v>17.249999999999972</v>
      </c>
      <c r="N724" s="3">
        <v>3.2</v>
      </c>
    </row>
    <row r="725" spans="4:14" ht="15" customHeight="1" x14ac:dyDescent="0.25">
      <c r="D725" s="13">
        <v>44876</v>
      </c>
      <c r="H725" s="3" t="s">
        <v>34</v>
      </c>
      <c r="I725" s="3" t="s">
        <v>37</v>
      </c>
      <c r="J725" s="3">
        <f t="shared" si="60"/>
        <v>167620</v>
      </c>
      <c r="K725" s="3">
        <f t="shared" si="59"/>
        <v>167660</v>
      </c>
      <c r="L725" s="3">
        <v>40</v>
      </c>
      <c r="M725" s="3">
        <f t="shared" si="61"/>
        <v>12.449999999999971</v>
      </c>
      <c r="N725" s="3">
        <v>4.8</v>
      </c>
    </row>
    <row r="726" spans="4:14" ht="15" customHeight="1" x14ac:dyDescent="0.25">
      <c r="D726" s="13"/>
      <c r="H726" s="3" t="s">
        <v>37</v>
      </c>
      <c r="I726" s="3" t="s">
        <v>34</v>
      </c>
      <c r="J726" s="3">
        <f t="shared" si="60"/>
        <v>167660</v>
      </c>
      <c r="K726" s="3">
        <f t="shared" si="59"/>
        <v>167700</v>
      </c>
      <c r="L726" s="3">
        <v>40</v>
      </c>
      <c r="M726" s="3">
        <f t="shared" si="61"/>
        <v>7.649999999999971</v>
      </c>
      <c r="N726" s="3">
        <v>4.8</v>
      </c>
    </row>
    <row r="727" spans="4:14" ht="15" customHeight="1" x14ac:dyDescent="0.25">
      <c r="D727" s="13">
        <v>44879</v>
      </c>
      <c r="E727">
        <v>33.340000000000003</v>
      </c>
      <c r="F727" s="3">
        <v>51.9</v>
      </c>
      <c r="G727" s="8">
        <f>E727*F727</f>
        <v>1730.3460000000002</v>
      </c>
      <c r="H727" s="3" t="s">
        <v>34</v>
      </c>
      <c r="I727" s="3" t="s">
        <v>32</v>
      </c>
      <c r="J727" s="3">
        <f t="shared" si="60"/>
        <v>167700</v>
      </c>
      <c r="K727" s="3">
        <f t="shared" si="59"/>
        <v>167725</v>
      </c>
      <c r="L727" s="3">
        <v>25</v>
      </c>
      <c r="M727" s="3">
        <f t="shared" si="61"/>
        <v>37.989999999999974</v>
      </c>
      <c r="N727" s="3">
        <v>3</v>
      </c>
    </row>
    <row r="728" spans="4:14" ht="15" customHeight="1" x14ac:dyDescent="0.25">
      <c r="D728" s="13"/>
      <c r="G728" s="8"/>
      <c r="H728" s="3" t="s">
        <v>32</v>
      </c>
      <c r="I728" s="3" t="s">
        <v>34</v>
      </c>
      <c r="J728" s="3">
        <f t="shared" si="60"/>
        <v>167725</v>
      </c>
      <c r="K728" s="3">
        <f t="shared" si="59"/>
        <v>167750</v>
      </c>
      <c r="L728" s="3">
        <v>25</v>
      </c>
      <c r="M728" s="3">
        <f t="shared" si="61"/>
        <v>34.989999999999974</v>
      </c>
      <c r="N728" s="3">
        <v>3</v>
      </c>
    </row>
    <row r="729" spans="4:14" ht="15" customHeight="1" x14ac:dyDescent="0.25">
      <c r="D729" s="13">
        <v>44880</v>
      </c>
      <c r="H729" s="3" t="s">
        <v>34</v>
      </c>
      <c r="I729" s="3" t="s">
        <v>49</v>
      </c>
      <c r="J729" s="3">
        <f t="shared" si="60"/>
        <v>167750</v>
      </c>
      <c r="K729" s="3">
        <f t="shared" si="59"/>
        <v>167777</v>
      </c>
      <c r="L729" s="3">
        <v>27</v>
      </c>
      <c r="M729" s="3">
        <f t="shared" si="61"/>
        <v>31.789999999999974</v>
      </c>
      <c r="N729" s="3">
        <v>3.2</v>
      </c>
    </row>
    <row r="730" spans="4:14" ht="15" customHeight="1" x14ac:dyDescent="0.25">
      <c r="D730" s="13"/>
      <c r="H730" s="3" t="s">
        <v>49</v>
      </c>
      <c r="I730" s="3" t="s">
        <v>34</v>
      </c>
      <c r="J730" s="3">
        <f t="shared" si="60"/>
        <v>167777</v>
      </c>
      <c r="K730" s="3">
        <f t="shared" si="59"/>
        <v>167804</v>
      </c>
      <c r="L730" s="3">
        <v>27</v>
      </c>
      <c r="M730" s="3">
        <f t="shared" si="61"/>
        <v>28.589999999999975</v>
      </c>
      <c r="N730" s="3">
        <v>3.2</v>
      </c>
    </row>
    <row r="731" spans="4:14" ht="15" customHeight="1" x14ac:dyDescent="0.25">
      <c r="D731" s="13">
        <v>44881</v>
      </c>
      <c r="H731" s="3" t="s">
        <v>34</v>
      </c>
      <c r="I731" s="3" t="s">
        <v>35</v>
      </c>
      <c r="J731" s="3">
        <f t="shared" si="60"/>
        <v>167804</v>
      </c>
      <c r="K731" s="3">
        <f t="shared" si="59"/>
        <v>167816</v>
      </c>
      <c r="L731" s="3">
        <v>12</v>
      </c>
      <c r="M731" s="3">
        <f t="shared" si="61"/>
        <v>27.339999999999975</v>
      </c>
      <c r="N731" s="3">
        <v>1.25</v>
      </c>
    </row>
    <row r="732" spans="4:14" ht="15" customHeight="1" x14ac:dyDescent="0.25">
      <c r="D732" s="13"/>
      <c r="H732" s="3" t="s">
        <v>35</v>
      </c>
      <c r="I732" s="3" t="s">
        <v>34</v>
      </c>
      <c r="J732" s="3">
        <f t="shared" si="60"/>
        <v>167816</v>
      </c>
      <c r="K732" s="3">
        <f t="shared" si="59"/>
        <v>167828</v>
      </c>
      <c r="L732" s="3">
        <v>12</v>
      </c>
      <c r="M732" s="3">
        <f t="shared" si="61"/>
        <v>26.089999999999975</v>
      </c>
      <c r="N732" s="3">
        <v>1.25</v>
      </c>
    </row>
    <row r="733" spans="4:14" ht="15" customHeight="1" x14ac:dyDescent="0.25">
      <c r="D733" s="13">
        <v>44882</v>
      </c>
      <c r="H733" s="3" t="s">
        <v>34</v>
      </c>
      <c r="I733" s="3" t="s">
        <v>43</v>
      </c>
      <c r="J733" s="3">
        <f t="shared" si="60"/>
        <v>167828</v>
      </c>
      <c r="K733" s="3">
        <f t="shared" ref="K733:K764" si="62">J733+L733</f>
        <v>167840</v>
      </c>
      <c r="L733" s="3">
        <v>12</v>
      </c>
      <c r="M733" s="3">
        <f t="shared" si="61"/>
        <v>24.839999999999975</v>
      </c>
      <c r="N733" s="3">
        <v>1.25</v>
      </c>
    </row>
    <row r="734" spans="4:14" ht="15" customHeight="1" x14ac:dyDescent="0.25">
      <c r="D734" s="13"/>
      <c r="H734" s="3" t="s">
        <v>43</v>
      </c>
      <c r="I734" s="3" t="s">
        <v>34</v>
      </c>
      <c r="J734" s="3">
        <f t="shared" ref="J734:J762" si="63">K733</f>
        <v>167840</v>
      </c>
      <c r="K734" s="3">
        <f t="shared" si="62"/>
        <v>167852</v>
      </c>
      <c r="L734" s="3">
        <v>12</v>
      </c>
      <c r="M734" s="3">
        <f t="shared" ref="M734:M765" si="64">(E734+M733)-N734</f>
        <v>23.589999999999975</v>
      </c>
      <c r="N734" s="3">
        <v>1.25</v>
      </c>
    </row>
    <row r="735" spans="4:14" ht="15" customHeight="1" x14ac:dyDescent="0.25">
      <c r="D735" s="13">
        <v>44883</v>
      </c>
      <c r="H735" s="3" t="s">
        <v>34</v>
      </c>
      <c r="I735" s="3" t="s">
        <v>49</v>
      </c>
      <c r="J735" s="3">
        <f t="shared" si="63"/>
        <v>167852</v>
      </c>
      <c r="K735" s="3">
        <f t="shared" si="62"/>
        <v>167879</v>
      </c>
      <c r="L735" s="3">
        <v>27</v>
      </c>
      <c r="M735" s="3">
        <f t="shared" si="64"/>
        <v>20.389999999999976</v>
      </c>
      <c r="N735" s="3">
        <v>3.2</v>
      </c>
    </row>
    <row r="736" spans="4:14" ht="15" customHeight="1" x14ac:dyDescent="0.25">
      <c r="D736" s="13"/>
      <c r="H736" s="3" t="s">
        <v>49</v>
      </c>
      <c r="I736" s="3" t="s">
        <v>34</v>
      </c>
      <c r="J736" s="3">
        <f t="shared" si="63"/>
        <v>167879</v>
      </c>
      <c r="K736" s="3">
        <f t="shared" si="62"/>
        <v>167906</v>
      </c>
      <c r="L736" s="3">
        <v>27</v>
      </c>
      <c r="M736" s="3">
        <f t="shared" si="64"/>
        <v>17.189999999999976</v>
      </c>
      <c r="N736" s="3">
        <v>3.2</v>
      </c>
    </row>
    <row r="737" spans="4:14" ht="15" customHeight="1" x14ac:dyDescent="0.25">
      <c r="D737" s="13">
        <v>44886</v>
      </c>
      <c r="E737">
        <v>33.99</v>
      </c>
      <c r="F737" s="3">
        <v>51.6</v>
      </c>
      <c r="G737" s="8">
        <f>E737*F737</f>
        <v>1753.8840000000002</v>
      </c>
      <c r="H737" s="3" t="s">
        <v>34</v>
      </c>
      <c r="I737" s="3" t="s">
        <v>37</v>
      </c>
      <c r="J737" s="3">
        <f t="shared" si="63"/>
        <v>167906</v>
      </c>
      <c r="K737" s="3">
        <f t="shared" si="62"/>
        <v>167946</v>
      </c>
      <c r="L737" s="3">
        <v>40</v>
      </c>
      <c r="M737" s="3">
        <f t="shared" si="64"/>
        <v>46.379999999999981</v>
      </c>
      <c r="N737" s="3">
        <v>4.8</v>
      </c>
    </row>
    <row r="738" spans="4:14" ht="15" customHeight="1" x14ac:dyDescent="0.25">
      <c r="D738" s="13"/>
      <c r="G738" s="8"/>
      <c r="H738" s="3" t="s">
        <v>37</v>
      </c>
      <c r="I738" s="3" t="s">
        <v>34</v>
      </c>
      <c r="J738" s="3">
        <f t="shared" si="63"/>
        <v>167946</v>
      </c>
      <c r="K738" s="3">
        <f t="shared" si="62"/>
        <v>167986</v>
      </c>
      <c r="L738" s="3">
        <v>40</v>
      </c>
      <c r="M738" s="3">
        <f t="shared" si="64"/>
        <v>41.579999999999984</v>
      </c>
      <c r="N738" s="3">
        <v>4.8</v>
      </c>
    </row>
    <row r="739" spans="4:14" ht="15" customHeight="1" x14ac:dyDescent="0.25">
      <c r="D739" s="13">
        <v>44887</v>
      </c>
      <c r="H739" s="3" t="s">
        <v>34</v>
      </c>
      <c r="I739" s="3" t="s">
        <v>36</v>
      </c>
      <c r="J739" s="3">
        <f t="shared" si="63"/>
        <v>167986</v>
      </c>
      <c r="K739" s="3">
        <f t="shared" si="62"/>
        <v>168001</v>
      </c>
      <c r="L739" s="3">
        <v>15</v>
      </c>
      <c r="M739" s="3">
        <f t="shared" si="64"/>
        <v>39.779999999999987</v>
      </c>
      <c r="N739" s="3">
        <v>1.8</v>
      </c>
    </row>
    <row r="740" spans="4:14" ht="15" customHeight="1" x14ac:dyDescent="0.25">
      <c r="D740" s="13"/>
      <c r="H740" s="3" t="s">
        <v>36</v>
      </c>
      <c r="I740" s="3" t="s">
        <v>34</v>
      </c>
      <c r="J740" s="3">
        <f t="shared" si="63"/>
        <v>168001</v>
      </c>
      <c r="K740" s="3">
        <f t="shared" si="62"/>
        <v>168016</v>
      </c>
      <c r="L740" s="3">
        <v>15</v>
      </c>
      <c r="M740" s="3">
        <f t="shared" si="64"/>
        <v>37.97999999999999</v>
      </c>
      <c r="N740" s="3">
        <v>1.8</v>
      </c>
    </row>
    <row r="741" spans="4:14" ht="15" customHeight="1" x14ac:dyDescent="0.25">
      <c r="D741" s="13">
        <v>44888</v>
      </c>
      <c r="H741" s="3" t="s">
        <v>34</v>
      </c>
      <c r="I741" s="3" t="s">
        <v>35</v>
      </c>
      <c r="J741" s="3">
        <f t="shared" si="63"/>
        <v>168016</v>
      </c>
      <c r="K741" s="3">
        <f t="shared" si="62"/>
        <v>168028</v>
      </c>
      <c r="L741" s="3">
        <v>12</v>
      </c>
      <c r="M741" s="3">
        <f t="shared" si="64"/>
        <v>36.72999999999999</v>
      </c>
      <c r="N741" s="3">
        <v>1.25</v>
      </c>
    </row>
    <row r="742" spans="4:14" ht="15" customHeight="1" x14ac:dyDescent="0.25">
      <c r="D742" s="13"/>
      <c r="H742" s="3" t="s">
        <v>35</v>
      </c>
      <c r="I742" s="3" t="s">
        <v>34</v>
      </c>
      <c r="J742" s="3">
        <f t="shared" si="63"/>
        <v>168028</v>
      </c>
      <c r="K742" s="3">
        <f t="shared" si="62"/>
        <v>168040</v>
      </c>
      <c r="L742" s="3">
        <v>12</v>
      </c>
      <c r="M742" s="3">
        <f t="shared" si="64"/>
        <v>35.47999999999999</v>
      </c>
      <c r="N742" s="3">
        <v>1.25</v>
      </c>
    </row>
    <row r="743" spans="4:14" ht="15" customHeight="1" x14ac:dyDescent="0.25">
      <c r="D743" s="13"/>
      <c r="H743" s="3" t="s">
        <v>34</v>
      </c>
      <c r="I743" s="3" t="s">
        <v>49</v>
      </c>
      <c r="J743" s="3">
        <f t="shared" si="63"/>
        <v>168040</v>
      </c>
      <c r="K743" s="3">
        <f t="shared" si="62"/>
        <v>168067</v>
      </c>
      <c r="L743" s="3">
        <v>27</v>
      </c>
      <c r="M743" s="3">
        <f t="shared" si="64"/>
        <v>32.279999999999987</v>
      </c>
      <c r="N743" s="3">
        <v>3.2</v>
      </c>
    </row>
    <row r="744" spans="4:14" ht="15" customHeight="1" x14ac:dyDescent="0.25">
      <c r="D744" s="13"/>
      <c r="H744" s="3" t="s">
        <v>49</v>
      </c>
      <c r="I744" s="3" t="s">
        <v>34</v>
      </c>
      <c r="J744" s="3">
        <f t="shared" si="63"/>
        <v>168067</v>
      </c>
      <c r="K744" s="3">
        <f t="shared" si="62"/>
        <v>168094</v>
      </c>
      <c r="L744" s="3">
        <v>27</v>
      </c>
      <c r="M744" s="3">
        <f t="shared" si="64"/>
        <v>29.079999999999988</v>
      </c>
      <c r="N744" s="3">
        <v>3.2</v>
      </c>
    </row>
    <row r="745" spans="4:14" ht="15" customHeight="1" x14ac:dyDescent="0.25">
      <c r="D745" s="13">
        <v>44889</v>
      </c>
      <c r="H745" s="3" t="s">
        <v>34</v>
      </c>
      <c r="I745" s="3" t="s">
        <v>37</v>
      </c>
      <c r="J745" s="3">
        <f t="shared" si="63"/>
        <v>168094</v>
      </c>
      <c r="K745" s="3">
        <f t="shared" si="62"/>
        <v>168134</v>
      </c>
      <c r="L745" s="3">
        <v>40</v>
      </c>
      <c r="M745" s="3">
        <f t="shared" si="64"/>
        <v>24.279999999999987</v>
      </c>
      <c r="N745" s="3">
        <v>4.8</v>
      </c>
    </row>
    <row r="746" spans="4:14" ht="15" customHeight="1" x14ac:dyDescent="0.25">
      <c r="D746" s="13"/>
      <c r="H746" s="3" t="s">
        <v>37</v>
      </c>
      <c r="I746" s="3" t="s">
        <v>34</v>
      </c>
      <c r="J746" s="3">
        <f t="shared" si="63"/>
        <v>168134</v>
      </c>
      <c r="K746" s="3">
        <f t="shared" si="62"/>
        <v>168174</v>
      </c>
      <c r="L746" s="3">
        <v>40</v>
      </c>
      <c r="M746" s="3">
        <f t="shared" si="64"/>
        <v>19.479999999999986</v>
      </c>
      <c r="N746" s="3">
        <v>4.8</v>
      </c>
    </row>
    <row r="747" spans="4:14" ht="15" customHeight="1" x14ac:dyDescent="0.25">
      <c r="D747" s="13"/>
      <c r="H747" s="3" t="s">
        <v>34</v>
      </c>
      <c r="I747" s="3" t="s">
        <v>49</v>
      </c>
      <c r="J747" s="3">
        <f t="shared" si="63"/>
        <v>168174</v>
      </c>
      <c r="K747" s="3">
        <f t="shared" si="62"/>
        <v>168201</v>
      </c>
      <c r="L747" s="3">
        <v>27</v>
      </c>
      <c r="M747" s="3">
        <f t="shared" si="64"/>
        <v>16.279999999999987</v>
      </c>
      <c r="N747" s="3">
        <v>3.2</v>
      </c>
    </row>
    <row r="748" spans="4:14" ht="15" customHeight="1" x14ac:dyDescent="0.25">
      <c r="D748" s="13"/>
      <c r="H748" s="3" t="s">
        <v>49</v>
      </c>
      <c r="I748" s="3" t="s">
        <v>34</v>
      </c>
      <c r="J748" s="3">
        <f t="shared" si="63"/>
        <v>168201</v>
      </c>
      <c r="K748" s="3">
        <f t="shared" si="62"/>
        <v>168228</v>
      </c>
      <c r="L748" s="3">
        <v>27</v>
      </c>
      <c r="M748" s="3">
        <f t="shared" si="64"/>
        <v>13.079999999999988</v>
      </c>
      <c r="N748" s="3">
        <v>3.2</v>
      </c>
    </row>
    <row r="749" spans="4:14" ht="15" customHeight="1" x14ac:dyDescent="0.25">
      <c r="D749" s="13">
        <v>44890</v>
      </c>
      <c r="E749">
        <v>31.11</v>
      </c>
      <c r="F749" s="3">
        <v>51.9</v>
      </c>
      <c r="G749" s="8">
        <f>E749*F749</f>
        <v>1614.6089999999999</v>
      </c>
      <c r="H749" s="3" t="s">
        <v>34</v>
      </c>
      <c r="I749" s="3" t="s">
        <v>54</v>
      </c>
      <c r="J749" s="3">
        <f t="shared" si="63"/>
        <v>168228</v>
      </c>
      <c r="K749" s="3">
        <f t="shared" si="62"/>
        <v>168255</v>
      </c>
      <c r="L749" s="3">
        <v>27</v>
      </c>
      <c r="M749" s="3">
        <f t="shared" si="64"/>
        <v>40.989999999999981</v>
      </c>
      <c r="N749" s="3">
        <v>3.2</v>
      </c>
    </row>
    <row r="750" spans="4:14" ht="15" customHeight="1" x14ac:dyDescent="0.25">
      <c r="D750" s="13"/>
      <c r="G750" s="8"/>
      <c r="H750" s="3" t="s">
        <v>54</v>
      </c>
      <c r="I750" s="3" t="s">
        <v>34</v>
      </c>
      <c r="J750" s="3">
        <f t="shared" si="63"/>
        <v>168255</v>
      </c>
      <c r="K750" s="3">
        <f t="shared" si="62"/>
        <v>168282</v>
      </c>
      <c r="L750" s="3">
        <v>27</v>
      </c>
      <c r="M750" s="3">
        <f t="shared" si="64"/>
        <v>37.789999999999978</v>
      </c>
      <c r="N750" s="3">
        <v>3.2</v>
      </c>
    </row>
    <row r="751" spans="4:14" ht="15" customHeight="1" x14ac:dyDescent="0.25">
      <c r="D751" s="13">
        <v>44893</v>
      </c>
      <c r="H751" s="3" t="s">
        <v>34</v>
      </c>
      <c r="I751" s="3" t="s">
        <v>36</v>
      </c>
      <c r="J751" s="3">
        <f t="shared" si="63"/>
        <v>168282</v>
      </c>
      <c r="K751" s="3">
        <f t="shared" si="62"/>
        <v>168297</v>
      </c>
      <c r="L751" s="3">
        <v>15</v>
      </c>
      <c r="M751" s="3">
        <f t="shared" si="64"/>
        <v>35.989999999999981</v>
      </c>
      <c r="N751" s="3">
        <v>1.8</v>
      </c>
    </row>
    <row r="752" spans="4:14" ht="15" customHeight="1" x14ac:dyDescent="0.25">
      <c r="D752" s="13"/>
      <c r="H752" s="3" t="s">
        <v>36</v>
      </c>
      <c r="I752" s="3" t="s">
        <v>34</v>
      </c>
      <c r="J752" s="3">
        <f t="shared" si="63"/>
        <v>168297</v>
      </c>
      <c r="K752" s="3">
        <f t="shared" si="62"/>
        <v>168312</v>
      </c>
      <c r="L752" s="3">
        <v>15</v>
      </c>
      <c r="M752" s="3">
        <f t="shared" si="64"/>
        <v>34.189999999999984</v>
      </c>
      <c r="N752" s="3">
        <v>1.8</v>
      </c>
    </row>
    <row r="753" spans="4:14" ht="15" customHeight="1" x14ac:dyDescent="0.25">
      <c r="D753" s="13">
        <v>44894</v>
      </c>
      <c r="H753" s="3" t="s">
        <v>34</v>
      </c>
      <c r="I753" s="3" t="s">
        <v>49</v>
      </c>
      <c r="J753" s="3">
        <f t="shared" si="63"/>
        <v>168312</v>
      </c>
      <c r="K753" s="3">
        <f t="shared" si="62"/>
        <v>168339</v>
      </c>
      <c r="L753" s="3">
        <v>27</v>
      </c>
      <c r="M753" s="3">
        <f t="shared" si="64"/>
        <v>30.989999999999984</v>
      </c>
      <c r="N753" s="3">
        <v>3.2</v>
      </c>
    </row>
    <row r="754" spans="4:14" ht="15" customHeight="1" x14ac:dyDescent="0.25">
      <c r="D754" s="13"/>
      <c r="H754" s="3" t="s">
        <v>49</v>
      </c>
      <c r="I754" s="3" t="s">
        <v>34</v>
      </c>
      <c r="J754" s="3">
        <f t="shared" si="63"/>
        <v>168339</v>
      </c>
      <c r="K754" s="3">
        <f t="shared" si="62"/>
        <v>168366</v>
      </c>
      <c r="L754" s="3">
        <v>27</v>
      </c>
      <c r="M754" s="3">
        <f t="shared" si="64"/>
        <v>27.789999999999985</v>
      </c>
      <c r="N754" s="3">
        <v>3.2</v>
      </c>
    </row>
    <row r="755" spans="4:14" ht="15" customHeight="1" x14ac:dyDescent="0.25">
      <c r="D755" s="13"/>
      <c r="H755" s="3" t="s">
        <v>34</v>
      </c>
      <c r="I755" s="3" t="s">
        <v>32</v>
      </c>
      <c r="J755" s="3">
        <f t="shared" si="63"/>
        <v>168366</v>
      </c>
      <c r="K755" s="3">
        <f t="shared" si="62"/>
        <v>168391</v>
      </c>
      <c r="L755" s="3">
        <v>25</v>
      </c>
      <c r="M755" s="3">
        <f t="shared" si="64"/>
        <v>24.789999999999985</v>
      </c>
      <c r="N755" s="3">
        <v>3</v>
      </c>
    </row>
    <row r="756" spans="4:14" ht="15" customHeight="1" x14ac:dyDescent="0.25">
      <c r="D756" s="13"/>
      <c r="H756" s="3" t="s">
        <v>32</v>
      </c>
      <c r="I756" s="3" t="s">
        <v>34</v>
      </c>
      <c r="J756" s="3">
        <f t="shared" si="63"/>
        <v>168391</v>
      </c>
      <c r="K756" s="3">
        <f t="shared" si="62"/>
        <v>168416</v>
      </c>
      <c r="L756" s="3">
        <v>25</v>
      </c>
      <c r="M756" s="3">
        <f t="shared" si="64"/>
        <v>21.789999999999985</v>
      </c>
      <c r="N756" s="3">
        <v>3</v>
      </c>
    </row>
    <row r="757" spans="4:14" ht="15" customHeight="1" x14ac:dyDescent="0.25">
      <c r="D757" s="13">
        <v>44895</v>
      </c>
      <c r="E757">
        <v>31.59</v>
      </c>
      <c r="F757" s="3">
        <v>51.9</v>
      </c>
      <c r="G757" s="8">
        <f>E757*F757</f>
        <v>1639.521</v>
      </c>
      <c r="H757" s="3" t="s">
        <v>34</v>
      </c>
      <c r="I757" s="3" t="s">
        <v>43</v>
      </c>
      <c r="J757" s="3">
        <f t="shared" si="63"/>
        <v>168416</v>
      </c>
      <c r="K757" s="3">
        <f t="shared" si="62"/>
        <v>168428</v>
      </c>
      <c r="L757" s="3">
        <v>12</v>
      </c>
      <c r="M757" s="3">
        <f t="shared" si="64"/>
        <v>52.129999999999981</v>
      </c>
      <c r="N757" s="3">
        <v>1.25</v>
      </c>
    </row>
    <row r="758" spans="4:14" ht="15" customHeight="1" x14ac:dyDescent="0.25">
      <c r="D758" s="13"/>
      <c r="H758" s="3" t="s">
        <v>43</v>
      </c>
      <c r="I758" s="3" t="s">
        <v>34</v>
      </c>
      <c r="J758" s="3">
        <f t="shared" si="63"/>
        <v>168428</v>
      </c>
      <c r="K758" s="3">
        <f t="shared" si="62"/>
        <v>168440</v>
      </c>
      <c r="L758" s="3">
        <v>12</v>
      </c>
      <c r="M758" s="3">
        <f t="shared" si="64"/>
        <v>50.879999999999981</v>
      </c>
      <c r="N758" s="3">
        <v>1.25</v>
      </c>
    </row>
    <row r="759" spans="4:14" ht="15" customHeight="1" x14ac:dyDescent="0.25">
      <c r="D759" s="13"/>
      <c r="H759" s="3" t="s">
        <v>34</v>
      </c>
      <c r="I759" s="3" t="s">
        <v>49</v>
      </c>
      <c r="J759" s="3">
        <f t="shared" si="63"/>
        <v>168440</v>
      </c>
      <c r="K759" s="3">
        <f t="shared" si="62"/>
        <v>168467</v>
      </c>
      <c r="L759" s="3">
        <v>27</v>
      </c>
      <c r="M759" s="3">
        <f t="shared" si="64"/>
        <v>47.679999999999978</v>
      </c>
      <c r="N759" s="3">
        <v>3.2</v>
      </c>
    </row>
    <row r="760" spans="4:14" ht="15" customHeight="1" x14ac:dyDescent="0.25">
      <c r="D760" s="13"/>
      <c r="H760" s="3" t="s">
        <v>49</v>
      </c>
      <c r="I760" s="3" t="s">
        <v>34</v>
      </c>
      <c r="J760" s="3">
        <f t="shared" si="63"/>
        <v>168467</v>
      </c>
      <c r="K760" s="3">
        <f t="shared" si="62"/>
        <v>168494</v>
      </c>
      <c r="L760" s="3">
        <v>27</v>
      </c>
      <c r="M760" s="3">
        <f t="shared" si="64"/>
        <v>44.479999999999976</v>
      </c>
      <c r="N760" s="3">
        <v>3.2</v>
      </c>
    </row>
    <row r="761" spans="4:14" ht="15" customHeight="1" x14ac:dyDescent="0.25">
      <c r="D761" s="13"/>
      <c r="H761" s="3" t="s">
        <v>34</v>
      </c>
      <c r="I761" s="3" t="s">
        <v>37</v>
      </c>
      <c r="J761" s="3">
        <f t="shared" si="63"/>
        <v>168494</v>
      </c>
      <c r="K761" s="3">
        <f t="shared" si="62"/>
        <v>168534</v>
      </c>
      <c r="L761" s="3">
        <v>40</v>
      </c>
      <c r="M761" s="3">
        <f t="shared" si="64"/>
        <v>39.679999999999978</v>
      </c>
      <c r="N761" s="3">
        <v>4.8</v>
      </c>
    </row>
    <row r="762" spans="4:14" ht="15" customHeight="1" x14ac:dyDescent="0.25">
      <c r="D762" s="13"/>
      <c r="H762" s="3" t="s">
        <v>37</v>
      </c>
      <c r="I762" s="3" t="s">
        <v>34</v>
      </c>
      <c r="J762" s="3">
        <f t="shared" si="63"/>
        <v>168534</v>
      </c>
      <c r="K762" s="3">
        <f t="shared" si="62"/>
        <v>168574</v>
      </c>
      <c r="L762" s="3">
        <v>40</v>
      </c>
      <c r="M762" s="3">
        <f t="shared" si="64"/>
        <v>34.879999999999981</v>
      </c>
      <c r="N762" s="3">
        <v>4.8</v>
      </c>
    </row>
    <row r="763" spans="4:14" ht="15" customHeight="1" x14ac:dyDescent="0.25">
      <c r="D763" s="13"/>
      <c r="H763" s="3"/>
      <c r="I763" s="3"/>
      <c r="M763" s="3"/>
    </row>
    <row r="764" spans="4:14" ht="15" customHeight="1" x14ac:dyDescent="0.25">
      <c r="D764" s="2" t="s">
        <v>55</v>
      </c>
      <c r="E764" s="2"/>
      <c r="F764" s="2"/>
      <c r="G764" s="2"/>
    </row>
    <row r="765" spans="4:14" ht="15" customHeight="1" x14ac:dyDescent="0.25">
      <c r="D765" s="13">
        <v>44896</v>
      </c>
      <c r="H765" s="3" t="s">
        <v>34</v>
      </c>
      <c r="I765" s="3" t="s">
        <v>49</v>
      </c>
      <c r="J765" s="3">
        <f>K762</f>
        <v>168574</v>
      </c>
      <c r="K765" s="3">
        <f t="shared" ref="K765:K796" si="65">J765+L765</f>
        <v>168601</v>
      </c>
      <c r="L765" s="3">
        <v>27</v>
      </c>
      <c r="M765" s="3">
        <f>(E765+M762)-N765</f>
        <v>31.679999999999982</v>
      </c>
      <c r="N765" s="3">
        <v>3.2</v>
      </c>
    </row>
    <row r="766" spans="4:14" ht="15" customHeight="1" x14ac:dyDescent="0.25">
      <c r="D766" s="13"/>
      <c r="H766" s="3" t="s">
        <v>49</v>
      </c>
      <c r="I766" s="3" t="s">
        <v>34</v>
      </c>
      <c r="J766" s="3">
        <f t="shared" ref="J766:J797" si="66">K765</f>
        <v>168601</v>
      </c>
      <c r="K766" s="3">
        <f t="shared" si="65"/>
        <v>168628</v>
      </c>
      <c r="L766" s="3">
        <v>27</v>
      </c>
      <c r="M766" s="3">
        <f t="shared" ref="M766:M797" si="67">(E766+M765)-N766</f>
        <v>28.479999999999983</v>
      </c>
      <c r="N766" s="3">
        <v>3.2</v>
      </c>
    </row>
    <row r="767" spans="4:14" ht="15" customHeight="1" x14ac:dyDescent="0.25">
      <c r="D767" s="13"/>
      <c r="H767" s="3" t="s">
        <v>34</v>
      </c>
      <c r="I767" s="3" t="s">
        <v>32</v>
      </c>
      <c r="J767" s="3">
        <f t="shared" si="66"/>
        <v>168628</v>
      </c>
      <c r="K767" s="3">
        <f t="shared" si="65"/>
        <v>168653</v>
      </c>
      <c r="L767" s="3">
        <v>25</v>
      </c>
      <c r="M767" s="3">
        <f t="shared" si="67"/>
        <v>25.479999999999983</v>
      </c>
      <c r="N767" s="3">
        <v>3</v>
      </c>
    </row>
    <row r="768" spans="4:14" ht="15" customHeight="1" x14ac:dyDescent="0.25">
      <c r="D768" s="13"/>
      <c r="H768" s="3" t="s">
        <v>32</v>
      </c>
      <c r="I768" s="3" t="s">
        <v>34</v>
      </c>
      <c r="J768" s="3">
        <f t="shared" si="66"/>
        <v>168653</v>
      </c>
      <c r="K768" s="3">
        <f t="shared" si="65"/>
        <v>168678</v>
      </c>
      <c r="L768" s="3">
        <v>25</v>
      </c>
      <c r="M768" s="3">
        <f t="shared" si="67"/>
        <v>22.479999999999983</v>
      </c>
      <c r="N768" s="3">
        <v>3</v>
      </c>
    </row>
    <row r="769" spans="4:14" ht="15" customHeight="1" x14ac:dyDescent="0.25">
      <c r="D769" s="13">
        <v>44897</v>
      </c>
      <c r="H769" s="3" t="s">
        <v>34</v>
      </c>
      <c r="I769" s="3" t="s">
        <v>49</v>
      </c>
      <c r="J769" s="3">
        <f t="shared" si="66"/>
        <v>168678</v>
      </c>
      <c r="K769" s="3">
        <f t="shared" si="65"/>
        <v>168705</v>
      </c>
      <c r="L769" s="3">
        <v>27</v>
      </c>
      <c r="M769" s="3">
        <f t="shared" si="67"/>
        <v>19.279999999999983</v>
      </c>
      <c r="N769" s="3">
        <v>3.2</v>
      </c>
    </row>
    <row r="770" spans="4:14" ht="15" customHeight="1" x14ac:dyDescent="0.25">
      <c r="D770" s="13"/>
      <c r="H770" s="3" t="s">
        <v>49</v>
      </c>
      <c r="I770" s="3" t="s">
        <v>34</v>
      </c>
      <c r="J770" s="3">
        <f t="shared" si="66"/>
        <v>168705</v>
      </c>
      <c r="K770" s="3">
        <f t="shared" si="65"/>
        <v>168732</v>
      </c>
      <c r="L770" s="3">
        <v>27</v>
      </c>
      <c r="M770" s="3">
        <f t="shared" si="67"/>
        <v>16.079999999999984</v>
      </c>
      <c r="N770" s="3">
        <v>3.2</v>
      </c>
    </row>
    <row r="771" spans="4:14" ht="15" customHeight="1" x14ac:dyDescent="0.25">
      <c r="D771" s="13"/>
      <c r="H771" s="3" t="s">
        <v>34</v>
      </c>
      <c r="I771" s="3" t="s">
        <v>37</v>
      </c>
      <c r="J771" s="3">
        <f t="shared" si="66"/>
        <v>168732</v>
      </c>
      <c r="K771" s="3">
        <f t="shared" si="65"/>
        <v>168772</v>
      </c>
      <c r="L771" s="3">
        <v>40</v>
      </c>
      <c r="M771" s="3">
        <f t="shared" si="67"/>
        <v>11.279999999999983</v>
      </c>
      <c r="N771" s="3">
        <v>4.8</v>
      </c>
    </row>
    <row r="772" spans="4:14" ht="15" customHeight="1" x14ac:dyDescent="0.25">
      <c r="D772" s="13"/>
      <c r="H772" s="3" t="s">
        <v>37</v>
      </c>
      <c r="I772" s="3" t="s">
        <v>34</v>
      </c>
      <c r="J772" s="3">
        <f t="shared" si="66"/>
        <v>168772</v>
      </c>
      <c r="K772" s="3">
        <f t="shared" si="65"/>
        <v>168812</v>
      </c>
      <c r="L772" s="3">
        <v>40</v>
      </c>
      <c r="M772" s="3">
        <f t="shared" si="67"/>
        <v>6.4799999999999836</v>
      </c>
      <c r="N772" s="3">
        <v>4.8</v>
      </c>
    </row>
    <row r="773" spans="4:14" ht="15" customHeight="1" x14ac:dyDescent="0.25">
      <c r="D773" s="13">
        <v>44900</v>
      </c>
      <c r="E773">
        <v>32.51</v>
      </c>
      <c r="F773" s="3">
        <v>51.9</v>
      </c>
      <c r="G773" s="8">
        <f>E773*F773</f>
        <v>1687.2689999999998</v>
      </c>
      <c r="H773" s="3" t="s">
        <v>34</v>
      </c>
      <c r="I773" s="3" t="s">
        <v>43</v>
      </c>
      <c r="J773" s="3">
        <f t="shared" si="66"/>
        <v>168812</v>
      </c>
      <c r="K773" s="3">
        <f t="shared" si="65"/>
        <v>168824</v>
      </c>
      <c r="L773" s="3">
        <v>12</v>
      </c>
      <c r="M773" s="3">
        <f t="shared" si="67"/>
        <v>37.739999999999981</v>
      </c>
      <c r="N773" s="3">
        <v>1.25</v>
      </c>
    </row>
    <row r="774" spans="4:14" ht="15" customHeight="1" x14ac:dyDescent="0.25">
      <c r="D774" s="13"/>
      <c r="G774" s="8"/>
      <c r="H774" s="3" t="s">
        <v>43</v>
      </c>
      <c r="I774" s="3" t="s">
        <v>34</v>
      </c>
      <c r="J774" s="3">
        <f t="shared" si="66"/>
        <v>168824</v>
      </c>
      <c r="K774" s="3">
        <f t="shared" si="65"/>
        <v>168836</v>
      </c>
      <c r="L774" s="3">
        <v>12</v>
      </c>
      <c r="M774" s="3">
        <f t="shared" si="67"/>
        <v>36.489999999999981</v>
      </c>
      <c r="N774" s="3">
        <v>1.25</v>
      </c>
    </row>
    <row r="775" spans="4:14" ht="15" customHeight="1" x14ac:dyDescent="0.25">
      <c r="D775" s="13"/>
      <c r="G775" s="8"/>
      <c r="H775" s="3" t="s">
        <v>34</v>
      </c>
      <c r="I775" s="3" t="s">
        <v>54</v>
      </c>
      <c r="J775" s="3">
        <f t="shared" si="66"/>
        <v>168836</v>
      </c>
      <c r="K775" s="3">
        <f t="shared" si="65"/>
        <v>168863</v>
      </c>
      <c r="L775" s="3">
        <v>27</v>
      </c>
      <c r="M775" s="3">
        <f t="shared" si="67"/>
        <v>33.289999999999978</v>
      </c>
      <c r="N775" s="3">
        <v>3.2</v>
      </c>
    </row>
    <row r="776" spans="4:14" ht="15" customHeight="1" x14ac:dyDescent="0.25">
      <c r="D776" s="13"/>
      <c r="G776" s="8"/>
      <c r="H776" s="3" t="s">
        <v>54</v>
      </c>
      <c r="I776" s="3" t="s">
        <v>34</v>
      </c>
      <c r="J776" s="3">
        <f t="shared" si="66"/>
        <v>168863</v>
      </c>
      <c r="K776" s="3">
        <f t="shared" si="65"/>
        <v>168890</v>
      </c>
      <c r="L776" s="3">
        <v>27</v>
      </c>
      <c r="M776" s="3">
        <f t="shared" si="67"/>
        <v>30.089999999999979</v>
      </c>
      <c r="N776" s="3">
        <v>3.2</v>
      </c>
    </row>
    <row r="777" spans="4:14" ht="15" customHeight="1" x14ac:dyDescent="0.25">
      <c r="D777" s="13">
        <v>44901</v>
      </c>
      <c r="H777" s="3" t="s">
        <v>34</v>
      </c>
      <c r="I777" s="3" t="s">
        <v>37</v>
      </c>
      <c r="J777" s="3">
        <f t="shared" si="66"/>
        <v>168890</v>
      </c>
      <c r="K777" s="3">
        <f t="shared" si="65"/>
        <v>168930</v>
      </c>
      <c r="L777" s="3">
        <v>40</v>
      </c>
      <c r="M777" s="3">
        <f t="shared" si="67"/>
        <v>25.289999999999978</v>
      </c>
      <c r="N777" s="3">
        <v>4.8</v>
      </c>
    </row>
    <row r="778" spans="4:14" ht="15" customHeight="1" x14ac:dyDescent="0.25">
      <c r="D778" s="13"/>
      <c r="H778" s="3" t="s">
        <v>37</v>
      </c>
      <c r="I778" s="3" t="s">
        <v>34</v>
      </c>
      <c r="J778" s="3">
        <f t="shared" si="66"/>
        <v>168930</v>
      </c>
      <c r="K778" s="3">
        <f t="shared" si="65"/>
        <v>168970</v>
      </c>
      <c r="L778" s="3">
        <v>40</v>
      </c>
      <c r="M778" s="3">
        <f t="shared" si="67"/>
        <v>20.489999999999977</v>
      </c>
      <c r="N778" s="3">
        <v>4.8</v>
      </c>
    </row>
    <row r="779" spans="4:14" ht="15" customHeight="1" x14ac:dyDescent="0.25">
      <c r="D779" s="13">
        <v>44902</v>
      </c>
      <c r="H779" s="3" t="s">
        <v>34</v>
      </c>
      <c r="I779" s="3" t="s">
        <v>36</v>
      </c>
      <c r="J779" s="3">
        <f t="shared" si="66"/>
        <v>168970</v>
      </c>
      <c r="K779" s="3">
        <f t="shared" si="65"/>
        <v>168985</v>
      </c>
      <c r="L779" s="3">
        <v>15</v>
      </c>
      <c r="M779" s="3">
        <f t="shared" si="67"/>
        <v>18.689999999999976</v>
      </c>
      <c r="N779" s="3">
        <v>1.8</v>
      </c>
    </row>
    <row r="780" spans="4:14" ht="15" customHeight="1" x14ac:dyDescent="0.25">
      <c r="D780" s="13"/>
      <c r="H780" s="3" t="s">
        <v>36</v>
      </c>
      <c r="I780" s="3" t="s">
        <v>34</v>
      </c>
      <c r="J780" s="3">
        <f t="shared" si="66"/>
        <v>168985</v>
      </c>
      <c r="K780" s="3">
        <f t="shared" si="65"/>
        <v>169000</v>
      </c>
      <c r="L780" s="3">
        <v>15</v>
      </c>
      <c r="M780" s="3">
        <f t="shared" si="67"/>
        <v>16.889999999999976</v>
      </c>
      <c r="N780" s="3">
        <v>1.8</v>
      </c>
    </row>
    <row r="781" spans="4:14" ht="15" customHeight="1" x14ac:dyDescent="0.25">
      <c r="D781" s="13">
        <v>44903</v>
      </c>
      <c r="H781" s="3" t="s">
        <v>34</v>
      </c>
      <c r="I781" s="3" t="s">
        <v>49</v>
      </c>
      <c r="J781" s="3">
        <f t="shared" si="66"/>
        <v>169000</v>
      </c>
      <c r="K781" s="3">
        <f t="shared" si="65"/>
        <v>169027</v>
      </c>
      <c r="L781" s="3">
        <v>27</v>
      </c>
      <c r="M781" s="3">
        <f t="shared" si="67"/>
        <v>13.689999999999976</v>
      </c>
      <c r="N781" s="3">
        <v>3.2</v>
      </c>
    </row>
    <row r="782" spans="4:14" ht="15" customHeight="1" x14ac:dyDescent="0.25">
      <c r="D782" s="13"/>
      <c r="H782" s="3" t="s">
        <v>49</v>
      </c>
      <c r="I782" s="3" t="s">
        <v>34</v>
      </c>
      <c r="J782" s="3">
        <f t="shared" si="66"/>
        <v>169027</v>
      </c>
      <c r="K782" s="3">
        <f t="shared" si="65"/>
        <v>169054</v>
      </c>
      <c r="L782" s="3">
        <v>27</v>
      </c>
      <c r="M782" s="3">
        <f t="shared" si="67"/>
        <v>10.489999999999977</v>
      </c>
      <c r="N782" s="3">
        <v>3.2</v>
      </c>
    </row>
    <row r="783" spans="4:14" ht="15" customHeight="1" x14ac:dyDescent="0.25">
      <c r="D783" s="13"/>
      <c r="H783" s="3" t="s">
        <v>34</v>
      </c>
      <c r="I783" s="3" t="s">
        <v>32</v>
      </c>
      <c r="J783" s="3">
        <f t="shared" si="66"/>
        <v>169054</v>
      </c>
      <c r="K783" s="3">
        <f t="shared" si="65"/>
        <v>169079</v>
      </c>
      <c r="L783" s="3">
        <v>25</v>
      </c>
      <c r="M783" s="3">
        <f t="shared" si="67"/>
        <v>7.4899999999999771</v>
      </c>
      <c r="N783" s="3">
        <v>3</v>
      </c>
    </row>
    <row r="784" spans="4:14" ht="15" customHeight="1" x14ac:dyDescent="0.25">
      <c r="D784" s="13"/>
      <c r="H784" s="3" t="s">
        <v>32</v>
      </c>
      <c r="I784" s="3" t="s">
        <v>34</v>
      </c>
      <c r="J784" s="3">
        <f t="shared" si="66"/>
        <v>169079</v>
      </c>
      <c r="K784" s="3">
        <f t="shared" si="65"/>
        <v>169104</v>
      </c>
      <c r="L784" s="3">
        <v>25</v>
      </c>
      <c r="M784" s="3">
        <f t="shared" si="67"/>
        <v>4.4899999999999771</v>
      </c>
      <c r="N784" s="3">
        <v>3</v>
      </c>
    </row>
    <row r="785" spans="4:14" ht="15" customHeight="1" x14ac:dyDescent="0.25">
      <c r="D785" s="13">
        <v>44904</v>
      </c>
      <c r="E785">
        <v>32.47</v>
      </c>
      <c r="F785" s="3">
        <v>51.9</v>
      </c>
      <c r="G785" s="8">
        <f>E785*F785</f>
        <v>1685.193</v>
      </c>
      <c r="H785" s="3" t="s">
        <v>34</v>
      </c>
      <c r="I785" s="3" t="s">
        <v>37</v>
      </c>
      <c r="J785" s="3">
        <f t="shared" si="66"/>
        <v>169104</v>
      </c>
      <c r="K785" s="3">
        <f t="shared" si="65"/>
        <v>169144</v>
      </c>
      <c r="L785" s="3">
        <v>40</v>
      </c>
      <c r="M785" s="3">
        <f t="shared" si="67"/>
        <v>32.159999999999982</v>
      </c>
      <c r="N785" s="3">
        <v>4.8</v>
      </c>
    </row>
    <row r="786" spans="4:14" ht="15" customHeight="1" x14ac:dyDescent="0.25">
      <c r="D786" s="13"/>
      <c r="G786" s="8"/>
      <c r="H786" s="3" t="s">
        <v>37</v>
      </c>
      <c r="I786" s="3" t="s">
        <v>34</v>
      </c>
      <c r="J786" s="3">
        <f t="shared" si="66"/>
        <v>169144</v>
      </c>
      <c r="K786" s="3">
        <f t="shared" si="65"/>
        <v>169184</v>
      </c>
      <c r="L786" s="3">
        <v>40</v>
      </c>
      <c r="M786" s="3">
        <f t="shared" si="67"/>
        <v>27.359999999999982</v>
      </c>
      <c r="N786" s="3">
        <v>4.8</v>
      </c>
    </row>
    <row r="787" spans="4:14" ht="15" customHeight="1" x14ac:dyDescent="0.25">
      <c r="D787" s="13">
        <v>44907</v>
      </c>
      <c r="H787" s="3" t="s">
        <v>34</v>
      </c>
      <c r="I787" s="3" t="s">
        <v>35</v>
      </c>
      <c r="J787" s="3">
        <f t="shared" si="66"/>
        <v>169184</v>
      </c>
      <c r="K787" s="3">
        <f t="shared" si="65"/>
        <v>169196</v>
      </c>
      <c r="L787" s="3">
        <v>12</v>
      </c>
      <c r="M787" s="3">
        <f t="shared" si="67"/>
        <v>26.109999999999982</v>
      </c>
      <c r="N787" s="3">
        <v>1.25</v>
      </c>
    </row>
    <row r="788" spans="4:14" ht="15" customHeight="1" x14ac:dyDescent="0.25">
      <c r="D788" s="13"/>
      <c r="H788" s="3" t="s">
        <v>35</v>
      </c>
      <c r="I788" s="3" t="s">
        <v>34</v>
      </c>
      <c r="J788" s="3">
        <f t="shared" si="66"/>
        <v>169196</v>
      </c>
      <c r="K788" s="3">
        <f t="shared" si="65"/>
        <v>169208</v>
      </c>
      <c r="L788" s="3">
        <v>12</v>
      </c>
      <c r="M788" s="3">
        <f t="shared" si="67"/>
        <v>24.859999999999982</v>
      </c>
      <c r="N788" s="3">
        <v>1.25</v>
      </c>
    </row>
    <row r="789" spans="4:14" ht="15" customHeight="1" x14ac:dyDescent="0.25">
      <c r="D789" s="13">
        <v>44908</v>
      </c>
      <c r="H789" s="3" t="s">
        <v>34</v>
      </c>
      <c r="I789" s="3" t="s">
        <v>54</v>
      </c>
      <c r="J789" s="3">
        <f t="shared" si="66"/>
        <v>169208</v>
      </c>
      <c r="K789" s="3">
        <f t="shared" si="65"/>
        <v>169235</v>
      </c>
      <c r="L789" s="3">
        <v>27</v>
      </c>
      <c r="M789" s="3">
        <f t="shared" si="67"/>
        <v>21.659999999999982</v>
      </c>
      <c r="N789" s="3">
        <v>3.2</v>
      </c>
    </row>
    <row r="790" spans="4:14" ht="15" customHeight="1" x14ac:dyDescent="0.25">
      <c r="D790" s="13"/>
      <c r="H790" s="3" t="s">
        <v>54</v>
      </c>
      <c r="I790" s="3" t="s">
        <v>34</v>
      </c>
      <c r="J790" s="3">
        <f t="shared" si="66"/>
        <v>169235</v>
      </c>
      <c r="K790" s="3">
        <f t="shared" si="65"/>
        <v>169262</v>
      </c>
      <c r="L790" s="3">
        <v>27</v>
      </c>
      <c r="M790" s="3">
        <f t="shared" si="67"/>
        <v>18.459999999999983</v>
      </c>
      <c r="N790" s="3">
        <v>3.2</v>
      </c>
    </row>
    <row r="791" spans="4:14" ht="15" customHeight="1" x14ac:dyDescent="0.25">
      <c r="D791" s="13"/>
      <c r="H791" s="3" t="s">
        <v>34</v>
      </c>
      <c r="I791" s="3" t="s">
        <v>43</v>
      </c>
      <c r="J791" s="3">
        <f t="shared" si="66"/>
        <v>169262</v>
      </c>
      <c r="K791" s="3">
        <f t="shared" si="65"/>
        <v>169274</v>
      </c>
      <c r="L791" s="3">
        <v>12</v>
      </c>
      <c r="M791" s="3">
        <f t="shared" si="67"/>
        <v>17.209999999999983</v>
      </c>
      <c r="N791" s="3">
        <v>1.25</v>
      </c>
    </row>
    <row r="792" spans="4:14" ht="15" customHeight="1" x14ac:dyDescent="0.25">
      <c r="D792" s="13"/>
      <c r="H792" s="3" t="s">
        <v>43</v>
      </c>
      <c r="I792" s="3" t="s">
        <v>34</v>
      </c>
      <c r="J792" s="3">
        <f t="shared" si="66"/>
        <v>169274</v>
      </c>
      <c r="K792" s="3">
        <f t="shared" si="65"/>
        <v>169286</v>
      </c>
      <c r="L792" s="3">
        <v>12</v>
      </c>
      <c r="M792" s="3">
        <f t="shared" si="67"/>
        <v>15.959999999999983</v>
      </c>
      <c r="N792" s="3">
        <v>1.25</v>
      </c>
    </row>
    <row r="793" spans="4:14" ht="15" customHeight="1" x14ac:dyDescent="0.25">
      <c r="D793" s="13">
        <v>44909</v>
      </c>
      <c r="H793" s="3" t="s">
        <v>34</v>
      </c>
      <c r="I793" s="3" t="s">
        <v>35</v>
      </c>
      <c r="J793" s="3">
        <f t="shared" si="66"/>
        <v>169286</v>
      </c>
      <c r="K793" s="3">
        <f t="shared" si="65"/>
        <v>169298</v>
      </c>
      <c r="L793" s="3">
        <v>12</v>
      </c>
      <c r="M793" s="3">
        <f t="shared" si="67"/>
        <v>14.709999999999983</v>
      </c>
      <c r="N793" s="3">
        <v>1.25</v>
      </c>
    </row>
    <row r="794" spans="4:14" ht="15" customHeight="1" x14ac:dyDescent="0.25">
      <c r="D794" s="13"/>
      <c r="H794" s="3" t="s">
        <v>35</v>
      </c>
      <c r="I794" s="3" t="s">
        <v>34</v>
      </c>
      <c r="J794" s="3">
        <f t="shared" si="66"/>
        <v>169298</v>
      </c>
      <c r="K794" s="3">
        <f t="shared" si="65"/>
        <v>169310</v>
      </c>
      <c r="L794" s="3">
        <v>12</v>
      </c>
      <c r="M794" s="3">
        <f t="shared" si="67"/>
        <v>13.459999999999983</v>
      </c>
      <c r="N794" s="3">
        <v>1.25</v>
      </c>
    </row>
    <row r="795" spans="4:14" ht="15" customHeight="1" x14ac:dyDescent="0.25">
      <c r="D795" s="13"/>
      <c r="H795" s="3" t="s">
        <v>34</v>
      </c>
      <c r="I795" s="3" t="s">
        <v>37</v>
      </c>
      <c r="J795" s="3">
        <f t="shared" si="66"/>
        <v>169310</v>
      </c>
      <c r="K795" s="3">
        <f t="shared" si="65"/>
        <v>169350</v>
      </c>
      <c r="L795" s="3">
        <v>40</v>
      </c>
      <c r="M795" s="3">
        <f t="shared" si="67"/>
        <v>8.6599999999999824</v>
      </c>
      <c r="N795" s="3">
        <v>4.8</v>
      </c>
    </row>
    <row r="796" spans="4:14" ht="15" customHeight="1" x14ac:dyDescent="0.25">
      <c r="D796" s="13"/>
      <c r="H796" s="3" t="s">
        <v>37</v>
      </c>
      <c r="I796" s="3" t="s">
        <v>34</v>
      </c>
      <c r="J796" s="3">
        <f t="shared" si="66"/>
        <v>169350</v>
      </c>
      <c r="K796" s="3">
        <f t="shared" si="65"/>
        <v>169390</v>
      </c>
      <c r="L796" s="3">
        <v>40</v>
      </c>
      <c r="M796" s="3">
        <f t="shared" si="67"/>
        <v>3.8599999999999826</v>
      </c>
      <c r="N796" s="3">
        <v>4.8</v>
      </c>
    </row>
    <row r="797" spans="4:14" ht="15" customHeight="1" x14ac:dyDescent="0.25">
      <c r="D797" s="13">
        <v>44910</v>
      </c>
      <c r="E797">
        <v>32.96</v>
      </c>
      <c r="F797" s="3">
        <v>51.9</v>
      </c>
      <c r="G797" s="8">
        <f>E797*F797</f>
        <v>1710.624</v>
      </c>
      <c r="H797" s="3" t="s">
        <v>34</v>
      </c>
      <c r="I797" s="3" t="s">
        <v>24</v>
      </c>
      <c r="J797" s="3">
        <f t="shared" si="66"/>
        <v>169390</v>
      </c>
      <c r="K797" s="3">
        <f t="shared" ref="K797:K828" si="68">J797+L797</f>
        <v>169404</v>
      </c>
      <c r="L797" s="3">
        <v>14</v>
      </c>
      <c r="M797" s="3">
        <f t="shared" si="67"/>
        <v>35.319999999999986</v>
      </c>
      <c r="N797" s="3">
        <v>1.5</v>
      </c>
    </row>
    <row r="798" spans="4:14" ht="15" customHeight="1" x14ac:dyDescent="0.25">
      <c r="D798" s="13"/>
      <c r="G798" s="8"/>
      <c r="H798" s="3" t="s">
        <v>24</v>
      </c>
      <c r="I798" s="3" t="s">
        <v>34</v>
      </c>
      <c r="J798" s="3">
        <f t="shared" ref="J798:J829" si="69">K797</f>
        <v>169404</v>
      </c>
      <c r="K798" s="3">
        <f t="shared" si="68"/>
        <v>169418</v>
      </c>
      <c r="L798" s="3">
        <v>14</v>
      </c>
      <c r="M798" s="3">
        <f t="shared" ref="M798:M829" si="70">(E798+M797)-N798</f>
        <v>33.819999999999986</v>
      </c>
      <c r="N798" s="3">
        <v>1.5</v>
      </c>
    </row>
    <row r="799" spans="4:14" ht="15" customHeight="1" x14ac:dyDescent="0.25">
      <c r="D799" s="13">
        <v>44911</v>
      </c>
      <c r="H799" s="3" t="s">
        <v>34</v>
      </c>
      <c r="I799" s="3" t="s">
        <v>37</v>
      </c>
      <c r="J799" s="3">
        <f t="shared" si="69"/>
        <v>169418</v>
      </c>
      <c r="K799" s="3">
        <f t="shared" si="68"/>
        <v>169458</v>
      </c>
      <c r="L799" s="3">
        <v>40</v>
      </c>
      <c r="M799" s="3">
        <f t="shared" si="70"/>
        <v>29.019999999999985</v>
      </c>
      <c r="N799" s="3">
        <v>4.8</v>
      </c>
    </row>
    <row r="800" spans="4:14" ht="15" customHeight="1" x14ac:dyDescent="0.25">
      <c r="D800" s="13"/>
      <c r="H800" s="3" t="s">
        <v>37</v>
      </c>
      <c r="I800" s="3" t="s">
        <v>34</v>
      </c>
      <c r="J800" s="3">
        <f t="shared" si="69"/>
        <v>169458</v>
      </c>
      <c r="K800" s="3">
        <f t="shared" si="68"/>
        <v>169498</v>
      </c>
      <c r="L800" s="3">
        <v>40</v>
      </c>
      <c r="M800" s="3">
        <f t="shared" si="70"/>
        <v>24.219999999999985</v>
      </c>
      <c r="N800" s="3">
        <v>4.8</v>
      </c>
    </row>
    <row r="801" spans="4:14" ht="15" customHeight="1" x14ac:dyDescent="0.25">
      <c r="D801" s="13"/>
      <c r="H801" s="3" t="s">
        <v>34</v>
      </c>
      <c r="I801" s="3" t="s">
        <v>32</v>
      </c>
      <c r="J801" s="3">
        <f t="shared" si="69"/>
        <v>169498</v>
      </c>
      <c r="K801" s="3">
        <f t="shared" si="68"/>
        <v>169523</v>
      </c>
      <c r="L801" s="3">
        <v>25</v>
      </c>
      <c r="M801" s="3">
        <f t="shared" si="70"/>
        <v>21.219999999999985</v>
      </c>
      <c r="N801" s="3">
        <v>3</v>
      </c>
    </row>
    <row r="802" spans="4:14" ht="15" customHeight="1" x14ac:dyDescent="0.25">
      <c r="D802" s="13"/>
      <c r="H802" s="3" t="s">
        <v>32</v>
      </c>
      <c r="I802" s="3" t="s">
        <v>34</v>
      </c>
      <c r="J802" s="3">
        <f t="shared" si="69"/>
        <v>169523</v>
      </c>
      <c r="K802" s="3">
        <f t="shared" si="68"/>
        <v>169548</v>
      </c>
      <c r="L802" s="3">
        <v>25</v>
      </c>
      <c r="M802" s="3">
        <f t="shared" si="70"/>
        <v>18.219999999999985</v>
      </c>
      <c r="N802" s="3">
        <v>3</v>
      </c>
    </row>
    <row r="803" spans="4:14" ht="15" customHeight="1" x14ac:dyDescent="0.25">
      <c r="D803" s="13">
        <v>44914</v>
      </c>
      <c r="H803" s="3" t="s">
        <v>34</v>
      </c>
      <c r="I803" s="3" t="s">
        <v>35</v>
      </c>
      <c r="J803" s="3">
        <f t="shared" si="69"/>
        <v>169548</v>
      </c>
      <c r="K803" s="3">
        <f t="shared" si="68"/>
        <v>169560</v>
      </c>
      <c r="L803" s="3">
        <v>12</v>
      </c>
      <c r="M803" s="3">
        <f t="shared" si="70"/>
        <v>16.969999999999985</v>
      </c>
      <c r="N803" s="3">
        <v>1.25</v>
      </c>
    </row>
    <row r="804" spans="4:14" ht="15" customHeight="1" x14ac:dyDescent="0.25">
      <c r="D804" s="13"/>
      <c r="H804" s="3" t="s">
        <v>35</v>
      </c>
      <c r="I804" s="3" t="s">
        <v>34</v>
      </c>
      <c r="J804" s="3">
        <f t="shared" si="69"/>
        <v>169560</v>
      </c>
      <c r="K804" s="3">
        <f t="shared" si="68"/>
        <v>169572</v>
      </c>
      <c r="L804" s="3">
        <v>12</v>
      </c>
      <c r="M804" s="3">
        <f t="shared" si="70"/>
        <v>15.719999999999985</v>
      </c>
      <c r="N804" s="3">
        <v>1.25</v>
      </c>
    </row>
    <row r="805" spans="4:14" ht="15" customHeight="1" x14ac:dyDescent="0.25">
      <c r="D805" s="13">
        <v>44915</v>
      </c>
      <c r="H805" s="3" t="s">
        <v>34</v>
      </c>
      <c r="I805" s="3" t="s">
        <v>43</v>
      </c>
      <c r="J805" s="3">
        <f t="shared" si="69"/>
        <v>169572</v>
      </c>
      <c r="K805" s="3">
        <f t="shared" si="68"/>
        <v>169584</v>
      </c>
      <c r="L805" s="3">
        <v>12</v>
      </c>
      <c r="M805" s="3">
        <f t="shared" si="70"/>
        <v>14.469999999999985</v>
      </c>
      <c r="N805" s="3">
        <v>1.25</v>
      </c>
    </row>
    <row r="806" spans="4:14" ht="15" customHeight="1" x14ac:dyDescent="0.25">
      <c r="D806" s="13"/>
      <c r="H806" s="3" t="s">
        <v>43</v>
      </c>
      <c r="I806" s="3" t="s">
        <v>34</v>
      </c>
      <c r="J806" s="3">
        <f t="shared" si="69"/>
        <v>169584</v>
      </c>
      <c r="K806" s="3">
        <f t="shared" si="68"/>
        <v>169596</v>
      </c>
      <c r="L806" s="3">
        <v>12</v>
      </c>
      <c r="M806" s="3">
        <f t="shared" si="70"/>
        <v>13.219999999999985</v>
      </c>
      <c r="N806" s="3">
        <v>1.25</v>
      </c>
    </row>
    <row r="807" spans="4:14" ht="15" customHeight="1" x14ac:dyDescent="0.25">
      <c r="D807" s="13"/>
      <c r="H807" s="3" t="s">
        <v>34</v>
      </c>
      <c r="I807" s="3" t="s">
        <v>24</v>
      </c>
      <c r="J807" s="3">
        <f t="shared" si="69"/>
        <v>169596</v>
      </c>
      <c r="K807" s="3">
        <f t="shared" si="68"/>
        <v>169610</v>
      </c>
      <c r="L807" s="3">
        <v>14</v>
      </c>
      <c r="M807" s="3">
        <f t="shared" si="70"/>
        <v>11.719999999999985</v>
      </c>
      <c r="N807" s="3">
        <v>1.5</v>
      </c>
    </row>
    <row r="808" spans="4:14" ht="15" customHeight="1" x14ac:dyDescent="0.25">
      <c r="D808" s="13"/>
      <c r="H808" s="3" t="s">
        <v>24</v>
      </c>
      <c r="I808" s="3" t="s">
        <v>34</v>
      </c>
      <c r="J808" s="3">
        <f t="shared" si="69"/>
        <v>169610</v>
      </c>
      <c r="K808" s="3">
        <f t="shared" si="68"/>
        <v>169624</v>
      </c>
      <c r="L808" s="3">
        <v>14</v>
      </c>
      <c r="M808" s="3">
        <f t="shared" si="70"/>
        <v>10.219999999999985</v>
      </c>
      <c r="N808" s="3">
        <v>1.5</v>
      </c>
    </row>
    <row r="809" spans="4:14" ht="15" customHeight="1" x14ac:dyDescent="0.25">
      <c r="D809" s="13">
        <v>44916</v>
      </c>
      <c r="E809">
        <v>31.55</v>
      </c>
      <c r="F809" s="3">
        <v>51.9</v>
      </c>
      <c r="G809" s="8">
        <f>E809*F809</f>
        <v>1637.4449999999999</v>
      </c>
      <c r="H809" s="3" t="s">
        <v>34</v>
      </c>
      <c r="I809" s="3" t="s">
        <v>37</v>
      </c>
      <c r="J809" s="3">
        <f t="shared" si="69"/>
        <v>169624</v>
      </c>
      <c r="K809" s="3">
        <f t="shared" si="68"/>
        <v>169664</v>
      </c>
      <c r="L809" s="3">
        <v>40</v>
      </c>
      <c r="M809" s="3">
        <f t="shared" si="70"/>
        <v>36.969999999999985</v>
      </c>
      <c r="N809" s="3">
        <v>4.8</v>
      </c>
    </row>
    <row r="810" spans="4:14" ht="15" customHeight="1" x14ac:dyDescent="0.25">
      <c r="D810" s="13"/>
      <c r="G810" s="8"/>
      <c r="H810" s="3" t="s">
        <v>37</v>
      </c>
      <c r="I810" s="3" t="s">
        <v>34</v>
      </c>
      <c r="J810" s="3">
        <f t="shared" si="69"/>
        <v>169664</v>
      </c>
      <c r="K810" s="3">
        <f t="shared" si="68"/>
        <v>169704</v>
      </c>
      <c r="L810" s="3">
        <v>40</v>
      </c>
      <c r="M810" s="3">
        <f t="shared" si="70"/>
        <v>32.169999999999987</v>
      </c>
      <c r="N810" s="3">
        <v>4.8</v>
      </c>
    </row>
    <row r="811" spans="4:14" ht="15" customHeight="1" x14ac:dyDescent="0.25">
      <c r="D811" s="13"/>
      <c r="G811" s="8"/>
      <c r="H811" s="3" t="s">
        <v>34</v>
      </c>
      <c r="I811" s="3" t="s">
        <v>54</v>
      </c>
      <c r="J811" s="3">
        <f t="shared" si="69"/>
        <v>169704</v>
      </c>
      <c r="K811" s="3">
        <f t="shared" si="68"/>
        <v>169731</v>
      </c>
      <c r="L811" s="3">
        <v>27</v>
      </c>
      <c r="M811" s="3">
        <f t="shared" si="70"/>
        <v>28.969999999999988</v>
      </c>
      <c r="N811" s="3">
        <v>3.2</v>
      </c>
    </row>
    <row r="812" spans="4:14" ht="15" customHeight="1" x14ac:dyDescent="0.25">
      <c r="D812" s="13"/>
      <c r="G812" s="8"/>
      <c r="H812" s="3" t="s">
        <v>54</v>
      </c>
      <c r="I812" s="3" t="s">
        <v>34</v>
      </c>
      <c r="J812" s="3">
        <f t="shared" si="69"/>
        <v>169731</v>
      </c>
      <c r="K812" s="3">
        <f t="shared" si="68"/>
        <v>169758</v>
      </c>
      <c r="L812" s="3">
        <v>27</v>
      </c>
      <c r="M812" s="3">
        <f t="shared" si="70"/>
        <v>25.769999999999989</v>
      </c>
      <c r="N812" s="3">
        <v>3.2</v>
      </c>
    </row>
    <row r="813" spans="4:14" ht="15" customHeight="1" x14ac:dyDescent="0.25">
      <c r="D813" s="13">
        <v>44917</v>
      </c>
      <c r="H813" s="3" t="s">
        <v>34</v>
      </c>
      <c r="I813" s="3" t="s">
        <v>35</v>
      </c>
      <c r="J813" s="3">
        <f t="shared" si="69"/>
        <v>169758</v>
      </c>
      <c r="K813" s="3">
        <f t="shared" si="68"/>
        <v>169770</v>
      </c>
      <c r="L813" s="3">
        <v>12</v>
      </c>
      <c r="M813" s="3">
        <f t="shared" si="70"/>
        <v>24.519999999999989</v>
      </c>
      <c r="N813" s="3">
        <v>1.25</v>
      </c>
    </row>
    <row r="814" spans="4:14" ht="15" customHeight="1" x14ac:dyDescent="0.25">
      <c r="D814" s="13"/>
      <c r="H814" s="3" t="s">
        <v>35</v>
      </c>
      <c r="I814" s="3" t="s">
        <v>34</v>
      </c>
      <c r="J814" s="3">
        <f t="shared" si="69"/>
        <v>169770</v>
      </c>
      <c r="K814" s="3">
        <f t="shared" si="68"/>
        <v>169782</v>
      </c>
      <c r="L814" s="3">
        <v>12</v>
      </c>
      <c r="M814" s="3">
        <f t="shared" si="70"/>
        <v>23.269999999999989</v>
      </c>
      <c r="N814" s="3">
        <v>1.25</v>
      </c>
    </row>
    <row r="815" spans="4:14" ht="15" customHeight="1" x14ac:dyDescent="0.25">
      <c r="D815" s="13"/>
      <c r="H815" s="3" t="s">
        <v>34</v>
      </c>
      <c r="I815" s="3" t="s">
        <v>37</v>
      </c>
      <c r="J815" s="3">
        <f t="shared" si="69"/>
        <v>169782</v>
      </c>
      <c r="K815" s="3">
        <f t="shared" si="68"/>
        <v>169822</v>
      </c>
      <c r="L815" s="3">
        <v>40</v>
      </c>
      <c r="M815" s="3">
        <f t="shared" si="70"/>
        <v>18.469999999999988</v>
      </c>
      <c r="N815" s="3">
        <v>4.8</v>
      </c>
    </row>
    <row r="816" spans="4:14" ht="15" customHeight="1" x14ac:dyDescent="0.25">
      <c r="D816" s="13"/>
      <c r="H816" s="3" t="s">
        <v>37</v>
      </c>
      <c r="I816" s="3" t="s">
        <v>34</v>
      </c>
      <c r="J816" s="3">
        <f t="shared" si="69"/>
        <v>169822</v>
      </c>
      <c r="K816" s="3">
        <f t="shared" si="68"/>
        <v>169862</v>
      </c>
      <c r="L816" s="3">
        <v>40</v>
      </c>
      <c r="M816" s="3">
        <f t="shared" si="70"/>
        <v>13.669999999999987</v>
      </c>
      <c r="N816" s="3">
        <v>4.8</v>
      </c>
    </row>
    <row r="817" spans="4:14" ht="15" customHeight="1" x14ac:dyDescent="0.25">
      <c r="D817" s="13">
        <v>44918</v>
      </c>
      <c r="H817" s="3" t="s">
        <v>34</v>
      </c>
      <c r="I817" s="3" t="s">
        <v>32</v>
      </c>
      <c r="J817" s="3">
        <f t="shared" si="69"/>
        <v>169862</v>
      </c>
      <c r="K817" s="3">
        <f t="shared" si="68"/>
        <v>169887</v>
      </c>
      <c r="L817" s="3">
        <v>25</v>
      </c>
      <c r="M817" s="3">
        <f t="shared" si="70"/>
        <v>10.669999999999987</v>
      </c>
      <c r="N817" s="3">
        <v>3</v>
      </c>
    </row>
    <row r="818" spans="4:14" ht="15" customHeight="1" x14ac:dyDescent="0.25">
      <c r="D818" s="13"/>
      <c r="H818" s="3" t="s">
        <v>32</v>
      </c>
      <c r="I818" s="3" t="s">
        <v>34</v>
      </c>
      <c r="J818" s="3">
        <f t="shared" si="69"/>
        <v>169887</v>
      </c>
      <c r="K818" s="3">
        <f t="shared" si="68"/>
        <v>169912</v>
      </c>
      <c r="L818" s="3">
        <v>25</v>
      </c>
      <c r="M818" s="3">
        <f t="shared" si="70"/>
        <v>7.6699999999999875</v>
      </c>
      <c r="N818" s="3">
        <v>3</v>
      </c>
    </row>
    <row r="819" spans="4:14" ht="15" customHeight="1" x14ac:dyDescent="0.25">
      <c r="D819" s="13">
        <v>44921</v>
      </c>
      <c r="E819">
        <v>34.1</v>
      </c>
      <c r="F819" s="3">
        <v>51.6</v>
      </c>
      <c r="G819" s="8">
        <f>E819*F819</f>
        <v>1759.5600000000002</v>
      </c>
      <c r="H819" s="3" t="s">
        <v>34</v>
      </c>
      <c r="I819" s="3" t="s">
        <v>35</v>
      </c>
      <c r="J819" s="3">
        <f t="shared" si="69"/>
        <v>169912</v>
      </c>
      <c r="K819" s="3">
        <f t="shared" si="68"/>
        <v>169924</v>
      </c>
      <c r="L819" s="3">
        <v>12</v>
      </c>
      <c r="M819" s="3">
        <f t="shared" si="70"/>
        <v>40.519999999999989</v>
      </c>
      <c r="N819" s="3">
        <v>1.25</v>
      </c>
    </row>
    <row r="820" spans="4:14" ht="15" customHeight="1" x14ac:dyDescent="0.25">
      <c r="D820" s="13"/>
      <c r="G820" s="8"/>
      <c r="H820" s="3" t="s">
        <v>35</v>
      </c>
      <c r="I820" s="3" t="s">
        <v>34</v>
      </c>
      <c r="J820" s="3">
        <f t="shared" si="69"/>
        <v>169924</v>
      </c>
      <c r="K820" s="3">
        <f t="shared" si="68"/>
        <v>169936</v>
      </c>
      <c r="L820" s="3">
        <v>12</v>
      </c>
      <c r="M820" s="3">
        <f t="shared" si="70"/>
        <v>39.269999999999989</v>
      </c>
      <c r="N820" s="3">
        <v>1.25</v>
      </c>
    </row>
    <row r="821" spans="4:14" ht="15" customHeight="1" x14ac:dyDescent="0.25">
      <c r="D821" s="13"/>
      <c r="G821" s="8"/>
      <c r="H821" s="3" t="s">
        <v>34</v>
      </c>
      <c r="I821" s="3" t="s">
        <v>43</v>
      </c>
      <c r="J821" s="3">
        <f t="shared" si="69"/>
        <v>169936</v>
      </c>
      <c r="K821" s="3">
        <f t="shared" si="68"/>
        <v>169948</v>
      </c>
      <c r="L821" s="3">
        <v>12</v>
      </c>
      <c r="M821" s="3">
        <f t="shared" si="70"/>
        <v>38.019999999999989</v>
      </c>
      <c r="N821" s="3">
        <v>1.25</v>
      </c>
    </row>
    <row r="822" spans="4:14" ht="15" customHeight="1" x14ac:dyDescent="0.25">
      <c r="D822" s="13"/>
      <c r="G822" s="8"/>
      <c r="H822" s="3" t="s">
        <v>43</v>
      </c>
      <c r="I822" s="3" t="s">
        <v>34</v>
      </c>
      <c r="J822" s="3">
        <f t="shared" si="69"/>
        <v>169948</v>
      </c>
      <c r="K822" s="3">
        <f t="shared" si="68"/>
        <v>169960</v>
      </c>
      <c r="L822" s="3">
        <v>12</v>
      </c>
      <c r="M822" s="3">
        <f t="shared" si="70"/>
        <v>36.769999999999989</v>
      </c>
      <c r="N822" s="3">
        <v>1.25</v>
      </c>
    </row>
    <row r="823" spans="4:14" ht="15" customHeight="1" x14ac:dyDescent="0.25">
      <c r="D823" s="13">
        <v>44922</v>
      </c>
      <c r="H823" s="3" t="s">
        <v>34</v>
      </c>
      <c r="I823" s="3" t="s">
        <v>24</v>
      </c>
      <c r="J823" s="3">
        <f t="shared" si="69"/>
        <v>169960</v>
      </c>
      <c r="K823" s="3">
        <f t="shared" si="68"/>
        <v>169974</v>
      </c>
      <c r="L823" s="3">
        <v>14</v>
      </c>
      <c r="M823" s="3">
        <f t="shared" si="70"/>
        <v>35.269999999999989</v>
      </c>
      <c r="N823" s="3">
        <v>1.5</v>
      </c>
    </row>
    <row r="824" spans="4:14" ht="15" customHeight="1" x14ac:dyDescent="0.25">
      <c r="D824" s="13"/>
      <c r="H824" s="3" t="s">
        <v>24</v>
      </c>
      <c r="I824" s="3" t="s">
        <v>34</v>
      </c>
      <c r="J824" s="3">
        <f t="shared" si="69"/>
        <v>169974</v>
      </c>
      <c r="K824" s="3">
        <f t="shared" si="68"/>
        <v>169988</v>
      </c>
      <c r="L824" s="3">
        <v>14</v>
      </c>
      <c r="M824" s="3">
        <f t="shared" si="70"/>
        <v>33.769999999999989</v>
      </c>
      <c r="N824" s="3">
        <v>1.5</v>
      </c>
    </row>
    <row r="825" spans="4:14" ht="15" customHeight="1" x14ac:dyDescent="0.25">
      <c r="D825" s="13">
        <v>44923</v>
      </c>
      <c r="H825" s="3" t="s">
        <v>34</v>
      </c>
      <c r="I825" s="3" t="s">
        <v>37</v>
      </c>
      <c r="J825" s="3">
        <f t="shared" si="69"/>
        <v>169988</v>
      </c>
      <c r="K825" s="3">
        <f t="shared" si="68"/>
        <v>170028</v>
      </c>
      <c r="L825" s="3">
        <v>40</v>
      </c>
      <c r="M825" s="3">
        <f t="shared" si="70"/>
        <v>28.969999999999988</v>
      </c>
      <c r="N825" s="3">
        <v>4.8</v>
      </c>
    </row>
    <row r="826" spans="4:14" ht="15" customHeight="1" x14ac:dyDescent="0.25">
      <c r="D826" s="13"/>
      <c r="H826" s="3" t="s">
        <v>37</v>
      </c>
      <c r="I826" s="3" t="s">
        <v>34</v>
      </c>
      <c r="J826" s="3">
        <f t="shared" si="69"/>
        <v>170028</v>
      </c>
      <c r="K826" s="3">
        <f t="shared" si="68"/>
        <v>170068</v>
      </c>
      <c r="L826" s="3">
        <v>40</v>
      </c>
      <c r="M826" s="3">
        <f t="shared" si="70"/>
        <v>24.169999999999987</v>
      </c>
      <c r="N826" s="3">
        <v>4.8</v>
      </c>
    </row>
    <row r="827" spans="4:14" ht="15" customHeight="1" x14ac:dyDescent="0.25">
      <c r="D827" s="13"/>
      <c r="H827" s="3" t="s">
        <v>34</v>
      </c>
      <c r="I827" s="3" t="s">
        <v>32</v>
      </c>
      <c r="J827" s="3">
        <f t="shared" si="69"/>
        <v>170068</v>
      </c>
      <c r="K827" s="3">
        <f t="shared" si="68"/>
        <v>170093</v>
      </c>
      <c r="L827" s="3">
        <v>25</v>
      </c>
      <c r="M827" s="3">
        <f t="shared" si="70"/>
        <v>21.169999999999987</v>
      </c>
      <c r="N827" s="3">
        <v>3</v>
      </c>
    </row>
    <row r="828" spans="4:14" ht="15" customHeight="1" x14ac:dyDescent="0.25">
      <c r="D828" s="13"/>
      <c r="H828" s="3" t="s">
        <v>32</v>
      </c>
      <c r="I828" s="3" t="s">
        <v>34</v>
      </c>
      <c r="J828" s="3">
        <f t="shared" si="69"/>
        <v>170093</v>
      </c>
      <c r="K828" s="3">
        <f t="shared" si="68"/>
        <v>170118</v>
      </c>
      <c r="L828" s="3">
        <v>25</v>
      </c>
      <c r="M828" s="3">
        <f t="shared" si="70"/>
        <v>18.169999999999987</v>
      </c>
      <c r="N828" s="3">
        <v>3</v>
      </c>
    </row>
    <row r="829" spans="4:14" ht="15" customHeight="1" x14ac:dyDescent="0.25">
      <c r="D829" s="13">
        <v>44924</v>
      </c>
      <c r="H829" s="3" t="s">
        <v>34</v>
      </c>
      <c r="I829" s="3" t="s">
        <v>35</v>
      </c>
      <c r="J829" s="3">
        <f t="shared" si="69"/>
        <v>170118</v>
      </c>
      <c r="K829" s="3">
        <f t="shared" ref="K829:K860" si="71">J829+L829</f>
        <v>170130</v>
      </c>
      <c r="L829" s="3">
        <v>12</v>
      </c>
      <c r="M829" s="3">
        <f t="shared" si="70"/>
        <v>16.919999999999987</v>
      </c>
      <c r="N829" s="3">
        <v>1.25</v>
      </c>
    </row>
    <row r="830" spans="4:14" ht="15" customHeight="1" x14ac:dyDescent="0.25">
      <c r="D830" s="13"/>
      <c r="H830" s="3" t="s">
        <v>35</v>
      </c>
      <c r="I830" s="3" t="s">
        <v>34</v>
      </c>
      <c r="J830" s="3">
        <f t="shared" ref="J830:J840" si="72">K829</f>
        <v>170130</v>
      </c>
      <c r="K830" s="3">
        <f t="shared" si="71"/>
        <v>170142</v>
      </c>
      <c r="L830" s="3">
        <v>12</v>
      </c>
      <c r="M830" s="3">
        <f t="shared" ref="M830:M861" si="73">(E830+M829)-N830</f>
        <v>15.669999999999987</v>
      </c>
      <c r="N830" s="3">
        <v>1.25</v>
      </c>
    </row>
    <row r="831" spans="4:14" ht="15" customHeight="1" x14ac:dyDescent="0.25">
      <c r="D831" s="13"/>
      <c r="H831" s="3" t="s">
        <v>34</v>
      </c>
      <c r="I831" s="3" t="s">
        <v>24</v>
      </c>
      <c r="J831" s="3">
        <f t="shared" si="72"/>
        <v>170142</v>
      </c>
      <c r="K831" s="3">
        <f t="shared" si="71"/>
        <v>170156</v>
      </c>
      <c r="L831" s="3">
        <v>14</v>
      </c>
      <c r="M831" s="3">
        <f t="shared" si="73"/>
        <v>14.169999999999987</v>
      </c>
      <c r="N831" s="3">
        <v>1.5</v>
      </c>
    </row>
    <row r="832" spans="4:14" ht="15" customHeight="1" x14ac:dyDescent="0.25">
      <c r="D832" s="13"/>
      <c r="H832" s="3" t="s">
        <v>24</v>
      </c>
      <c r="I832" s="3" t="s">
        <v>34</v>
      </c>
      <c r="J832" s="3">
        <f t="shared" si="72"/>
        <v>170156</v>
      </c>
      <c r="K832" s="3">
        <f t="shared" si="71"/>
        <v>170170</v>
      </c>
      <c r="L832" s="3">
        <v>14</v>
      </c>
      <c r="M832" s="3">
        <f t="shared" si="73"/>
        <v>12.669999999999987</v>
      </c>
      <c r="N832" s="3">
        <v>1.5</v>
      </c>
    </row>
    <row r="833" spans="4:14" ht="15" customHeight="1" x14ac:dyDescent="0.25">
      <c r="D833" s="13"/>
      <c r="H833" s="3" t="s">
        <v>34</v>
      </c>
      <c r="I833" s="3" t="s">
        <v>49</v>
      </c>
      <c r="J833" s="3">
        <f t="shared" si="72"/>
        <v>170170</v>
      </c>
      <c r="K833" s="3">
        <f t="shared" si="71"/>
        <v>170197</v>
      </c>
      <c r="L833" s="3">
        <v>27</v>
      </c>
      <c r="M833" s="3">
        <f t="shared" si="73"/>
        <v>9.4699999999999882</v>
      </c>
      <c r="N833" s="3">
        <v>3.2</v>
      </c>
    </row>
    <row r="834" spans="4:14" ht="15" customHeight="1" x14ac:dyDescent="0.25">
      <c r="D834" s="13"/>
      <c r="H834" s="3" t="s">
        <v>49</v>
      </c>
      <c r="I834" s="3" t="s">
        <v>34</v>
      </c>
      <c r="J834" s="3">
        <f t="shared" si="72"/>
        <v>170197</v>
      </c>
      <c r="K834" s="3">
        <f t="shared" si="71"/>
        <v>170224</v>
      </c>
      <c r="L834" s="3">
        <v>27</v>
      </c>
      <c r="M834" s="3">
        <f t="shared" si="73"/>
        <v>6.269999999999988</v>
      </c>
      <c r="N834" s="3">
        <v>3.2</v>
      </c>
    </row>
    <row r="835" spans="4:14" ht="15" customHeight="1" x14ac:dyDescent="0.25">
      <c r="D835" s="13">
        <v>44925</v>
      </c>
      <c r="E835">
        <v>34.85</v>
      </c>
      <c r="F835" s="3">
        <v>51.2</v>
      </c>
      <c r="G835" s="8">
        <f>E835*F835</f>
        <v>1784.3200000000002</v>
      </c>
      <c r="H835" s="3" t="s">
        <v>34</v>
      </c>
      <c r="I835" s="3" t="s">
        <v>35</v>
      </c>
      <c r="J835" s="3">
        <f t="shared" si="72"/>
        <v>170224</v>
      </c>
      <c r="K835" s="3">
        <f t="shared" si="71"/>
        <v>170236</v>
      </c>
      <c r="L835" s="3">
        <v>12</v>
      </c>
      <c r="M835" s="3">
        <f t="shared" si="73"/>
        <v>39.86999999999999</v>
      </c>
      <c r="N835" s="3">
        <v>1.25</v>
      </c>
    </row>
    <row r="836" spans="4:14" ht="15" customHeight="1" x14ac:dyDescent="0.25">
      <c r="D836" s="13"/>
      <c r="H836" s="3" t="s">
        <v>35</v>
      </c>
      <c r="I836" s="3" t="s">
        <v>34</v>
      </c>
      <c r="J836" s="3">
        <f t="shared" si="72"/>
        <v>170236</v>
      </c>
      <c r="K836" s="3">
        <f t="shared" si="71"/>
        <v>170248</v>
      </c>
      <c r="L836" s="3">
        <v>12</v>
      </c>
      <c r="M836" s="3">
        <f t="shared" si="73"/>
        <v>38.61999999999999</v>
      </c>
      <c r="N836" s="3">
        <v>1.25</v>
      </c>
    </row>
    <row r="837" spans="4:14" ht="15" customHeight="1" x14ac:dyDescent="0.25">
      <c r="D837" s="13"/>
      <c r="H837" s="3" t="s">
        <v>34</v>
      </c>
      <c r="I837" s="3" t="s">
        <v>37</v>
      </c>
      <c r="J837" s="3">
        <f t="shared" si="72"/>
        <v>170248</v>
      </c>
      <c r="K837" s="3">
        <f t="shared" si="71"/>
        <v>170288</v>
      </c>
      <c r="L837" s="3">
        <v>40</v>
      </c>
      <c r="M837" s="3">
        <f t="shared" si="73"/>
        <v>33.819999999999993</v>
      </c>
      <c r="N837" s="3">
        <v>4.8</v>
      </c>
    </row>
    <row r="838" spans="4:14" ht="15" customHeight="1" x14ac:dyDescent="0.25">
      <c r="H838" s="3" t="s">
        <v>37</v>
      </c>
      <c r="I838" s="3" t="s">
        <v>34</v>
      </c>
      <c r="J838" s="3">
        <f t="shared" si="72"/>
        <v>170288</v>
      </c>
      <c r="K838" s="3">
        <f t="shared" si="71"/>
        <v>170328</v>
      </c>
      <c r="L838" s="3">
        <v>40</v>
      </c>
      <c r="M838" s="3">
        <f t="shared" si="73"/>
        <v>29.019999999999992</v>
      </c>
      <c r="N838" s="3">
        <v>4.8</v>
      </c>
    </row>
    <row r="839" spans="4:14" ht="15" customHeight="1" x14ac:dyDescent="0.25">
      <c r="H839" s="3" t="s">
        <v>34</v>
      </c>
      <c r="I839" s="3" t="s">
        <v>32</v>
      </c>
      <c r="J839" s="3">
        <f t="shared" si="72"/>
        <v>170328</v>
      </c>
      <c r="K839" s="3">
        <f t="shared" si="71"/>
        <v>170353</v>
      </c>
      <c r="L839" s="3">
        <v>25</v>
      </c>
      <c r="M839" s="3">
        <f t="shared" si="73"/>
        <v>26.019999999999992</v>
      </c>
      <c r="N839" s="3">
        <v>3</v>
      </c>
    </row>
    <row r="840" spans="4:14" ht="15" customHeight="1" x14ac:dyDescent="0.25">
      <c r="H840" s="3" t="s">
        <v>32</v>
      </c>
      <c r="I840" s="3" t="s">
        <v>34</v>
      </c>
      <c r="J840" s="3">
        <f t="shared" si="72"/>
        <v>170353</v>
      </c>
      <c r="K840" s="3">
        <f t="shared" si="71"/>
        <v>170378</v>
      </c>
      <c r="L840" s="3">
        <v>25</v>
      </c>
      <c r="M840" s="3">
        <f t="shared" si="73"/>
        <v>23.019999999999992</v>
      </c>
      <c r="N840" s="3">
        <v>3</v>
      </c>
    </row>
    <row r="843" spans="4:14" ht="15" customHeight="1" x14ac:dyDescent="0.25">
      <c r="D843" s="2" t="s">
        <v>56</v>
      </c>
      <c r="E843" s="2"/>
      <c r="F843" s="2"/>
      <c r="G843" s="2"/>
    </row>
    <row r="844" spans="4:14" ht="15" customHeight="1" x14ac:dyDescent="0.25">
      <c r="D844" s="13">
        <v>44935</v>
      </c>
      <c r="E844" s="6"/>
      <c r="F844" s="6"/>
      <c r="G844" s="6"/>
      <c r="H844" s="3" t="s">
        <v>34</v>
      </c>
      <c r="I844" s="3" t="s">
        <v>35</v>
      </c>
      <c r="J844" s="3">
        <f>K840</f>
        <v>170378</v>
      </c>
      <c r="K844" s="3">
        <f t="shared" ref="K844:K851" si="74">J844+L844</f>
        <v>170390</v>
      </c>
      <c r="L844" s="3">
        <v>12</v>
      </c>
      <c r="M844" s="15">
        <f>(E844+M840)-N844</f>
        <v>21.769999999999992</v>
      </c>
      <c r="N844" s="3">
        <v>1.25</v>
      </c>
    </row>
    <row r="845" spans="4:14" ht="15" customHeight="1" x14ac:dyDescent="0.25">
      <c r="D845" s="6"/>
      <c r="E845" s="6"/>
      <c r="F845" s="6"/>
      <c r="G845" s="6"/>
      <c r="H845" s="3" t="s">
        <v>35</v>
      </c>
      <c r="I845" s="3" t="s">
        <v>34</v>
      </c>
      <c r="J845" s="3">
        <f t="shared" ref="J845:J851" si="75">K844</f>
        <v>170390</v>
      </c>
      <c r="K845" s="3">
        <f t="shared" si="74"/>
        <v>170402</v>
      </c>
      <c r="L845" s="3">
        <v>12</v>
      </c>
      <c r="M845" s="3">
        <f t="shared" ref="M845:M851" si="76">(E845+M844)-N845</f>
        <v>20.519999999999992</v>
      </c>
      <c r="N845" s="3">
        <v>1.25</v>
      </c>
    </row>
    <row r="846" spans="4:14" ht="15" customHeight="1" x14ac:dyDescent="0.25">
      <c r="H846" s="3" t="s">
        <v>34</v>
      </c>
      <c r="I846" s="3" t="s">
        <v>32</v>
      </c>
      <c r="J846" s="3">
        <f t="shared" si="75"/>
        <v>170402</v>
      </c>
      <c r="K846" s="3">
        <f t="shared" si="74"/>
        <v>170427</v>
      </c>
      <c r="L846" s="3">
        <v>25</v>
      </c>
      <c r="M846" s="3">
        <f t="shared" si="76"/>
        <v>17.519999999999992</v>
      </c>
      <c r="N846" s="3">
        <v>3</v>
      </c>
    </row>
    <row r="847" spans="4:14" ht="15" customHeight="1" x14ac:dyDescent="0.25">
      <c r="H847" s="3" t="s">
        <v>32</v>
      </c>
      <c r="I847" s="3" t="s">
        <v>34</v>
      </c>
      <c r="J847" s="3">
        <f t="shared" si="75"/>
        <v>170427</v>
      </c>
      <c r="K847" s="3">
        <f t="shared" si="74"/>
        <v>170452</v>
      </c>
      <c r="L847" s="3">
        <v>25</v>
      </c>
      <c r="M847" s="3">
        <f t="shared" si="76"/>
        <v>14.519999999999992</v>
      </c>
      <c r="N847" s="3">
        <v>3</v>
      </c>
    </row>
    <row r="848" spans="4:14" ht="15" customHeight="1" x14ac:dyDescent="0.25">
      <c r="H848" s="3" t="s">
        <v>34</v>
      </c>
      <c r="I848" s="3" t="s">
        <v>24</v>
      </c>
      <c r="J848" s="3">
        <f t="shared" si="75"/>
        <v>170452</v>
      </c>
      <c r="K848" s="3">
        <f t="shared" si="74"/>
        <v>170466</v>
      </c>
      <c r="L848" s="3">
        <v>14</v>
      </c>
      <c r="M848" s="3">
        <f t="shared" si="76"/>
        <v>13.019999999999992</v>
      </c>
      <c r="N848" s="3">
        <v>1.5</v>
      </c>
    </row>
    <row r="849" spans="4:14" ht="15" customHeight="1" x14ac:dyDescent="0.25">
      <c r="H849" s="3" t="s">
        <v>24</v>
      </c>
      <c r="I849" s="3" t="s">
        <v>34</v>
      </c>
      <c r="J849" s="3">
        <f t="shared" si="75"/>
        <v>170466</v>
      </c>
      <c r="K849" s="3">
        <f t="shared" si="74"/>
        <v>170480</v>
      </c>
      <c r="L849" s="3">
        <v>14</v>
      </c>
      <c r="M849" s="3">
        <f t="shared" si="76"/>
        <v>11.519999999999992</v>
      </c>
      <c r="N849" s="3">
        <v>1.5</v>
      </c>
    </row>
    <row r="850" spans="4:14" ht="15" customHeight="1" x14ac:dyDescent="0.25">
      <c r="H850" s="3" t="s">
        <v>34</v>
      </c>
      <c r="I850" s="3" t="s">
        <v>49</v>
      </c>
      <c r="J850" s="3">
        <f t="shared" si="75"/>
        <v>170480</v>
      </c>
      <c r="K850" s="3">
        <f t="shared" si="74"/>
        <v>170507</v>
      </c>
      <c r="L850" s="3">
        <v>27</v>
      </c>
      <c r="M850" s="3">
        <f t="shared" si="76"/>
        <v>8.3199999999999932</v>
      </c>
      <c r="N850" s="3">
        <v>3.2</v>
      </c>
    </row>
    <row r="851" spans="4:14" ht="15" customHeight="1" x14ac:dyDescent="0.25">
      <c r="H851" s="3" t="s">
        <v>49</v>
      </c>
      <c r="I851" s="3" t="s">
        <v>34</v>
      </c>
      <c r="J851" s="3">
        <f t="shared" si="75"/>
        <v>170507</v>
      </c>
      <c r="K851" s="3">
        <f t="shared" si="74"/>
        <v>170534</v>
      </c>
      <c r="L851" s="3">
        <v>27</v>
      </c>
      <c r="M851" s="3">
        <f t="shared" si="76"/>
        <v>5.119999999999993</v>
      </c>
      <c r="N851" s="3">
        <v>3.2</v>
      </c>
    </row>
    <row r="852" spans="4:14" ht="15" customHeight="1" x14ac:dyDescent="0.25">
      <c r="D852" s="13">
        <v>44936</v>
      </c>
      <c r="E852" t="s">
        <v>50</v>
      </c>
      <c r="H852" s="3"/>
      <c r="I852" s="3"/>
      <c r="M852" s="3"/>
    </row>
    <row r="853" spans="4:14" ht="15" customHeight="1" x14ac:dyDescent="0.25">
      <c r="D853" s="13">
        <v>44937</v>
      </c>
      <c r="E853" t="s">
        <v>50</v>
      </c>
    </row>
    <row r="854" spans="4:14" ht="15" customHeight="1" x14ac:dyDescent="0.25">
      <c r="D854" s="13">
        <v>44938</v>
      </c>
      <c r="E854" t="s">
        <v>50</v>
      </c>
    </row>
    <row r="855" spans="4:14" ht="15" customHeight="1" x14ac:dyDescent="0.25">
      <c r="D855" s="13">
        <v>44939</v>
      </c>
      <c r="E855" t="s">
        <v>50</v>
      </c>
    </row>
    <row r="856" spans="4:14" ht="15" customHeight="1" x14ac:dyDescent="0.25">
      <c r="D856" s="13"/>
    </row>
    <row r="857" spans="4:14" ht="15" customHeight="1" x14ac:dyDescent="0.25">
      <c r="D857" s="13"/>
    </row>
    <row r="858" spans="4:14" ht="15" customHeight="1" x14ac:dyDescent="0.25">
      <c r="D858" s="13">
        <v>44942</v>
      </c>
      <c r="E858" t="s">
        <v>50</v>
      </c>
    </row>
    <row r="859" spans="4:14" ht="15" customHeight="1" x14ac:dyDescent="0.25">
      <c r="D859" s="13">
        <v>44943</v>
      </c>
      <c r="E859" t="s">
        <v>50</v>
      </c>
    </row>
    <row r="860" spans="4:14" ht="15" customHeight="1" x14ac:dyDescent="0.25">
      <c r="D860" s="13">
        <v>44944</v>
      </c>
      <c r="E860" t="s">
        <v>50</v>
      </c>
    </row>
    <row r="861" spans="4:14" ht="15" customHeight="1" x14ac:dyDescent="0.25">
      <c r="D861" s="13">
        <v>44945</v>
      </c>
      <c r="E861" t="s">
        <v>50</v>
      </c>
    </row>
    <row r="862" spans="4:14" ht="15" customHeight="1" x14ac:dyDescent="0.25">
      <c r="D862" s="13">
        <v>44946</v>
      </c>
      <c r="E862" t="s">
        <v>50</v>
      </c>
    </row>
    <row r="863" spans="4:14" ht="15" customHeight="1" x14ac:dyDescent="0.25">
      <c r="D863" s="13">
        <v>44949</v>
      </c>
      <c r="H863" s="3" t="s">
        <v>34</v>
      </c>
      <c r="I863" s="3" t="s">
        <v>35</v>
      </c>
      <c r="J863" s="3">
        <f>K851</f>
        <v>170534</v>
      </c>
      <c r="K863" s="3">
        <f t="shared" ref="K863:K884" si="77">J863+L863</f>
        <v>170546</v>
      </c>
      <c r="L863" s="3">
        <v>12</v>
      </c>
      <c r="M863" s="3">
        <f>(E863+M851)-N863</f>
        <v>3.869999999999993</v>
      </c>
      <c r="N863" s="3">
        <v>1.25</v>
      </c>
    </row>
    <row r="864" spans="4:14" ht="15" customHeight="1" x14ac:dyDescent="0.25">
      <c r="D864" s="13"/>
      <c r="H864" s="3" t="s">
        <v>35</v>
      </c>
      <c r="I864" s="3" t="s">
        <v>34</v>
      </c>
      <c r="J864" s="3">
        <f t="shared" ref="J864:J884" si="78">K863</f>
        <v>170546</v>
      </c>
      <c r="K864" s="3">
        <f t="shared" si="77"/>
        <v>170558</v>
      </c>
      <c r="L864" s="3">
        <v>12</v>
      </c>
      <c r="M864" s="3">
        <f t="shared" ref="M864:M884" si="79">(E864+M863)-N864</f>
        <v>2.619999999999993</v>
      </c>
      <c r="N864" s="3">
        <v>1.25</v>
      </c>
    </row>
    <row r="865" spans="4:14" ht="15" customHeight="1" x14ac:dyDescent="0.25">
      <c r="D865" s="13">
        <v>44950</v>
      </c>
      <c r="H865" s="3" t="s">
        <v>34</v>
      </c>
      <c r="I865" s="3" t="s">
        <v>35</v>
      </c>
      <c r="J865" s="3">
        <f t="shared" si="78"/>
        <v>170558</v>
      </c>
      <c r="K865" s="3">
        <f t="shared" si="77"/>
        <v>170570</v>
      </c>
      <c r="L865" s="3">
        <v>12</v>
      </c>
      <c r="M865" s="3">
        <f t="shared" si="79"/>
        <v>1.369999999999993</v>
      </c>
      <c r="N865" s="3">
        <v>1.25</v>
      </c>
    </row>
    <row r="866" spans="4:14" ht="15" customHeight="1" x14ac:dyDescent="0.25">
      <c r="D866" s="13"/>
      <c r="H866" s="3" t="s">
        <v>35</v>
      </c>
      <c r="I866" s="3" t="s">
        <v>34</v>
      </c>
      <c r="J866" s="3">
        <f t="shared" si="78"/>
        <v>170570</v>
      </c>
      <c r="K866" s="3">
        <f t="shared" si="77"/>
        <v>170582</v>
      </c>
      <c r="L866" s="3">
        <v>12</v>
      </c>
      <c r="M866" s="3">
        <f t="shared" si="79"/>
        <v>0.119999999999993</v>
      </c>
      <c r="N866" s="3">
        <v>1.25</v>
      </c>
    </row>
    <row r="867" spans="4:14" ht="15" customHeight="1" x14ac:dyDescent="0.25">
      <c r="D867" s="13">
        <v>44951</v>
      </c>
      <c r="E867">
        <v>32.479999999999997</v>
      </c>
      <c r="F867" s="3">
        <v>51.9</v>
      </c>
      <c r="G867" s="8">
        <f>E867*F867</f>
        <v>1685.7119999999998</v>
      </c>
      <c r="H867" s="3" t="s">
        <v>34</v>
      </c>
      <c r="I867" s="3" t="s">
        <v>49</v>
      </c>
      <c r="J867" s="3">
        <f t="shared" si="78"/>
        <v>170582</v>
      </c>
      <c r="K867" s="3">
        <f t="shared" si="77"/>
        <v>170609</v>
      </c>
      <c r="L867" s="3">
        <v>27</v>
      </c>
      <c r="M867" s="3">
        <f t="shared" si="79"/>
        <v>29.399999999999988</v>
      </c>
      <c r="N867" s="3">
        <v>3.2</v>
      </c>
    </row>
    <row r="868" spans="4:14" ht="15" customHeight="1" x14ac:dyDescent="0.25">
      <c r="D868" s="13"/>
      <c r="H868" s="3" t="s">
        <v>49</v>
      </c>
      <c r="I868" s="3" t="s">
        <v>34</v>
      </c>
      <c r="J868" s="3">
        <f t="shared" si="78"/>
        <v>170609</v>
      </c>
      <c r="K868" s="3">
        <f t="shared" si="77"/>
        <v>170636</v>
      </c>
      <c r="L868" s="3">
        <v>27</v>
      </c>
      <c r="M868" s="3">
        <f t="shared" si="79"/>
        <v>26.199999999999989</v>
      </c>
      <c r="N868" s="3">
        <v>3.2</v>
      </c>
    </row>
    <row r="869" spans="4:14" ht="15" customHeight="1" x14ac:dyDescent="0.25">
      <c r="D869" s="13">
        <v>44952</v>
      </c>
      <c r="H869" s="3" t="s">
        <v>34</v>
      </c>
      <c r="I869" s="3" t="s">
        <v>24</v>
      </c>
      <c r="J869" s="3">
        <f t="shared" si="78"/>
        <v>170636</v>
      </c>
      <c r="K869" s="3">
        <f t="shared" si="77"/>
        <v>170650</v>
      </c>
      <c r="L869" s="3">
        <v>14</v>
      </c>
      <c r="M869" s="3">
        <f t="shared" si="79"/>
        <v>24.699999999999989</v>
      </c>
      <c r="N869" s="3">
        <v>1.5</v>
      </c>
    </row>
    <row r="870" spans="4:14" ht="15" customHeight="1" x14ac:dyDescent="0.25">
      <c r="D870" s="13"/>
      <c r="H870" s="3" t="s">
        <v>24</v>
      </c>
      <c r="I870" s="3" t="s">
        <v>34</v>
      </c>
      <c r="J870" s="3">
        <f t="shared" si="78"/>
        <v>170650</v>
      </c>
      <c r="K870" s="3">
        <f t="shared" si="77"/>
        <v>170664</v>
      </c>
      <c r="L870" s="3">
        <v>14</v>
      </c>
      <c r="M870" s="3">
        <f t="shared" si="79"/>
        <v>23.199999999999989</v>
      </c>
      <c r="N870" s="3">
        <v>1.5</v>
      </c>
    </row>
    <row r="871" spans="4:14" ht="15" customHeight="1" x14ac:dyDescent="0.25">
      <c r="D871" s="13">
        <v>44953</v>
      </c>
      <c r="H871" s="3" t="s">
        <v>34</v>
      </c>
      <c r="I871" s="3" t="s">
        <v>54</v>
      </c>
      <c r="J871" s="3">
        <f t="shared" si="78"/>
        <v>170664</v>
      </c>
      <c r="K871" s="3">
        <f t="shared" si="77"/>
        <v>170691</v>
      </c>
      <c r="L871" s="3">
        <v>27</v>
      </c>
      <c r="M871" s="3">
        <f t="shared" si="79"/>
        <v>19.999999999999989</v>
      </c>
      <c r="N871" s="3">
        <v>3.2</v>
      </c>
    </row>
    <row r="872" spans="4:14" ht="15" customHeight="1" x14ac:dyDescent="0.25">
      <c r="D872" s="13"/>
      <c r="H872" s="3" t="s">
        <v>54</v>
      </c>
      <c r="I872" s="3" t="s">
        <v>34</v>
      </c>
      <c r="J872" s="3">
        <f t="shared" si="78"/>
        <v>170691</v>
      </c>
      <c r="K872" s="3">
        <f t="shared" si="77"/>
        <v>170718</v>
      </c>
      <c r="L872" s="3">
        <v>27</v>
      </c>
      <c r="M872" s="3">
        <f t="shared" si="79"/>
        <v>16.79999999999999</v>
      </c>
      <c r="N872" s="3">
        <v>3.2</v>
      </c>
    </row>
    <row r="873" spans="4:14" ht="15" customHeight="1" x14ac:dyDescent="0.25">
      <c r="D873" s="13"/>
      <c r="H873" s="3" t="s">
        <v>34</v>
      </c>
      <c r="I873" s="3" t="s">
        <v>43</v>
      </c>
      <c r="J873" s="3">
        <f t="shared" si="78"/>
        <v>170718</v>
      </c>
      <c r="K873" s="3">
        <f t="shared" si="77"/>
        <v>170730</v>
      </c>
      <c r="L873" s="3">
        <v>12</v>
      </c>
      <c r="M873" s="3">
        <f t="shared" si="79"/>
        <v>15.54999999999999</v>
      </c>
      <c r="N873" s="3">
        <v>1.25</v>
      </c>
    </row>
    <row r="874" spans="4:14" ht="15" customHeight="1" x14ac:dyDescent="0.25">
      <c r="D874" s="13"/>
      <c r="H874" s="3" t="s">
        <v>43</v>
      </c>
      <c r="I874" s="3" t="s">
        <v>34</v>
      </c>
      <c r="J874" s="3">
        <f t="shared" si="78"/>
        <v>170730</v>
      </c>
      <c r="K874" s="3">
        <f t="shared" si="77"/>
        <v>170742</v>
      </c>
      <c r="L874" s="3">
        <v>12</v>
      </c>
      <c r="M874" s="3">
        <f t="shared" si="79"/>
        <v>14.29999999999999</v>
      </c>
      <c r="N874" s="3">
        <v>1.25</v>
      </c>
    </row>
    <row r="875" spans="4:14" ht="15" customHeight="1" x14ac:dyDescent="0.25">
      <c r="D875" s="13">
        <v>44956</v>
      </c>
      <c r="E875">
        <v>33.409999999999997</v>
      </c>
      <c r="F875" s="3">
        <v>51.9</v>
      </c>
      <c r="G875" s="8">
        <f>E875*F875</f>
        <v>1733.9789999999998</v>
      </c>
      <c r="H875" s="3" t="s">
        <v>34</v>
      </c>
      <c r="I875" s="3" t="s">
        <v>35</v>
      </c>
      <c r="J875" s="3">
        <f t="shared" si="78"/>
        <v>170742</v>
      </c>
      <c r="K875" s="3">
        <f t="shared" si="77"/>
        <v>170754</v>
      </c>
      <c r="L875" s="3">
        <v>12</v>
      </c>
      <c r="M875" s="3">
        <f t="shared" si="79"/>
        <v>46.459999999999987</v>
      </c>
      <c r="N875" s="3">
        <v>1.25</v>
      </c>
    </row>
    <row r="876" spans="4:14" ht="15" customHeight="1" x14ac:dyDescent="0.25">
      <c r="D876" s="13"/>
      <c r="H876" s="3" t="s">
        <v>35</v>
      </c>
      <c r="I876" s="3" t="s">
        <v>34</v>
      </c>
      <c r="J876" s="3">
        <f t="shared" si="78"/>
        <v>170754</v>
      </c>
      <c r="K876" s="3">
        <f t="shared" si="77"/>
        <v>170766</v>
      </c>
      <c r="L876" s="3">
        <v>12</v>
      </c>
      <c r="M876" s="3">
        <f t="shared" si="79"/>
        <v>45.209999999999987</v>
      </c>
      <c r="N876" s="3">
        <v>1.25</v>
      </c>
    </row>
    <row r="877" spans="4:14" ht="15" customHeight="1" x14ac:dyDescent="0.25">
      <c r="D877" s="13"/>
      <c r="H877" s="3" t="s">
        <v>34</v>
      </c>
      <c r="I877" s="3" t="s">
        <v>36</v>
      </c>
      <c r="J877" s="3">
        <f t="shared" si="78"/>
        <v>170766</v>
      </c>
      <c r="K877" s="3">
        <f t="shared" si="77"/>
        <v>170781</v>
      </c>
      <c r="L877" s="3">
        <v>15</v>
      </c>
      <c r="M877" s="3">
        <f t="shared" si="79"/>
        <v>43.409999999999989</v>
      </c>
      <c r="N877" s="3">
        <v>1.8</v>
      </c>
    </row>
    <row r="878" spans="4:14" ht="15" customHeight="1" x14ac:dyDescent="0.25">
      <c r="D878" s="13"/>
      <c r="H878" s="3" t="s">
        <v>36</v>
      </c>
      <c r="I878" s="3" t="s">
        <v>34</v>
      </c>
      <c r="J878" s="3">
        <f t="shared" si="78"/>
        <v>170781</v>
      </c>
      <c r="K878" s="3">
        <f t="shared" si="77"/>
        <v>170796</v>
      </c>
      <c r="L878" s="3">
        <v>15</v>
      </c>
      <c r="M878" s="3">
        <f t="shared" si="79"/>
        <v>41.609999999999992</v>
      </c>
      <c r="N878" s="3">
        <v>1.8</v>
      </c>
    </row>
    <row r="879" spans="4:14" ht="15" customHeight="1" x14ac:dyDescent="0.25">
      <c r="D879" s="13"/>
      <c r="H879" s="3" t="s">
        <v>34</v>
      </c>
      <c r="I879" s="3" t="s">
        <v>49</v>
      </c>
      <c r="J879" s="3">
        <f t="shared" si="78"/>
        <v>170796</v>
      </c>
      <c r="K879" s="3">
        <f t="shared" si="77"/>
        <v>170823</v>
      </c>
      <c r="L879" s="3">
        <v>27</v>
      </c>
      <c r="M879" s="3">
        <f t="shared" si="79"/>
        <v>38.409999999999989</v>
      </c>
      <c r="N879" s="3">
        <v>3.2</v>
      </c>
    </row>
    <row r="880" spans="4:14" ht="15" customHeight="1" x14ac:dyDescent="0.25">
      <c r="D880" s="13"/>
      <c r="H880" s="3" t="s">
        <v>49</v>
      </c>
      <c r="I880" s="3" t="s">
        <v>34</v>
      </c>
      <c r="J880" s="3">
        <f t="shared" si="78"/>
        <v>170823</v>
      </c>
      <c r="K880" s="3">
        <f t="shared" si="77"/>
        <v>170850</v>
      </c>
      <c r="L880" s="3">
        <v>27</v>
      </c>
      <c r="M880" s="3">
        <f t="shared" si="79"/>
        <v>35.209999999999987</v>
      </c>
      <c r="N880" s="3">
        <v>3.2</v>
      </c>
    </row>
    <row r="881" spans="4:14" ht="15" customHeight="1" x14ac:dyDescent="0.25">
      <c r="D881" s="13">
        <v>44957</v>
      </c>
      <c r="H881" s="3" t="s">
        <v>34</v>
      </c>
      <c r="I881" s="3" t="s">
        <v>24</v>
      </c>
      <c r="J881" s="3">
        <f t="shared" si="78"/>
        <v>170850</v>
      </c>
      <c r="K881" s="3">
        <f t="shared" si="77"/>
        <v>170864</v>
      </c>
      <c r="L881" s="3">
        <v>14</v>
      </c>
      <c r="M881" s="3">
        <f t="shared" si="79"/>
        <v>33.709999999999987</v>
      </c>
      <c r="N881" s="3">
        <v>1.5</v>
      </c>
    </row>
    <row r="882" spans="4:14" ht="15" customHeight="1" x14ac:dyDescent="0.25">
      <c r="H882" s="3" t="s">
        <v>24</v>
      </c>
      <c r="I882" s="3" t="s">
        <v>34</v>
      </c>
      <c r="J882" s="3">
        <f t="shared" si="78"/>
        <v>170864</v>
      </c>
      <c r="K882" s="3">
        <f t="shared" si="77"/>
        <v>170878</v>
      </c>
      <c r="L882" s="3">
        <v>14</v>
      </c>
      <c r="M882" s="3">
        <f t="shared" si="79"/>
        <v>32.209999999999987</v>
      </c>
      <c r="N882" s="3">
        <v>1.5</v>
      </c>
    </row>
    <row r="883" spans="4:14" ht="15" customHeight="1" x14ac:dyDescent="0.25">
      <c r="H883" s="3" t="s">
        <v>34</v>
      </c>
      <c r="I883" s="3" t="s">
        <v>37</v>
      </c>
      <c r="J883" s="3">
        <f t="shared" si="78"/>
        <v>170878</v>
      </c>
      <c r="K883" s="3">
        <f t="shared" si="77"/>
        <v>170918</v>
      </c>
      <c r="L883" s="3">
        <v>40</v>
      </c>
      <c r="M883" s="3">
        <f t="shared" si="79"/>
        <v>27.409999999999986</v>
      </c>
      <c r="N883" s="3">
        <v>4.8</v>
      </c>
    </row>
    <row r="884" spans="4:14" ht="15" customHeight="1" x14ac:dyDescent="0.25">
      <c r="H884" s="3" t="s">
        <v>37</v>
      </c>
      <c r="I884" s="3" t="s">
        <v>34</v>
      </c>
      <c r="J884" s="3">
        <f t="shared" si="78"/>
        <v>170918</v>
      </c>
      <c r="K884" s="3">
        <f t="shared" si="77"/>
        <v>170958</v>
      </c>
      <c r="L884" s="3">
        <v>40</v>
      </c>
      <c r="M884" s="3">
        <f t="shared" si="79"/>
        <v>22.609999999999985</v>
      </c>
      <c r="N884" s="3">
        <v>4.8</v>
      </c>
    </row>
    <row r="886" spans="4:14" ht="15" customHeight="1" x14ac:dyDescent="0.25">
      <c r="D886" s="2" t="s">
        <v>57</v>
      </c>
      <c r="E886" s="2"/>
      <c r="F886" s="2"/>
      <c r="G886" s="2"/>
    </row>
    <row r="887" spans="4:14" ht="15" customHeight="1" x14ac:dyDescent="0.25">
      <c r="D887" s="13">
        <v>44958</v>
      </c>
      <c r="H887" s="3" t="s">
        <v>34</v>
      </c>
      <c r="I887" s="3" t="s">
        <v>43</v>
      </c>
      <c r="J887" s="3">
        <f>K884</f>
        <v>170958</v>
      </c>
      <c r="K887" s="3">
        <f t="shared" ref="K887:K918" si="80">J887+L887</f>
        <v>170970</v>
      </c>
      <c r="L887" s="3">
        <v>12</v>
      </c>
      <c r="M887" s="3">
        <f>(E887+M884)-N887</f>
        <v>21.359999999999985</v>
      </c>
      <c r="N887" s="3">
        <v>1.25</v>
      </c>
    </row>
    <row r="888" spans="4:14" ht="15" customHeight="1" x14ac:dyDescent="0.25">
      <c r="D888" s="13"/>
      <c r="H888" s="3" t="s">
        <v>43</v>
      </c>
      <c r="I888" s="3" t="s">
        <v>34</v>
      </c>
      <c r="J888" s="3">
        <f t="shared" ref="J888:J919" si="81">K887</f>
        <v>170970</v>
      </c>
      <c r="K888" s="3">
        <f t="shared" si="80"/>
        <v>170982</v>
      </c>
      <c r="L888" s="3">
        <v>12</v>
      </c>
      <c r="M888" s="3">
        <f t="shared" ref="M888:M919" si="82">(E888+M887)-N888</f>
        <v>20.109999999999985</v>
      </c>
      <c r="N888" s="3">
        <v>1.25</v>
      </c>
    </row>
    <row r="889" spans="4:14" ht="15" customHeight="1" x14ac:dyDescent="0.25">
      <c r="D889" s="13">
        <v>44959</v>
      </c>
      <c r="H889" s="3" t="s">
        <v>34</v>
      </c>
      <c r="I889" s="3" t="s">
        <v>35</v>
      </c>
      <c r="J889" s="3">
        <f t="shared" si="81"/>
        <v>170982</v>
      </c>
      <c r="K889" s="3">
        <f t="shared" si="80"/>
        <v>170994</v>
      </c>
      <c r="L889" s="3">
        <v>12</v>
      </c>
      <c r="M889" s="3">
        <f t="shared" si="82"/>
        <v>18.859999999999985</v>
      </c>
      <c r="N889" s="3">
        <v>1.25</v>
      </c>
    </row>
    <row r="890" spans="4:14" ht="15" customHeight="1" x14ac:dyDescent="0.25">
      <c r="D890" s="13"/>
      <c r="H890" s="3" t="s">
        <v>35</v>
      </c>
      <c r="I890" s="3" t="s">
        <v>34</v>
      </c>
      <c r="J890" s="3">
        <f t="shared" si="81"/>
        <v>170994</v>
      </c>
      <c r="K890" s="3">
        <f t="shared" si="80"/>
        <v>171006</v>
      </c>
      <c r="L890" s="3">
        <v>12</v>
      </c>
      <c r="M890" s="3">
        <f t="shared" si="82"/>
        <v>17.609999999999985</v>
      </c>
      <c r="N890" s="3">
        <v>1.25</v>
      </c>
    </row>
    <row r="891" spans="4:14" ht="15" customHeight="1" x14ac:dyDescent="0.25">
      <c r="D891" s="13"/>
      <c r="H891" s="3" t="s">
        <v>34</v>
      </c>
      <c r="I891" s="3" t="s">
        <v>49</v>
      </c>
      <c r="J891" s="3">
        <f t="shared" si="81"/>
        <v>171006</v>
      </c>
      <c r="K891" s="3">
        <f t="shared" si="80"/>
        <v>171033</v>
      </c>
      <c r="L891" s="3">
        <v>27</v>
      </c>
      <c r="M891" s="3">
        <f t="shared" si="82"/>
        <v>14.409999999999986</v>
      </c>
      <c r="N891" s="3">
        <v>3.2</v>
      </c>
    </row>
    <row r="892" spans="4:14" ht="15" customHeight="1" x14ac:dyDescent="0.25">
      <c r="D892" s="13"/>
      <c r="H892" s="3" t="s">
        <v>49</v>
      </c>
      <c r="I892" s="3" t="s">
        <v>34</v>
      </c>
      <c r="J892" s="3">
        <f t="shared" si="81"/>
        <v>171033</v>
      </c>
      <c r="K892" s="3">
        <f t="shared" si="80"/>
        <v>171060</v>
      </c>
      <c r="L892" s="3">
        <v>27</v>
      </c>
      <c r="M892" s="3">
        <f t="shared" si="82"/>
        <v>11.209999999999987</v>
      </c>
      <c r="N892" s="3">
        <v>3.2</v>
      </c>
    </row>
    <row r="893" spans="4:14" ht="15" customHeight="1" x14ac:dyDescent="0.25">
      <c r="D893" s="13">
        <v>44960</v>
      </c>
      <c r="E893">
        <v>33.18</v>
      </c>
      <c r="F893" s="3">
        <v>51.6</v>
      </c>
      <c r="G893" s="8">
        <f>E893*F893</f>
        <v>1712.088</v>
      </c>
      <c r="H893" s="3" t="s">
        <v>34</v>
      </c>
      <c r="I893" s="3" t="s">
        <v>35</v>
      </c>
      <c r="J893" s="3">
        <f t="shared" si="81"/>
        <v>171060</v>
      </c>
      <c r="K893" s="3">
        <f t="shared" si="80"/>
        <v>171072</v>
      </c>
      <c r="L893" s="3">
        <v>12</v>
      </c>
      <c r="M893" s="3">
        <f t="shared" si="82"/>
        <v>43.139999999999986</v>
      </c>
      <c r="N893" s="3">
        <v>1.25</v>
      </c>
    </row>
    <row r="894" spans="4:14" ht="15" customHeight="1" x14ac:dyDescent="0.25">
      <c r="D894" s="13"/>
      <c r="H894" s="3" t="s">
        <v>35</v>
      </c>
      <c r="I894" s="3" t="s">
        <v>34</v>
      </c>
      <c r="J894" s="3">
        <f t="shared" si="81"/>
        <v>171072</v>
      </c>
      <c r="K894" s="3">
        <f t="shared" si="80"/>
        <v>171084</v>
      </c>
      <c r="L894" s="3">
        <v>12</v>
      </c>
      <c r="M894" s="3">
        <f t="shared" si="82"/>
        <v>41.889999999999986</v>
      </c>
      <c r="N894" s="3">
        <v>1.25</v>
      </c>
    </row>
    <row r="895" spans="4:14" ht="15" customHeight="1" x14ac:dyDescent="0.25">
      <c r="D895" s="13"/>
      <c r="H895" s="3" t="s">
        <v>34</v>
      </c>
      <c r="I895" s="3" t="s">
        <v>32</v>
      </c>
      <c r="J895" s="3">
        <f t="shared" si="81"/>
        <v>171084</v>
      </c>
      <c r="K895" s="3">
        <f t="shared" si="80"/>
        <v>171109</v>
      </c>
      <c r="L895" s="3">
        <v>25</v>
      </c>
      <c r="M895" s="3">
        <f t="shared" si="82"/>
        <v>38.889999999999986</v>
      </c>
      <c r="N895" s="3">
        <v>3</v>
      </c>
    </row>
    <row r="896" spans="4:14" ht="15" customHeight="1" x14ac:dyDescent="0.25">
      <c r="D896" s="13"/>
      <c r="H896" s="3" t="s">
        <v>32</v>
      </c>
      <c r="I896" s="3" t="s">
        <v>34</v>
      </c>
      <c r="J896" s="3">
        <f t="shared" si="81"/>
        <v>171109</v>
      </c>
      <c r="K896" s="3">
        <f t="shared" si="80"/>
        <v>171134</v>
      </c>
      <c r="L896" s="3">
        <v>25</v>
      </c>
      <c r="M896" s="3">
        <f t="shared" si="82"/>
        <v>35.889999999999986</v>
      </c>
      <c r="N896" s="3">
        <v>3</v>
      </c>
    </row>
    <row r="897" spans="4:14" ht="15" customHeight="1" x14ac:dyDescent="0.25">
      <c r="D897" s="13">
        <v>44963</v>
      </c>
      <c r="H897" s="3" t="s">
        <v>34</v>
      </c>
      <c r="I897" s="3" t="s">
        <v>54</v>
      </c>
      <c r="J897" s="3">
        <f t="shared" si="81"/>
        <v>171134</v>
      </c>
      <c r="K897" s="3">
        <f t="shared" si="80"/>
        <v>171161</v>
      </c>
      <c r="L897" s="3">
        <v>27</v>
      </c>
      <c r="M897" s="3">
        <f t="shared" si="82"/>
        <v>32.689999999999984</v>
      </c>
      <c r="N897" s="3">
        <v>3.2</v>
      </c>
    </row>
    <row r="898" spans="4:14" ht="15" customHeight="1" x14ac:dyDescent="0.25">
      <c r="D898" s="13"/>
      <c r="H898" s="3" t="s">
        <v>54</v>
      </c>
      <c r="I898" s="3" t="s">
        <v>34</v>
      </c>
      <c r="J898" s="3">
        <f t="shared" si="81"/>
        <v>171161</v>
      </c>
      <c r="K898" s="3">
        <f t="shared" si="80"/>
        <v>171188</v>
      </c>
      <c r="L898" s="3">
        <v>27</v>
      </c>
      <c r="M898" s="3">
        <f t="shared" si="82"/>
        <v>29.489999999999984</v>
      </c>
      <c r="N898" s="3">
        <v>3.2</v>
      </c>
    </row>
    <row r="899" spans="4:14" ht="15" customHeight="1" x14ac:dyDescent="0.25">
      <c r="D899" s="13">
        <v>44964</v>
      </c>
      <c r="H899" s="3" t="s">
        <v>34</v>
      </c>
      <c r="I899" s="3" t="s">
        <v>35</v>
      </c>
      <c r="J899" s="3">
        <f t="shared" si="81"/>
        <v>171188</v>
      </c>
      <c r="K899" s="3">
        <f t="shared" si="80"/>
        <v>171200</v>
      </c>
      <c r="L899" s="3">
        <v>12</v>
      </c>
      <c r="M899" s="3">
        <f t="shared" si="82"/>
        <v>28.239999999999984</v>
      </c>
      <c r="N899" s="3">
        <v>1.25</v>
      </c>
    </row>
    <row r="900" spans="4:14" ht="15" customHeight="1" x14ac:dyDescent="0.25">
      <c r="D900" s="13"/>
      <c r="H900" s="3" t="s">
        <v>35</v>
      </c>
      <c r="I900" s="3" t="s">
        <v>34</v>
      </c>
      <c r="J900" s="3">
        <f t="shared" si="81"/>
        <v>171200</v>
      </c>
      <c r="K900" s="3">
        <f t="shared" si="80"/>
        <v>171212</v>
      </c>
      <c r="L900" s="3">
        <v>12</v>
      </c>
      <c r="M900" s="3">
        <f t="shared" si="82"/>
        <v>26.989999999999984</v>
      </c>
      <c r="N900" s="3">
        <v>1.25</v>
      </c>
    </row>
    <row r="901" spans="4:14" ht="15" customHeight="1" x14ac:dyDescent="0.25">
      <c r="D901" s="13">
        <v>44965</v>
      </c>
      <c r="H901" s="3" t="s">
        <v>34</v>
      </c>
      <c r="I901" s="3" t="s">
        <v>35</v>
      </c>
      <c r="J901" s="3">
        <f t="shared" si="81"/>
        <v>171212</v>
      </c>
      <c r="K901" s="3">
        <f t="shared" si="80"/>
        <v>171224</v>
      </c>
      <c r="L901" s="3">
        <v>12</v>
      </c>
      <c r="M901" s="3">
        <f t="shared" si="82"/>
        <v>25.739999999999984</v>
      </c>
      <c r="N901" s="3">
        <v>1.25</v>
      </c>
    </row>
    <row r="902" spans="4:14" ht="15" customHeight="1" x14ac:dyDescent="0.25">
      <c r="D902" s="13"/>
      <c r="H902" s="3" t="s">
        <v>35</v>
      </c>
      <c r="I902" s="3" t="s">
        <v>34</v>
      </c>
      <c r="J902" s="3">
        <f t="shared" si="81"/>
        <v>171224</v>
      </c>
      <c r="K902" s="3">
        <f t="shared" si="80"/>
        <v>171236</v>
      </c>
      <c r="L902" s="3">
        <v>12</v>
      </c>
      <c r="M902" s="3">
        <f t="shared" si="82"/>
        <v>24.489999999999984</v>
      </c>
      <c r="N902" s="3">
        <v>1.25</v>
      </c>
    </row>
    <row r="903" spans="4:14" ht="15" customHeight="1" x14ac:dyDescent="0.25">
      <c r="D903" s="13"/>
      <c r="H903" s="3" t="s">
        <v>34</v>
      </c>
      <c r="I903" s="3" t="s">
        <v>37</v>
      </c>
      <c r="J903" s="3">
        <f t="shared" si="81"/>
        <v>171236</v>
      </c>
      <c r="K903" s="3">
        <f t="shared" si="80"/>
        <v>171276</v>
      </c>
      <c r="L903" s="3">
        <v>40</v>
      </c>
      <c r="M903" s="3">
        <f t="shared" si="82"/>
        <v>19.689999999999984</v>
      </c>
      <c r="N903" s="3">
        <v>4.8</v>
      </c>
    </row>
    <row r="904" spans="4:14" ht="15" customHeight="1" x14ac:dyDescent="0.25">
      <c r="D904" s="13"/>
      <c r="H904" s="3" t="s">
        <v>37</v>
      </c>
      <c r="I904" s="3" t="s">
        <v>34</v>
      </c>
      <c r="J904" s="3">
        <f t="shared" si="81"/>
        <v>171276</v>
      </c>
      <c r="K904" s="3">
        <f t="shared" si="80"/>
        <v>171316</v>
      </c>
      <c r="L904" s="3">
        <v>40</v>
      </c>
      <c r="M904" s="3">
        <f t="shared" si="82"/>
        <v>14.889999999999983</v>
      </c>
      <c r="N904" s="3">
        <v>4.8</v>
      </c>
    </row>
    <row r="905" spans="4:14" ht="15" customHeight="1" x14ac:dyDescent="0.25">
      <c r="D905" s="13">
        <v>44966</v>
      </c>
      <c r="H905" s="3" t="s">
        <v>34</v>
      </c>
      <c r="I905" s="3" t="s">
        <v>54</v>
      </c>
      <c r="J905" s="3">
        <f t="shared" si="81"/>
        <v>171316</v>
      </c>
      <c r="K905" s="3">
        <f t="shared" si="80"/>
        <v>171343</v>
      </c>
      <c r="L905" s="3">
        <v>27</v>
      </c>
      <c r="M905" s="3">
        <f t="shared" si="82"/>
        <v>11.689999999999984</v>
      </c>
      <c r="N905" s="3">
        <v>3.2</v>
      </c>
    </row>
    <row r="906" spans="4:14" ht="15" customHeight="1" x14ac:dyDescent="0.25">
      <c r="D906" s="13"/>
      <c r="H906" s="3" t="s">
        <v>54</v>
      </c>
      <c r="I906" s="3" t="s">
        <v>34</v>
      </c>
      <c r="J906" s="3">
        <f t="shared" si="81"/>
        <v>171343</v>
      </c>
      <c r="K906" s="3">
        <f t="shared" si="80"/>
        <v>171370</v>
      </c>
      <c r="L906" s="3">
        <v>27</v>
      </c>
      <c r="M906" s="3">
        <f t="shared" si="82"/>
        <v>8.4899999999999842</v>
      </c>
      <c r="N906" s="3">
        <v>3.2</v>
      </c>
    </row>
    <row r="907" spans="4:14" ht="15" customHeight="1" x14ac:dyDescent="0.25">
      <c r="D907" s="13">
        <v>44967</v>
      </c>
      <c r="E907">
        <v>31.79</v>
      </c>
      <c r="F907" s="3">
        <v>51.6</v>
      </c>
      <c r="G907" s="8">
        <f>E907*F907</f>
        <v>1640.364</v>
      </c>
      <c r="H907" s="3" t="s">
        <v>34</v>
      </c>
      <c r="I907" s="3" t="s">
        <v>43</v>
      </c>
      <c r="J907" s="3">
        <f t="shared" si="81"/>
        <v>171370</v>
      </c>
      <c r="K907" s="3">
        <f t="shared" si="80"/>
        <v>171382</v>
      </c>
      <c r="L907" s="3">
        <v>12</v>
      </c>
      <c r="M907" s="3">
        <f t="shared" si="82"/>
        <v>39.029999999999987</v>
      </c>
      <c r="N907" s="3">
        <v>1.25</v>
      </c>
    </row>
    <row r="908" spans="4:14" ht="15" customHeight="1" x14ac:dyDescent="0.25">
      <c r="D908" s="13"/>
      <c r="H908" s="3" t="s">
        <v>43</v>
      </c>
      <c r="I908" s="3" t="s">
        <v>34</v>
      </c>
      <c r="J908" s="3">
        <f t="shared" si="81"/>
        <v>171382</v>
      </c>
      <c r="K908" s="3">
        <f t="shared" si="80"/>
        <v>171394</v>
      </c>
      <c r="L908" s="3">
        <v>12</v>
      </c>
      <c r="M908" s="3">
        <f t="shared" si="82"/>
        <v>37.779999999999987</v>
      </c>
      <c r="N908" s="3">
        <v>1.25</v>
      </c>
    </row>
    <row r="909" spans="4:14" ht="15" customHeight="1" x14ac:dyDescent="0.25">
      <c r="D909" s="13">
        <v>44970</v>
      </c>
      <c r="H909" s="3" t="s">
        <v>34</v>
      </c>
      <c r="I909" s="3" t="s">
        <v>49</v>
      </c>
      <c r="J909" s="3">
        <f t="shared" si="81"/>
        <v>171394</v>
      </c>
      <c r="K909" s="3">
        <f t="shared" si="80"/>
        <v>171421</v>
      </c>
      <c r="L909" s="3">
        <v>27</v>
      </c>
      <c r="M909" s="3">
        <f t="shared" si="82"/>
        <v>34.579999999999984</v>
      </c>
      <c r="N909" s="3">
        <v>3.2</v>
      </c>
    </row>
    <row r="910" spans="4:14" ht="15" customHeight="1" x14ac:dyDescent="0.25">
      <c r="D910" s="13"/>
      <c r="H910" s="3" t="s">
        <v>49</v>
      </c>
      <c r="I910" s="3" t="s">
        <v>34</v>
      </c>
      <c r="J910" s="3">
        <f t="shared" si="81"/>
        <v>171421</v>
      </c>
      <c r="K910" s="3">
        <f t="shared" si="80"/>
        <v>171448</v>
      </c>
      <c r="L910" s="3">
        <v>27</v>
      </c>
      <c r="M910" s="3">
        <f t="shared" si="82"/>
        <v>31.379999999999985</v>
      </c>
      <c r="N910" s="3">
        <v>3.2</v>
      </c>
    </row>
    <row r="911" spans="4:14" ht="15" customHeight="1" x14ac:dyDescent="0.25">
      <c r="D911" s="13"/>
      <c r="H911" s="3" t="s">
        <v>34</v>
      </c>
      <c r="I911" s="3" t="s">
        <v>58</v>
      </c>
      <c r="J911" s="3">
        <f t="shared" si="81"/>
        <v>171448</v>
      </c>
      <c r="K911" s="3">
        <f t="shared" si="80"/>
        <v>171475</v>
      </c>
      <c r="L911" s="3">
        <v>27</v>
      </c>
      <c r="M911" s="3">
        <f t="shared" si="82"/>
        <v>28.179999999999986</v>
      </c>
      <c r="N911" s="3">
        <v>3.2</v>
      </c>
    </row>
    <row r="912" spans="4:14" ht="15" customHeight="1" x14ac:dyDescent="0.25">
      <c r="D912" s="13"/>
      <c r="H912" s="3" t="s">
        <v>58</v>
      </c>
      <c r="I912" s="3" t="s">
        <v>34</v>
      </c>
      <c r="J912" s="3">
        <f t="shared" si="81"/>
        <v>171475</v>
      </c>
      <c r="K912" s="3">
        <f t="shared" si="80"/>
        <v>171502</v>
      </c>
      <c r="L912" s="3">
        <v>27</v>
      </c>
      <c r="M912" s="3">
        <f t="shared" si="82"/>
        <v>24.979999999999986</v>
      </c>
      <c r="N912" s="3">
        <v>3.2</v>
      </c>
    </row>
    <row r="913" spans="4:14" ht="15" customHeight="1" x14ac:dyDescent="0.25">
      <c r="D913" s="13">
        <v>44971</v>
      </c>
      <c r="H913" s="3" t="s">
        <v>34</v>
      </c>
      <c r="I913" s="3" t="s">
        <v>54</v>
      </c>
      <c r="J913" s="3">
        <f t="shared" si="81"/>
        <v>171502</v>
      </c>
      <c r="K913" s="3">
        <f t="shared" si="80"/>
        <v>171529</v>
      </c>
      <c r="L913" s="3">
        <v>27</v>
      </c>
      <c r="M913" s="3">
        <f t="shared" si="82"/>
        <v>21.779999999999987</v>
      </c>
      <c r="N913" s="3">
        <v>3.2</v>
      </c>
    </row>
    <row r="914" spans="4:14" ht="15" customHeight="1" x14ac:dyDescent="0.25">
      <c r="D914" s="13"/>
      <c r="H914" s="3" t="s">
        <v>54</v>
      </c>
      <c r="I914" s="3" t="s">
        <v>34</v>
      </c>
      <c r="J914" s="3">
        <f t="shared" si="81"/>
        <v>171529</v>
      </c>
      <c r="K914" s="3">
        <f t="shared" si="80"/>
        <v>171556</v>
      </c>
      <c r="L914" s="3">
        <v>27</v>
      </c>
      <c r="M914" s="3">
        <f t="shared" si="82"/>
        <v>18.579999999999988</v>
      </c>
      <c r="N914" s="3">
        <v>3.2</v>
      </c>
    </row>
    <row r="915" spans="4:14" ht="15" customHeight="1" x14ac:dyDescent="0.25">
      <c r="D915" s="13"/>
      <c r="H915" s="3" t="s">
        <v>34</v>
      </c>
      <c r="I915" s="3" t="s">
        <v>43</v>
      </c>
      <c r="J915" s="3">
        <f t="shared" si="81"/>
        <v>171556</v>
      </c>
      <c r="K915" s="3">
        <f t="shared" si="80"/>
        <v>171568</v>
      </c>
      <c r="L915" s="3">
        <v>12</v>
      </c>
      <c r="M915" s="3">
        <f t="shared" si="82"/>
        <v>17.329999999999988</v>
      </c>
      <c r="N915" s="3">
        <v>1.25</v>
      </c>
    </row>
    <row r="916" spans="4:14" ht="15" customHeight="1" x14ac:dyDescent="0.25">
      <c r="D916" s="13"/>
      <c r="H916" s="3" t="s">
        <v>43</v>
      </c>
      <c r="I916" s="3" t="s">
        <v>34</v>
      </c>
      <c r="J916" s="3">
        <f t="shared" si="81"/>
        <v>171568</v>
      </c>
      <c r="K916" s="3">
        <f t="shared" si="80"/>
        <v>171580</v>
      </c>
      <c r="L916" s="3">
        <v>12</v>
      </c>
      <c r="M916" s="3">
        <f t="shared" si="82"/>
        <v>16.079999999999988</v>
      </c>
      <c r="N916" s="3">
        <v>1.25</v>
      </c>
    </row>
    <row r="917" spans="4:14" ht="15" customHeight="1" x14ac:dyDescent="0.25">
      <c r="D917" s="13"/>
      <c r="H917" s="3" t="s">
        <v>34</v>
      </c>
      <c r="I917" s="3" t="s">
        <v>39</v>
      </c>
      <c r="J917" s="3">
        <f t="shared" si="81"/>
        <v>171580</v>
      </c>
      <c r="K917" s="3">
        <f t="shared" si="80"/>
        <v>171630</v>
      </c>
      <c r="L917" s="3">
        <v>50</v>
      </c>
      <c r="M917" s="3">
        <f t="shared" si="82"/>
        <v>10.579999999999988</v>
      </c>
      <c r="N917" s="3">
        <v>5.5</v>
      </c>
    </row>
    <row r="918" spans="4:14" ht="15" customHeight="1" x14ac:dyDescent="0.25">
      <c r="D918" s="13"/>
      <c r="H918" s="3" t="s">
        <v>39</v>
      </c>
      <c r="I918" s="3" t="s">
        <v>34</v>
      </c>
      <c r="J918" s="3">
        <f t="shared" si="81"/>
        <v>171630</v>
      </c>
      <c r="K918" s="3">
        <f t="shared" si="80"/>
        <v>171680</v>
      </c>
      <c r="L918" s="3">
        <v>50</v>
      </c>
      <c r="M918" s="3">
        <f t="shared" si="82"/>
        <v>5.0799999999999876</v>
      </c>
      <c r="N918" s="3">
        <v>5.5</v>
      </c>
    </row>
    <row r="919" spans="4:14" ht="15" customHeight="1" x14ac:dyDescent="0.25">
      <c r="D919" s="13">
        <v>44972</v>
      </c>
      <c r="E919">
        <v>32.049999999999997</v>
      </c>
      <c r="F919" s="3">
        <v>51.9</v>
      </c>
      <c r="G919" s="8">
        <f>E919*F919</f>
        <v>1663.3949999999998</v>
      </c>
      <c r="H919" s="3" t="s">
        <v>34</v>
      </c>
      <c r="I919" s="3" t="s">
        <v>35</v>
      </c>
      <c r="J919" s="3">
        <f t="shared" si="81"/>
        <v>171680</v>
      </c>
      <c r="K919" s="3">
        <f t="shared" ref="K919:K950" si="83">J919+L919</f>
        <v>171692</v>
      </c>
      <c r="L919" s="3">
        <v>12</v>
      </c>
      <c r="M919" s="3">
        <f t="shared" si="82"/>
        <v>35.879999999999981</v>
      </c>
      <c r="N919" s="3">
        <v>1.25</v>
      </c>
    </row>
    <row r="920" spans="4:14" ht="15" customHeight="1" x14ac:dyDescent="0.25">
      <c r="D920" s="13"/>
      <c r="H920" s="3" t="s">
        <v>35</v>
      </c>
      <c r="I920" s="3" t="s">
        <v>34</v>
      </c>
      <c r="J920" s="3">
        <f t="shared" ref="J920:J938" si="84">K919</f>
        <v>171692</v>
      </c>
      <c r="K920" s="3">
        <f t="shared" si="83"/>
        <v>171704</v>
      </c>
      <c r="L920" s="3">
        <v>12</v>
      </c>
      <c r="M920" s="3">
        <f t="shared" ref="M920:M951" si="85">(E920+M919)-N920</f>
        <v>34.629999999999981</v>
      </c>
      <c r="N920" s="3">
        <v>1.25</v>
      </c>
    </row>
    <row r="921" spans="4:14" ht="15" customHeight="1" x14ac:dyDescent="0.25">
      <c r="D921" s="13"/>
      <c r="H921" s="3" t="s">
        <v>34</v>
      </c>
      <c r="I921" s="3" t="s">
        <v>59</v>
      </c>
      <c r="J921" s="3">
        <f t="shared" si="84"/>
        <v>171704</v>
      </c>
      <c r="K921" s="3">
        <f t="shared" si="83"/>
        <v>171731</v>
      </c>
      <c r="L921" s="3">
        <v>27</v>
      </c>
      <c r="M921" s="3">
        <f t="shared" si="85"/>
        <v>31.429999999999982</v>
      </c>
      <c r="N921" s="3">
        <v>3.2</v>
      </c>
    </row>
    <row r="922" spans="4:14" ht="15" customHeight="1" x14ac:dyDescent="0.25">
      <c r="D922" s="13"/>
      <c r="H922" s="3" t="s">
        <v>59</v>
      </c>
      <c r="I922" s="3" t="s">
        <v>34</v>
      </c>
      <c r="J922" s="3">
        <f t="shared" si="84"/>
        <v>171731</v>
      </c>
      <c r="K922" s="3">
        <f t="shared" si="83"/>
        <v>171758</v>
      </c>
      <c r="L922" s="3">
        <v>27</v>
      </c>
      <c r="M922" s="3">
        <f t="shared" si="85"/>
        <v>28.229999999999983</v>
      </c>
      <c r="N922" s="3">
        <v>3.2</v>
      </c>
    </row>
    <row r="923" spans="4:14" ht="15" customHeight="1" x14ac:dyDescent="0.25">
      <c r="D923" s="13">
        <v>44973</v>
      </c>
      <c r="H923" s="3" t="s">
        <v>34</v>
      </c>
      <c r="I923" s="3" t="s">
        <v>35</v>
      </c>
      <c r="J923" s="3">
        <f t="shared" si="84"/>
        <v>171758</v>
      </c>
      <c r="K923" s="3">
        <f t="shared" si="83"/>
        <v>171770</v>
      </c>
      <c r="L923" s="3">
        <v>12</v>
      </c>
      <c r="M923" s="3">
        <f t="shared" si="85"/>
        <v>26.979999999999983</v>
      </c>
      <c r="N923" s="3">
        <v>1.25</v>
      </c>
    </row>
    <row r="924" spans="4:14" ht="15" customHeight="1" x14ac:dyDescent="0.25">
      <c r="D924" s="13"/>
      <c r="H924" s="3" t="s">
        <v>35</v>
      </c>
      <c r="I924" s="3" t="s">
        <v>34</v>
      </c>
      <c r="J924" s="3">
        <f t="shared" si="84"/>
        <v>171770</v>
      </c>
      <c r="K924" s="3">
        <f t="shared" si="83"/>
        <v>171782</v>
      </c>
      <c r="L924" s="3">
        <v>12</v>
      </c>
      <c r="M924" s="3">
        <f t="shared" si="85"/>
        <v>25.729999999999983</v>
      </c>
      <c r="N924" s="3">
        <v>1.25</v>
      </c>
    </row>
    <row r="925" spans="4:14" ht="15" customHeight="1" x14ac:dyDescent="0.25">
      <c r="D925" s="13">
        <v>44974</v>
      </c>
      <c r="H925" s="3" t="s">
        <v>34</v>
      </c>
      <c r="I925" s="3" t="s">
        <v>43</v>
      </c>
      <c r="J925" s="3">
        <f t="shared" si="84"/>
        <v>171782</v>
      </c>
      <c r="K925" s="3">
        <f t="shared" si="83"/>
        <v>171794</v>
      </c>
      <c r="L925" s="3">
        <v>12</v>
      </c>
      <c r="M925" s="3">
        <f t="shared" si="85"/>
        <v>24.479999999999983</v>
      </c>
      <c r="N925" s="3">
        <v>1.25</v>
      </c>
    </row>
    <row r="926" spans="4:14" ht="15" customHeight="1" x14ac:dyDescent="0.25">
      <c r="D926" s="13"/>
      <c r="H926" s="3" t="s">
        <v>43</v>
      </c>
      <c r="I926" s="3" t="s">
        <v>34</v>
      </c>
      <c r="J926" s="3">
        <f t="shared" si="84"/>
        <v>171794</v>
      </c>
      <c r="K926" s="3">
        <f t="shared" si="83"/>
        <v>171806</v>
      </c>
      <c r="L926" s="3">
        <v>12</v>
      </c>
      <c r="M926" s="3">
        <f t="shared" si="85"/>
        <v>23.229999999999983</v>
      </c>
      <c r="N926" s="3">
        <v>1.25</v>
      </c>
    </row>
    <row r="927" spans="4:14" ht="15" customHeight="1" x14ac:dyDescent="0.25">
      <c r="D927" s="13">
        <v>44977</v>
      </c>
      <c r="H927" s="3" t="s">
        <v>34</v>
      </c>
      <c r="I927" s="3" t="s">
        <v>24</v>
      </c>
      <c r="J927" s="3">
        <f t="shared" si="84"/>
        <v>171806</v>
      </c>
      <c r="K927" s="3">
        <f t="shared" si="83"/>
        <v>171820</v>
      </c>
      <c r="L927" s="3">
        <v>14</v>
      </c>
      <c r="M927" s="3">
        <f t="shared" si="85"/>
        <v>21.729999999999983</v>
      </c>
      <c r="N927" s="3">
        <v>1.5</v>
      </c>
    </row>
    <row r="928" spans="4:14" ht="15" customHeight="1" x14ac:dyDescent="0.25">
      <c r="D928" s="13"/>
      <c r="H928" s="3" t="s">
        <v>24</v>
      </c>
      <c r="I928" s="3" t="s">
        <v>34</v>
      </c>
      <c r="J928" s="3">
        <f t="shared" si="84"/>
        <v>171820</v>
      </c>
      <c r="K928" s="3">
        <f t="shared" si="83"/>
        <v>171834</v>
      </c>
      <c r="L928" s="3">
        <v>14</v>
      </c>
      <c r="M928" s="3">
        <f t="shared" si="85"/>
        <v>20.229999999999983</v>
      </c>
      <c r="N928" s="3">
        <v>1.5</v>
      </c>
    </row>
    <row r="929" spans="4:14" ht="15" customHeight="1" x14ac:dyDescent="0.25">
      <c r="D929" s="13">
        <v>44978</v>
      </c>
      <c r="H929" s="3" t="s">
        <v>34</v>
      </c>
      <c r="I929" s="3" t="s">
        <v>58</v>
      </c>
      <c r="J929" s="3">
        <f t="shared" si="84"/>
        <v>171834</v>
      </c>
      <c r="K929" s="3">
        <f t="shared" si="83"/>
        <v>171861</v>
      </c>
      <c r="L929" s="3">
        <v>27</v>
      </c>
      <c r="M929" s="3">
        <f t="shared" si="85"/>
        <v>17.029999999999983</v>
      </c>
      <c r="N929" s="3">
        <v>3.2</v>
      </c>
    </row>
    <row r="930" spans="4:14" ht="15" customHeight="1" x14ac:dyDescent="0.25">
      <c r="D930" s="13"/>
      <c r="H930" s="3" t="s">
        <v>58</v>
      </c>
      <c r="I930" s="3" t="s">
        <v>34</v>
      </c>
      <c r="J930" s="3">
        <f t="shared" si="84"/>
        <v>171861</v>
      </c>
      <c r="K930" s="3">
        <f t="shared" si="83"/>
        <v>171888</v>
      </c>
      <c r="L930" s="3">
        <v>27</v>
      </c>
      <c r="M930" s="3">
        <f t="shared" si="85"/>
        <v>13.829999999999984</v>
      </c>
      <c r="N930" s="3">
        <v>3.2</v>
      </c>
    </row>
    <row r="931" spans="4:14" ht="15" customHeight="1" x14ac:dyDescent="0.25">
      <c r="D931" s="13">
        <v>44979</v>
      </c>
      <c r="H931" s="3" t="s">
        <v>34</v>
      </c>
      <c r="I931" s="3" t="s">
        <v>37</v>
      </c>
      <c r="J931" s="3">
        <f t="shared" si="84"/>
        <v>171888</v>
      </c>
      <c r="K931" s="3">
        <f t="shared" si="83"/>
        <v>171928</v>
      </c>
      <c r="L931" s="3">
        <v>40</v>
      </c>
      <c r="M931" s="3">
        <f t="shared" si="85"/>
        <v>9.0299999999999834</v>
      </c>
      <c r="N931" s="3">
        <v>4.8</v>
      </c>
    </row>
    <row r="932" spans="4:14" ht="15" customHeight="1" x14ac:dyDescent="0.25">
      <c r="D932" s="13"/>
      <c r="H932" s="3" t="s">
        <v>37</v>
      </c>
      <c r="I932" s="3" t="s">
        <v>34</v>
      </c>
      <c r="J932" s="3">
        <f t="shared" si="84"/>
        <v>171928</v>
      </c>
      <c r="K932" s="3">
        <f t="shared" si="83"/>
        <v>171968</v>
      </c>
      <c r="L932" s="3">
        <v>40</v>
      </c>
      <c r="M932" s="3">
        <f t="shared" si="85"/>
        <v>4.2299999999999836</v>
      </c>
      <c r="N932" s="3">
        <v>4.8</v>
      </c>
    </row>
    <row r="933" spans="4:14" ht="15" customHeight="1" x14ac:dyDescent="0.25">
      <c r="D933" s="13">
        <v>44984</v>
      </c>
      <c r="H933" s="3" t="s">
        <v>34</v>
      </c>
      <c r="I933" s="3" t="s">
        <v>35</v>
      </c>
      <c r="J933" s="3">
        <f t="shared" si="84"/>
        <v>171968</v>
      </c>
      <c r="K933" s="3">
        <f t="shared" si="83"/>
        <v>171980</v>
      </c>
      <c r="L933" s="3">
        <v>12</v>
      </c>
      <c r="M933" s="3">
        <f t="shared" si="85"/>
        <v>2.9799999999999836</v>
      </c>
      <c r="N933" s="3">
        <v>1.25</v>
      </c>
    </row>
    <row r="934" spans="4:14" ht="15" customHeight="1" x14ac:dyDescent="0.25">
      <c r="D934" s="13"/>
      <c r="H934" s="3" t="s">
        <v>35</v>
      </c>
      <c r="I934" s="3" t="s">
        <v>34</v>
      </c>
      <c r="J934" s="3">
        <f t="shared" si="84"/>
        <v>171980</v>
      </c>
      <c r="K934" s="3">
        <f t="shared" si="83"/>
        <v>171992</v>
      </c>
      <c r="L934" s="3">
        <v>12</v>
      </c>
      <c r="M934" s="3">
        <f t="shared" si="85"/>
        <v>1.7299999999999836</v>
      </c>
      <c r="N934" s="3">
        <v>1.25</v>
      </c>
    </row>
    <row r="935" spans="4:14" ht="15" customHeight="1" x14ac:dyDescent="0.25">
      <c r="D935" s="13">
        <v>44985</v>
      </c>
      <c r="E935">
        <v>32.950000000000003</v>
      </c>
      <c r="F935" s="3">
        <v>51.9</v>
      </c>
      <c r="G935" s="8">
        <f>E935*F935</f>
        <v>1710.105</v>
      </c>
      <c r="H935" s="3" t="s">
        <v>34</v>
      </c>
      <c r="I935" s="3" t="s">
        <v>49</v>
      </c>
      <c r="J935" s="3">
        <f t="shared" si="84"/>
        <v>171992</v>
      </c>
      <c r="K935" s="3">
        <f t="shared" si="83"/>
        <v>172019</v>
      </c>
      <c r="L935" s="3">
        <v>27</v>
      </c>
      <c r="M935" s="3">
        <f t="shared" si="85"/>
        <v>31.479999999999986</v>
      </c>
      <c r="N935" s="3">
        <v>3.2</v>
      </c>
    </row>
    <row r="936" spans="4:14" ht="15" customHeight="1" x14ac:dyDescent="0.25">
      <c r="D936" s="13"/>
      <c r="H936" s="3" t="s">
        <v>49</v>
      </c>
      <c r="I936" s="3" t="s">
        <v>34</v>
      </c>
      <c r="J936" s="3">
        <f t="shared" si="84"/>
        <v>172019</v>
      </c>
      <c r="K936" s="3">
        <f t="shared" si="83"/>
        <v>172046</v>
      </c>
      <c r="L936" s="3">
        <v>27</v>
      </c>
      <c r="M936" s="3">
        <f t="shared" si="85"/>
        <v>28.279999999999987</v>
      </c>
      <c r="N936" s="3">
        <v>3.2</v>
      </c>
    </row>
    <row r="937" spans="4:14" ht="15" customHeight="1" x14ac:dyDescent="0.25">
      <c r="D937" s="13"/>
      <c r="H937" s="3" t="s">
        <v>34</v>
      </c>
      <c r="I937" s="3" t="s">
        <v>32</v>
      </c>
      <c r="J937" s="3">
        <f t="shared" si="84"/>
        <v>172046</v>
      </c>
      <c r="K937" s="3">
        <f t="shared" si="83"/>
        <v>172071</v>
      </c>
      <c r="L937" s="3">
        <v>25</v>
      </c>
      <c r="M937" s="3">
        <f t="shared" si="85"/>
        <v>25.279999999999987</v>
      </c>
      <c r="N937" s="3">
        <v>3</v>
      </c>
    </row>
    <row r="938" spans="4:14" ht="15" customHeight="1" x14ac:dyDescent="0.25">
      <c r="D938" s="13"/>
      <c r="H938" s="3" t="s">
        <v>32</v>
      </c>
      <c r="I938" s="3" t="s">
        <v>34</v>
      </c>
      <c r="J938" s="3">
        <f t="shared" si="84"/>
        <v>172071</v>
      </c>
      <c r="K938" s="3">
        <f t="shared" si="83"/>
        <v>172096</v>
      </c>
      <c r="L938" s="3">
        <v>25</v>
      </c>
      <c r="M938" s="3">
        <f t="shared" si="85"/>
        <v>22.279999999999987</v>
      </c>
      <c r="N938" s="3">
        <v>3</v>
      </c>
    </row>
    <row r="939" spans="4:14" ht="15" customHeight="1" x14ac:dyDescent="0.25">
      <c r="D939" s="13"/>
    </row>
    <row r="941" spans="4:14" ht="15" customHeight="1" x14ac:dyDescent="0.25">
      <c r="D941" s="2" t="s">
        <v>60</v>
      </c>
      <c r="E941" s="2"/>
      <c r="F941" s="2"/>
      <c r="G941" s="2"/>
    </row>
    <row r="942" spans="4:14" ht="15" customHeight="1" x14ac:dyDescent="0.25">
      <c r="D942" s="13">
        <v>44986</v>
      </c>
      <c r="H942" s="3" t="s">
        <v>34</v>
      </c>
      <c r="I942" s="3" t="s">
        <v>35</v>
      </c>
      <c r="J942" s="3">
        <f>K938</f>
        <v>172096</v>
      </c>
      <c r="K942" s="3">
        <f t="shared" ref="K942:K973" si="86">J942+L942</f>
        <v>172108</v>
      </c>
      <c r="L942" s="3">
        <v>12</v>
      </c>
      <c r="M942" s="3">
        <f>(E942+M938)-N942</f>
        <v>21.029999999999987</v>
      </c>
      <c r="N942" s="3">
        <v>1.25</v>
      </c>
    </row>
    <row r="943" spans="4:14" ht="15" customHeight="1" x14ac:dyDescent="0.25">
      <c r="D943" s="13"/>
      <c r="H943" s="3" t="s">
        <v>35</v>
      </c>
      <c r="I943" s="3" t="s">
        <v>34</v>
      </c>
      <c r="J943" s="3">
        <f t="shared" ref="J943:J974" si="87">K942</f>
        <v>172108</v>
      </c>
      <c r="K943" s="3">
        <f t="shared" si="86"/>
        <v>172120</v>
      </c>
      <c r="L943" s="3">
        <v>12</v>
      </c>
      <c r="M943" s="3">
        <f t="shared" ref="M943:M974" si="88">(E943+M942)-N943</f>
        <v>19.779999999999987</v>
      </c>
      <c r="N943" s="3">
        <v>1.25</v>
      </c>
    </row>
    <row r="944" spans="4:14" ht="15" customHeight="1" x14ac:dyDescent="0.25">
      <c r="D944" s="13">
        <v>44987</v>
      </c>
      <c r="H944" s="3" t="s">
        <v>34</v>
      </c>
      <c r="I944" s="3" t="s">
        <v>43</v>
      </c>
      <c r="J944" s="3">
        <f t="shared" si="87"/>
        <v>172120</v>
      </c>
      <c r="K944" s="3">
        <f t="shared" si="86"/>
        <v>172132</v>
      </c>
      <c r="L944" s="3">
        <v>12</v>
      </c>
      <c r="M944" s="3">
        <f t="shared" si="88"/>
        <v>18.529999999999987</v>
      </c>
      <c r="N944" s="3">
        <v>1.25</v>
      </c>
    </row>
    <row r="945" spans="4:14" ht="15" customHeight="1" x14ac:dyDescent="0.25">
      <c r="D945" s="13"/>
      <c r="H945" s="3" t="s">
        <v>43</v>
      </c>
      <c r="I945" s="3" t="s">
        <v>34</v>
      </c>
      <c r="J945" s="3">
        <f t="shared" si="87"/>
        <v>172132</v>
      </c>
      <c r="K945" s="3">
        <f t="shared" si="86"/>
        <v>172144</v>
      </c>
      <c r="L945" s="3">
        <v>12</v>
      </c>
      <c r="M945" s="3">
        <f t="shared" si="88"/>
        <v>17.279999999999987</v>
      </c>
      <c r="N945" s="3">
        <v>1.25</v>
      </c>
    </row>
    <row r="946" spans="4:14" ht="15" customHeight="1" x14ac:dyDescent="0.25">
      <c r="D946" s="13">
        <v>44988</v>
      </c>
      <c r="H946" s="3" t="s">
        <v>34</v>
      </c>
      <c r="I946" s="3" t="s">
        <v>58</v>
      </c>
      <c r="J946" s="3">
        <f t="shared" si="87"/>
        <v>172144</v>
      </c>
      <c r="K946" s="3">
        <f t="shared" si="86"/>
        <v>172171</v>
      </c>
      <c r="L946" s="3">
        <v>27</v>
      </c>
      <c r="M946" s="3">
        <f t="shared" si="88"/>
        <v>14.079999999999988</v>
      </c>
      <c r="N946" s="3">
        <v>3.2</v>
      </c>
    </row>
    <row r="947" spans="4:14" ht="15" customHeight="1" x14ac:dyDescent="0.25">
      <c r="D947" s="13"/>
      <c r="H947" s="3" t="s">
        <v>58</v>
      </c>
      <c r="I947" s="3" t="s">
        <v>34</v>
      </c>
      <c r="J947" s="3">
        <f t="shared" si="87"/>
        <v>172171</v>
      </c>
      <c r="K947" s="3">
        <f t="shared" si="86"/>
        <v>172198</v>
      </c>
      <c r="L947" s="3">
        <v>27</v>
      </c>
      <c r="M947" s="3">
        <f t="shared" si="88"/>
        <v>10.879999999999988</v>
      </c>
      <c r="N947" s="3">
        <v>3.2</v>
      </c>
    </row>
    <row r="948" spans="4:14" ht="15" customHeight="1" x14ac:dyDescent="0.25">
      <c r="D948" s="13">
        <v>44991</v>
      </c>
      <c r="H948" s="3" t="s">
        <v>34</v>
      </c>
      <c r="I948" s="3" t="s">
        <v>61</v>
      </c>
      <c r="J948" s="3">
        <f t="shared" si="87"/>
        <v>172198</v>
      </c>
      <c r="K948" s="3">
        <f t="shared" si="86"/>
        <v>172204</v>
      </c>
      <c r="L948" s="3">
        <v>6</v>
      </c>
      <c r="M948" s="3">
        <f t="shared" si="88"/>
        <v>10.179999999999989</v>
      </c>
      <c r="N948" s="3">
        <v>0.7</v>
      </c>
    </row>
    <row r="949" spans="4:14" ht="15" customHeight="1" x14ac:dyDescent="0.25">
      <c r="D949" s="13"/>
      <c r="H949" s="3" t="s">
        <v>61</v>
      </c>
      <c r="I949" s="3" t="s">
        <v>34</v>
      </c>
      <c r="J949" s="3">
        <f t="shared" si="87"/>
        <v>172204</v>
      </c>
      <c r="K949" s="3">
        <f t="shared" si="86"/>
        <v>172210</v>
      </c>
      <c r="L949" s="3">
        <v>6</v>
      </c>
      <c r="M949" s="3">
        <f t="shared" si="88"/>
        <v>9.4799999999999898</v>
      </c>
      <c r="N949" s="3">
        <v>0.7</v>
      </c>
    </row>
    <row r="950" spans="4:14" ht="15" customHeight="1" x14ac:dyDescent="0.25">
      <c r="D950" s="13">
        <v>44992</v>
      </c>
      <c r="H950" s="3" t="s">
        <v>34</v>
      </c>
      <c r="I950" s="3" t="s">
        <v>35</v>
      </c>
      <c r="J950" s="3">
        <f t="shared" si="87"/>
        <v>172210</v>
      </c>
      <c r="K950" s="3">
        <f t="shared" si="86"/>
        <v>172222</v>
      </c>
      <c r="L950" s="3">
        <v>12</v>
      </c>
      <c r="M950" s="3">
        <f t="shared" si="88"/>
        <v>8.2299999999999898</v>
      </c>
      <c r="N950" s="3">
        <v>1.25</v>
      </c>
    </row>
    <row r="951" spans="4:14" ht="15" customHeight="1" x14ac:dyDescent="0.25">
      <c r="D951" s="13"/>
      <c r="H951" s="3" t="s">
        <v>35</v>
      </c>
      <c r="I951" s="3" t="s">
        <v>34</v>
      </c>
      <c r="J951" s="3">
        <f t="shared" si="87"/>
        <v>172222</v>
      </c>
      <c r="K951" s="3">
        <f t="shared" si="86"/>
        <v>172234</v>
      </c>
      <c r="L951" s="3">
        <v>12</v>
      </c>
      <c r="M951" s="3">
        <f t="shared" si="88"/>
        <v>6.9799999999999898</v>
      </c>
      <c r="N951" s="3">
        <v>1.25</v>
      </c>
    </row>
    <row r="952" spans="4:14" ht="15" customHeight="1" x14ac:dyDescent="0.25">
      <c r="D952" s="13">
        <v>44994</v>
      </c>
      <c r="H952" s="3" t="s">
        <v>34</v>
      </c>
      <c r="I952" s="3" t="s">
        <v>43</v>
      </c>
      <c r="J952" s="3">
        <f t="shared" si="87"/>
        <v>172234</v>
      </c>
      <c r="K952" s="3">
        <f t="shared" si="86"/>
        <v>172246</v>
      </c>
      <c r="L952" s="3">
        <v>12</v>
      </c>
      <c r="M952" s="3">
        <f t="shared" si="88"/>
        <v>5.7299999999999898</v>
      </c>
      <c r="N952" s="3">
        <v>1.25</v>
      </c>
    </row>
    <row r="953" spans="4:14" ht="15" customHeight="1" x14ac:dyDescent="0.25">
      <c r="D953" s="13"/>
      <c r="H953" s="3" t="s">
        <v>43</v>
      </c>
      <c r="I953" s="3" t="s">
        <v>34</v>
      </c>
      <c r="J953" s="3">
        <f t="shared" si="87"/>
        <v>172246</v>
      </c>
      <c r="K953" s="3">
        <f t="shared" si="86"/>
        <v>172258</v>
      </c>
      <c r="L953" s="3">
        <v>12</v>
      </c>
      <c r="M953" s="3">
        <f t="shared" si="88"/>
        <v>4.4799999999999898</v>
      </c>
      <c r="N953" s="3">
        <v>1.25</v>
      </c>
    </row>
    <row r="954" spans="4:14" ht="15" customHeight="1" x14ac:dyDescent="0.25">
      <c r="D954" s="13">
        <v>44995</v>
      </c>
      <c r="H954" s="3" t="s">
        <v>34</v>
      </c>
      <c r="I954" s="3" t="s">
        <v>35</v>
      </c>
      <c r="J954" s="3">
        <f t="shared" si="87"/>
        <v>172258</v>
      </c>
      <c r="K954" s="3">
        <f t="shared" si="86"/>
        <v>172270</v>
      </c>
      <c r="L954" s="3">
        <v>12</v>
      </c>
      <c r="M954" s="3">
        <f t="shared" si="88"/>
        <v>3.2299999999999898</v>
      </c>
      <c r="N954" s="3">
        <v>1.25</v>
      </c>
    </row>
    <row r="955" spans="4:14" ht="15" customHeight="1" x14ac:dyDescent="0.25">
      <c r="D955" s="13"/>
      <c r="H955" s="3" t="s">
        <v>35</v>
      </c>
      <c r="I955" s="3" t="s">
        <v>34</v>
      </c>
      <c r="J955" s="3">
        <f t="shared" si="87"/>
        <v>172270</v>
      </c>
      <c r="K955" s="3">
        <f t="shared" si="86"/>
        <v>172282</v>
      </c>
      <c r="L955" s="3">
        <v>12</v>
      </c>
      <c r="M955" s="3">
        <f t="shared" si="88"/>
        <v>1.9799999999999898</v>
      </c>
      <c r="N955" s="3">
        <v>1.25</v>
      </c>
    </row>
    <row r="956" spans="4:14" ht="15" customHeight="1" x14ac:dyDescent="0.25">
      <c r="D956" s="13">
        <v>44998</v>
      </c>
      <c r="E956">
        <v>24.33</v>
      </c>
      <c r="F956" s="3">
        <v>51.45</v>
      </c>
      <c r="G956" s="8">
        <f>E956*F956</f>
        <v>1251.7784999999999</v>
      </c>
      <c r="H956" s="3" t="s">
        <v>34</v>
      </c>
      <c r="I956" s="3" t="s">
        <v>59</v>
      </c>
      <c r="J956" s="3">
        <f t="shared" si="87"/>
        <v>172282</v>
      </c>
      <c r="K956" s="3">
        <f t="shared" si="86"/>
        <v>172309</v>
      </c>
      <c r="L956" s="3">
        <v>27</v>
      </c>
      <c r="M956" s="3">
        <f t="shared" si="88"/>
        <v>23.109999999999989</v>
      </c>
      <c r="N956" s="3">
        <v>3.2</v>
      </c>
    </row>
    <row r="957" spans="4:14" ht="15" customHeight="1" x14ac:dyDescent="0.25">
      <c r="D957" s="13"/>
      <c r="G957" s="8"/>
      <c r="H957" s="3" t="s">
        <v>59</v>
      </c>
      <c r="I957" s="3" t="s">
        <v>34</v>
      </c>
      <c r="J957" s="3">
        <f t="shared" si="87"/>
        <v>172309</v>
      </c>
      <c r="K957" s="3">
        <f t="shared" si="86"/>
        <v>172336</v>
      </c>
      <c r="L957" s="3">
        <v>27</v>
      </c>
      <c r="M957" s="3">
        <f t="shared" si="88"/>
        <v>19.909999999999989</v>
      </c>
      <c r="N957" s="3">
        <v>3.2</v>
      </c>
    </row>
    <row r="958" spans="4:14" ht="15" customHeight="1" x14ac:dyDescent="0.25">
      <c r="D958" s="13">
        <v>44999</v>
      </c>
      <c r="H958" s="3" t="s">
        <v>34</v>
      </c>
      <c r="I958" s="3" t="s">
        <v>61</v>
      </c>
      <c r="J958" s="3">
        <f t="shared" si="87"/>
        <v>172336</v>
      </c>
      <c r="K958" s="3">
        <f t="shared" si="86"/>
        <v>172342</v>
      </c>
      <c r="L958" s="3">
        <v>6</v>
      </c>
      <c r="M958" s="3">
        <f t="shared" si="88"/>
        <v>19.20999999999999</v>
      </c>
      <c r="N958" s="3">
        <v>0.7</v>
      </c>
    </row>
    <row r="959" spans="4:14" ht="15" customHeight="1" x14ac:dyDescent="0.25">
      <c r="D959" s="13"/>
      <c r="H959" s="3" t="s">
        <v>61</v>
      </c>
      <c r="I959" s="3" t="s">
        <v>34</v>
      </c>
      <c r="J959" s="3">
        <f t="shared" si="87"/>
        <v>172342</v>
      </c>
      <c r="K959" s="3">
        <f t="shared" si="86"/>
        <v>172348</v>
      </c>
      <c r="L959" s="3">
        <v>6</v>
      </c>
      <c r="M959" s="3">
        <f t="shared" si="88"/>
        <v>18.509999999999991</v>
      </c>
      <c r="N959" s="3">
        <v>0.7</v>
      </c>
    </row>
    <row r="960" spans="4:14" ht="15" customHeight="1" x14ac:dyDescent="0.25">
      <c r="D960" s="13">
        <v>45000</v>
      </c>
      <c r="H960" s="3" t="s">
        <v>34</v>
      </c>
      <c r="I960" s="3" t="s">
        <v>37</v>
      </c>
      <c r="J960" s="3">
        <f t="shared" si="87"/>
        <v>172348</v>
      </c>
      <c r="K960" s="3">
        <f t="shared" si="86"/>
        <v>172388</v>
      </c>
      <c r="L960" s="3">
        <v>40</v>
      </c>
      <c r="M960" s="3">
        <f t="shared" si="88"/>
        <v>13.70999999999999</v>
      </c>
      <c r="N960" s="3">
        <v>4.8</v>
      </c>
    </row>
    <row r="961" spans="4:14" ht="15" customHeight="1" x14ac:dyDescent="0.25">
      <c r="D961" s="13"/>
      <c r="H961" s="3" t="s">
        <v>37</v>
      </c>
      <c r="I961" s="3" t="s">
        <v>34</v>
      </c>
      <c r="J961" s="3">
        <f t="shared" si="87"/>
        <v>172388</v>
      </c>
      <c r="K961" s="3">
        <f t="shared" si="86"/>
        <v>172428</v>
      </c>
      <c r="L961" s="3">
        <v>40</v>
      </c>
      <c r="M961" s="3">
        <f t="shared" si="88"/>
        <v>8.9099999999999895</v>
      </c>
      <c r="N961" s="3">
        <v>4.8</v>
      </c>
    </row>
    <row r="962" spans="4:14" ht="15" customHeight="1" x14ac:dyDescent="0.25">
      <c r="D962" s="13">
        <v>45001</v>
      </c>
      <c r="E962">
        <v>43.75</v>
      </c>
      <c r="F962" s="3">
        <v>51.9</v>
      </c>
      <c r="G962" s="8">
        <f>E962*F962</f>
        <v>2270.625</v>
      </c>
      <c r="H962" s="3" t="s">
        <v>34</v>
      </c>
      <c r="I962" s="3" t="s">
        <v>58</v>
      </c>
      <c r="J962" s="3">
        <f t="shared" si="87"/>
        <v>172428</v>
      </c>
      <c r="K962" s="3">
        <f t="shared" si="86"/>
        <v>172455</v>
      </c>
      <c r="L962" s="3">
        <v>27</v>
      </c>
      <c r="M962" s="3">
        <f t="shared" si="88"/>
        <v>49.459999999999987</v>
      </c>
      <c r="N962" s="3">
        <v>3.2</v>
      </c>
    </row>
    <row r="963" spans="4:14" ht="15" customHeight="1" x14ac:dyDescent="0.25">
      <c r="D963" s="13"/>
      <c r="G963" s="8"/>
      <c r="H963" s="3" t="s">
        <v>58</v>
      </c>
      <c r="I963" s="3" t="s">
        <v>34</v>
      </c>
      <c r="J963" s="3">
        <f t="shared" si="87"/>
        <v>172455</v>
      </c>
      <c r="K963" s="3">
        <f t="shared" si="86"/>
        <v>172482</v>
      </c>
      <c r="L963" s="3">
        <v>27</v>
      </c>
      <c r="M963" s="3">
        <f t="shared" si="88"/>
        <v>46.259999999999984</v>
      </c>
      <c r="N963" s="3">
        <v>3.2</v>
      </c>
    </row>
    <row r="964" spans="4:14" ht="15" customHeight="1" x14ac:dyDescent="0.25">
      <c r="D964" s="13">
        <v>45002</v>
      </c>
      <c r="H964" s="3" t="s">
        <v>34</v>
      </c>
      <c r="I964" s="3" t="s">
        <v>39</v>
      </c>
      <c r="J964" s="3">
        <f t="shared" si="87"/>
        <v>172482</v>
      </c>
      <c r="K964" s="3">
        <f t="shared" si="86"/>
        <v>172532</v>
      </c>
      <c r="L964" s="3">
        <v>50</v>
      </c>
      <c r="M964" s="3">
        <f t="shared" si="88"/>
        <v>40.759999999999984</v>
      </c>
      <c r="N964" s="3">
        <v>5.5</v>
      </c>
    </row>
    <row r="965" spans="4:14" ht="15" customHeight="1" x14ac:dyDescent="0.25">
      <c r="D965" s="13"/>
      <c r="H965" s="3" t="s">
        <v>39</v>
      </c>
      <c r="I965" s="3" t="s">
        <v>34</v>
      </c>
      <c r="J965" s="3">
        <f t="shared" si="87"/>
        <v>172532</v>
      </c>
      <c r="K965" s="3">
        <f t="shared" si="86"/>
        <v>172582</v>
      </c>
      <c r="L965" s="3">
        <v>50</v>
      </c>
      <c r="M965" s="3">
        <f t="shared" si="88"/>
        <v>35.259999999999984</v>
      </c>
      <c r="N965" s="3">
        <v>5.5</v>
      </c>
    </row>
    <row r="966" spans="4:14" ht="15" customHeight="1" x14ac:dyDescent="0.25">
      <c r="D966" s="13">
        <v>45005</v>
      </c>
      <c r="H966" s="3" t="s">
        <v>34</v>
      </c>
      <c r="I966" s="3" t="s">
        <v>43</v>
      </c>
      <c r="J966" s="3">
        <f t="shared" si="87"/>
        <v>172582</v>
      </c>
      <c r="K966" s="3">
        <f t="shared" si="86"/>
        <v>172594</v>
      </c>
      <c r="L966" s="3">
        <v>12</v>
      </c>
      <c r="M966" s="3">
        <f t="shared" si="88"/>
        <v>34.009999999999984</v>
      </c>
      <c r="N966" s="3">
        <v>1.25</v>
      </c>
    </row>
    <row r="967" spans="4:14" ht="15" customHeight="1" x14ac:dyDescent="0.25">
      <c r="D967" s="13"/>
      <c r="H967" s="3" t="s">
        <v>43</v>
      </c>
      <c r="I967" s="3" t="s">
        <v>34</v>
      </c>
      <c r="J967" s="3">
        <f t="shared" si="87"/>
        <v>172594</v>
      </c>
      <c r="K967" s="3">
        <f t="shared" si="86"/>
        <v>172606</v>
      </c>
      <c r="L967" s="3">
        <v>12</v>
      </c>
      <c r="M967" s="3">
        <f t="shared" si="88"/>
        <v>32.759999999999984</v>
      </c>
      <c r="N967" s="3">
        <v>1.25</v>
      </c>
    </row>
    <row r="968" spans="4:14" ht="15" customHeight="1" x14ac:dyDescent="0.25">
      <c r="D968" s="13">
        <v>45006</v>
      </c>
      <c r="H968" s="3" t="s">
        <v>34</v>
      </c>
      <c r="I968" s="3" t="s">
        <v>32</v>
      </c>
      <c r="J968" s="3">
        <f t="shared" si="87"/>
        <v>172606</v>
      </c>
      <c r="K968" s="3">
        <f t="shared" si="86"/>
        <v>172631</v>
      </c>
      <c r="L968" s="3">
        <v>25</v>
      </c>
      <c r="M968" s="3">
        <f t="shared" si="88"/>
        <v>29.759999999999984</v>
      </c>
      <c r="N968" s="3">
        <v>3</v>
      </c>
    </row>
    <row r="969" spans="4:14" ht="15" customHeight="1" x14ac:dyDescent="0.25">
      <c r="D969" s="13"/>
      <c r="H969" s="3" t="s">
        <v>32</v>
      </c>
      <c r="I969" s="3" t="s">
        <v>34</v>
      </c>
      <c r="J969" s="3">
        <f t="shared" si="87"/>
        <v>172631</v>
      </c>
      <c r="K969" s="3">
        <f t="shared" si="86"/>
        <v>172656</v>
      </c>
      <c r="L969" s="3">
        <v>25</v>
      </c>
      <c r="M969" s="3">
        <f t="shared" si="88"/>
        <v>26.759999999999984</v>
      </c>
      <c r="N969" s="3">
        <v>3</v>
      </c>
    </row>
    <row r="970" spans="4:14" ht="15" customHeight="1" x14ac:dyDescent="0.25">
      <c r="D970" s="13"/>
      <c r="H970" s="3" t="s">
        <v>34</v>
      </c>
      <c r="I970" s="3" t="s">
        <v>58</v>
      </c>
      <c r="J970" s="3">
        <f t="shared" si="87"/>
        <v>172656</v>
      </c>
      <c r="K970" s="3">
        <f t="shared" si="86"/>
        <v>172683</v>
      </c>
      <c r="L970" s="3">
        <v>27</v>
      </c>
      <c r="M970" s="3">
        <f t="shared" si="88"/>
        <v>23.559999999999985</v>
      </c>
      <c r="N970" s="3">
        <v>3.2</v>
      </c>
    </row>
    <row r="971" spans="4:14" ht="15" customHeight="1" x14ac:dyDescent="0.25">
      <c r="D971" s="13"/>
      <c r="H971" s="3" t="s">
        <v>58</v>
      </c>
      <c r="I971" s="3" t="s">
        <v>34</v>
      </c>
      <c r="J971" s="3">
        <f t="shared" si="87"/>
        <v>172683</v>
      </c>
      <c r="K971" s="3">
        <f t="shared" si="86"/>
        <v>172710</v>
      </c>
      <c r="L971" s="3">
        <v>27</v>
      </c>
      <c r="M971" s="3">
        <f t="shared" si="88"/>
        <v>20.359999999999985</v>
      </c>
      <c r="N971" s="3">
        <v>3.2</v>
      </c>
    </row>
    <row r="972" spans="4:14" ht="15" customHeight="1" x14ac:dyDescent="0.25">
      <c r="D972" s="13">
        <v>45007</v>
      </c>
      <c r="E972">
        <v>31.82</v>
      </c>
      <c r="F972" s="3">
        <v>50.8</v>
      </c>
      <c r="G972" s="8">
        <f>E972*F972</f>
        <v>1616.4559999999999</v>
      </c>
      <c r="H972" s="3" t="s">
        <v>34</v>
      </c>
      <c r="I972" s="3" t="s">
        <v>43</v>
      </c>
      <c r="J972" s="3">
        <f t="shared" si="87"/>
        <v>172710</v>
      </c>
      <c r="K972" s="3">
        <f t="shared" si="86"/>
        <v>172722</v>
      </c>
      <c r="L972" s="3">
        <v>12</v>
      </c>
      <c r="M972" s="3">
        <f t="shared" si="88"/>
        <v>50.929999999999986</v>
      </c>
      <c r="N972" s="3">
        <v>1.25</v>
      </c>
    </row>
    <row r="973" spans="4:14" ht="15" customHeight="1" x14ac:dyDescent="0.25">
      <c r="D973" s="13"/>
      <c r="G973" s="8"/>
      <c r="H973" s="3" t="s">
        <v>43</v>
      </c>
      <c r="I973" s="3" t="s">
        <v>34</v>
      </c>
      <c r="J973" s="3">
        <f t="shared" si="87"/>
        <v>172722</v>
      </c>
      <c r="K973" s="3">
        <f t="shared" si="86"/>
        <v>172734</v>
      </c>
      <c r="L973" s="3">
        <v>12</v>
      </c>
      <c r="M973" s="3">
        <f t="shared" si="88"/>
        <v>49.679999999999986</v>
      </c>
      <c r="N973" s="3">
        <v>1.25</v>
      </c>
    </row>
    <row r="974" spans="4:14" ht="15" customHeight="1" x14ac:dyDescent="0.25">
      <c r="D974" s="13">
        <v>45008</v>
      </c>
      <c r="H974" s="3" t="s">
        <v>34</v>
      </c>
      <c r="I974" s="3" t="s">
        <v>43</v>
      </c>
      <c r="J974" s="3">
        <f t="shared" si="87"/>
        <v>172734</v>
      </c>
      <c r="K974" s="3">
        <f t="shared" ref="K974:K1005" si="89">J974+L974</f>
        <v>172746</v>
      </c>
      <c r="L974" s="3">
        <v>12</v>
      </c>
      <c r="M974" s="3">
        <f t="shared" si="88"/>
        <v>48.429999999999986</v>
      </c>
      <c r="N974" s="3">
        <v>1.25</v>
      </c>
    </row>
    <row r="975" spans="4:14" ht="15" customHeight="1" x14ac:dyDescent="0.25">
      <c r="D975" s="13"/>
      <c r="H975" s="3" t="s">
        <v>43</v>
      </c>
      <c r="I975" s="3" t="s">
        <v>34</v>
      </c>
      <c r="J975" s="3">
        <f t="shared" ref="J975:J993" si="90">K974</f>
        <v>172746</v>
      </c>
      <c r="K975" s="3">
        <f t="shared" si="89"/>
        <v>172758</v>
      </c>
      <c r="L975" s="3">
        <v>12</v>
      </c>
      <c r="M975" s="3">
        <f t="shared" ref="M975:M1006" si="91">(E975+M974)-N975</f>
        <v>47.179999999999986</v>
      </c>
      <c r="N975" s="3">
        <v>1.25</v>
      </c>
    </row>
    <row r="976" spans="4:14" ht="15" customHeight="1" x14ac:dyDescent="0.25">
      <c r="D976" s="13">
        <v>45009</v>
      </c>
      <c r="H976" s="3" t="s">
        <v>34</v>
      </c>
      <c r="I976" s="3" t="s">
        <v>59</v>
      </c>
      <c r="J976" s="3">
        <f t="shared" si="90"/>
        <v>172758</v>
      </c>
      <c r="K976" s="3">
        <f t="shared" si="89"/>
        <v>172785</v>
      </c>
      <c r="L976" s="3">
        <v>27</v>
      </c>
      <c r="M976" s="3">
        <f t="shared" si="91"/>
        <v>43.979999999999983</v>
      </c>
      <c r="N976" s="3">
        <v>3.2</v>
      </c>
    </row>
    <row r="977" spans="4:14" ht="15" customHeight="1" x14ac:dyDescent="0.25">
      <c r="D977" s="13"/>
      <c r="H977" s="3" t="s">
        <v>59</v>
      </c>
      <c r="I977" s="3" t="s">
        <v>34</v>
      </c>
      <c r="J977" s="3">
        <f t="shared" si="90"/>
        <v>172785</v>
      </c>
      <c r="K977" s="3">
        <f t="shared" si="89"/>
        <v>172812</v>
      </c>
      <c r="L977" s="3">
        <v>27</v>
      </c>
      <c r="M977" s="3">
        <f t="shared" si="91"/>
        <v>40.77999999999998</v>
      </c>
      <c r="N977" s="3">
        <v>3.2</v>
      </c>
    </row>
    <row r="978" spans="4:14" ht="15" customHeight="1" x14ac:dyDescent="0.25">
      <c r="D978" s="13"/>
      <c r="H978" s="3" t="s">
        <v>34</v>
      </c>
      <c r="I978" s="3" t="s">
        <v>54</v>
      </c>
      <c r="J978" s="3">
        <f t="shared" si="90"/>
        <v>172812</v>
      </c>
      <c r="K978" s="3">
        <f t="shared" si="89"/>
        <v>172839</v>
      </c>
      <c r="L978" s="3">
        <v>27</v>
      </c>
      <c r="M978" s="3">
        <f t="shared" si="91"/>
        <v>37.579999999999977</v>
      </c>
      <c r="N978" s="3">
        <v>3.2</v>
      </c>
    </row>
    <row r="979" spans="4:14" ht="15" customHeight="1" x14ac:dyDescent="0.25">
      <c r="D979" s="13"/>
      <c r="H979" s="3" t="s">
        <v>54</v>
      </c>
      <c r="I979" s="3" t="s">
        <v>34</v>
      </c>
      <c r="J979" s="3">
        <f t="shared" si="90"/>
        <v>172839</v>
      </c>
      <c r="K979" s="3">
        <f t="shared" si="89"/>
        <v>172866</v>
      </c>
      <c r="L979" s="3">
        <v>27</v>
      </c>
      <c r="M979" s="3">
        <f t="shared" si="91"/>
        <v>34.379999999999974</v>
      </c>
      <c r="N979" s="3">
        <v>3.2</v>
      </c>
    </row>
    <row r="980" spans="4:14" ht="15" customHeight="1" x14ac:dyDescent="0.25">
      <c r="D980" s="13">
        <v>45012</v>
      </c>
      <c r="H980" s="3" t="s">
        <v>34</v>
      </c>
      <c r="I980" s="3" t="s">
        <v>37</v>
      </c>
      <c r="J980" s="3">
        <f t="shared" si="90"/>
        <v>172866</v>
      </c>
      <c r="K980" s="3">
        <f t="shared" si="89"/>
        <v>172906</v>
      </c>
      <c r="L980" s="3">
        <v>40</v>
      </c>
      <c r="M980" s="3">
        <f t="shared" si="91"/>
        <v>29.579999999999973</v>
      </c>
      <c r="N980" s="3">
        <v>4.8</v>
      </c>
    </row>
    <row r="981" spans="4:14" ht="15" customHeight="1" x14ac:dyDescent="0.25">
      <c r="D981" s="13"/>
      <c r="H981" s="3" t="s">
        <v>37</v>
      </c>
      <c r="I981" s="3" t="s">
        <v>34</v>
      </c>
      <c r="J981" s="3">
        <f t="shared" si="90"/>
        <v>172906</v>
      </c>
      <c r="K981" s="3">
        <f t="shared" si="89"/>
        <v>172946</v>
      </c>
      <c r="L981" s="3">
        <v>40</v>
      </c>
      <c r="M981" s="3">
        <f t="shared" si="91"/>
        <v>24.779999999999973</v>
      </c>
      <c r="N981" s="3">
        <v>4.8</v>
      </c>
    </row>
    <row r="982" spans="4:14" ht="15" customHeight="1" x14ac:dyDescent="0.25">
      <c r="D982" s="13"/>
      <c r="H982" s="3" t="s">
        <v>34</v>
      </c>
      <c r="I982" s="3" t="s">
        <v>39</v>
      </c>
      <c r="J982" s="3">
        <f t="shared" si="90"/>
        <v>172946</v>
      </c>
      <c r="K982" s="3">
        <f t="shared" si="89"/>
        <v>172996</v>
      </c>
      <c r="L982" s="3">
        <v>50</v>
      </c>
      <c r="M982" s="3">
        <f t="shared" si="91"/>
        <v>19.279999999999973</v>
      </c>
      <c r="N982" s="3">
        <v>5.5</v>
      </c>
    </row>
    <row r="983" spans="4:14" ht="15" customHeight="1" x14ac:dyDescent="0.25">
      <c r="D983" s="13"/>
      <c r="H983" s="3" t="s">
        <v>39</v>
      </c>
      <c r="I983" s="3" t="s">
        <v>34</v>
      </c>
      <c r="J983" s="3">
        <f t="shared" si="90"/>
        <v>172996</v>
      </c>
      <c r="K983" s="3">
        <f t="shared" si="89"/>
        <v>173046</v>
      </c>
      <c r="L983" s="3">
        <v>50</v>
      </c>
      <c r="M983" s="3">
        <f t="shared" si="91"/>
        <v>13.779999999999973</v>
      </c>
      <c r="N983" s="3">
        <v>5.5</v>
      </c>
    </row>
    <row r="984" spans="4:14" ht="15" customHeight="1" x14ac:dyDescent="0.25">
      <c r="D984" s="13">
        <v>45013</v>
      </c>
      <c r="E984">
        <v>33.92</v>
      </c>
      <c r="F984" s="3">
        <v>51.6</v>
      </c>
      <c r="G984" s="8">
        <f>E984*F984</f>
        <v>1750.2720000000002</v>
      </c>
      <c r="H984" s="3" t="s">
        <v>34</v>
      </c>
      <c r="I984" s="3" t="s">
        <v>58</v>
      </c>
      <c r="J984" s="3">
        <f t="shared" si="90"/>
        <v>173046</v>
      </c>
      <c r="K984" s="3">
        <f t="shared" si="89"/>
        <v>173073</v>
      </c>
      <c r="L984" s="3">
        <v>27</v>
      </c>
      <c r="M984" s="3">
        <f t="shared" si="91"/>
        <v>44.499999999999972</v>
      </c>
      <c r="N984" s="3">
        <v>3.2</v>
      </c>
    </row>
    <row r="985" spans="4:14" ht="15" customHeight="1" x14ac:dyDescent="0.25">
      <c r="D985" s="13"/>
      <c r="G985" s="8"/>
      <c r="H985" s="3" t="s">
        <v>58</v>
      </c>
      <c r="I985" s="3" t="s">
        <v>34</v>
      </c>
      <c r="J985" s="3">
        <f t="shared" si="90"/>
        <v>173073</v>
      </c>
      <c r="K985" s="3">
        <f t="shared" si="89"/>
        <v>173100</v>
      </c>
      <c r="L985" s="3">
        <v>27</v>
      </c>
      <c r="M985" s="3">
        <f t="shared" si="91"/>
        <v>41.299999999999969</v>
      </c>
      <c r="N985" s="3">
        <v>3.2</v>
      </c>
    </row>
    <row r="986" spans="4:14" ht="15" customHeight="1" x14ac:dyDescent="0.25">
      <c r="D986" s="13">
        <v>45014</v>
      </c>
      <c r="H986" s="3" t="s">
        <v>34</v>
      </c>
      <c r="I986" s="3" t="s">
        <v>43</v>
      </c>
      <c r="J986" s="3">
        <f t="shared" si="90"/>
        <v>173100</v>
      </c>
      <c r="K986" s="3">
        <f t="shared" si="89"/>
        <v>173112</v>
      </c>
      <c r="L986" s="3">
        <v>12</v>
      </c>
      <c r="M986" s="3">
        <f t="shared" si="91"/>
        <v>40.049999999999969</v>
      </c>
      <c r="N986" s="3">
        <v>1.25</v>
      </c>
    </row>
    <row r="987" spans="4:14" ht="15" customHeight="1" x14ac:dyDescent="0.25">
      <c r="D987" s="13"/>
      <c r="H987" s="3" t="s">
        <v>43</v>
      </c>
      <c r="I987" s="3" t="s">
        <v>34</v>
      </c>
      <c r="J987" s="3">
        <f t="shared" si="90"/>
        <v>173112</v>
      </c>
      <c r="K987" s="3">
        <f t="shared" si="89"/>
        <v>173124</v>
      </c>
      <c r="L987" s="3">
        <v>12</v>
      </c>
      <c r="M987" s="3">
        <f t="shared" si="91"/>
        <v>38.799999999999969</v>
      </c>
      <c r="N987" s="3">
        <v>1.25</v>
      </c>
    </row>
    <row r="988" spans="4:14" ht="15" customHeight="1" x14ac:dyDescent="0.25">
      <c r="D988" s="13">
        <v>45015</v>
      </c>
      <c r="H988" s="3" t="s">
        <v>34</v>
      </c>
      <c r="I988" s="3" t="s">
        <v>59</v>
      </c>
      <c r="J988" s="3">
        <f t="shared" si="90"/>
        <v>173124</v>
      </c>
      <c r="K988" s="3">
        <f t="shared" si="89"/>
        <v>173151</v>
      </c>
      <c r="L988" s="3">
        <v>27</v>
      </c>
      <c r="M988" s="3">
        <f t="shared" si="91"/>
        <v>35.599999999999966</v>
      </c>
      <c r="N988" s="3">
        <v>3.2</v>
      </c>
    </row>
    <row r="989" spans="4:14" ht="15" customHeight="1" x14ac:dyDescent="0.25">
      <c r="D989" s="13"/>
      <c r="H989" s="3" t="s">
        <v>59</v>
      </c>
      <c r="I989" s="3" t="s">
        <v>34</v>
      </c>
      <c r="J989" s="3">
        <f t="shared" si="90"/>
        <v>173151</v>
      </c>
      <c r="K989" s="3">
        <f t="shared" si="89"/>
        <v>173178</v>
      </c>
      <c r="L989" s="3">
        <v>27</v>
      </c>
      <c r="M989" s="3">
        <f t="shared" si="91"/>
        <v>32.399999999999963</v>
      </c>
      <c r="N989" s="3">
        <v>3.2</v>
      </c>
    </row>
    <row r="990" spans="4:14" ht="15" customHeight="1" x14ac:dyDescent="0.25">
      <c r="D990" s="13">
        <v>45016</v>
      </c>
      <c r="H990" s="3" t="s">
        <v>34</v>
      </c>
      <c r="I990" s="3" t="s">
        <v>35</v>
      </c>
      <c r="J990" s="3">
        <f t="shared" si="90"/>
        <v>173178</v>
      </c>
      <c r="K990" s="3">
        <f t="shared" si="89"/>
        <v>173190</v>
      </c>
      <c r="L990" s="3">
        <v>12</v>
      </c>
      <c r="M990" s="3">
        <f t="shared" si="91"/>
        <v>31.149999999999963</v>
      </c>
      <c r="N990" s="3">
        <v>1.25</v>
      </c>
    </row>
    <row r="991" spans="4:14" ht="15" customHeight="1" x14ac:dyDescent="0.25">
      <c r="H991" s="3" t="s">
        <v>35</v>
      </c>
      <c r="I991" s="3" t="s">
        <v>34</v>
      </c>
      <c r="J991" s="3">
        <f t="shared" si="90"/>
        <v>173190</v>
      </c>
      <c r="K991" s="3">
        <f t="shared" si="89"/>
        <v>173202</v>
      </c>
      <c r="L991" s="3">
        <v>12</v>
      </c>
      <c r="M991" s="3">
        <f t="shared" si="91"/>
        <v>29.899999999999963</v>
      </c>
      <c r="N991" s="3">
        <v>1.25</v>
      </c>
    </row>
    <row r="992" spans="4:14" ht="15" customHeight="1" x14ac:dyDescent="0.25">
      <c r="H992" s="3" t="s">
        <v>34</v>
      </c>
      <c r="I992" s="3" t="s">
        <v>54</v>
      </c>
      <c r="J992" s="3">
        <f t="shared" si="90"/>
        <v>173202</v>
      </c>
      <c r="K992" s="3">
        <f t="shared" si="89"/>
        <v>173229</v>
      </c>
      <c r="L992" s="3">
        <v>27</v>
      </c>
      <c r="M992" s="3">
        <f t="shared" si="91"/>
        <v>26.699999999999964</v>
      </c>
      <c r="N992" s="3">
        <v>3.2</v>
      </c>
    </row>
    <row r="993" spans="4:14" ht="15" customHeight="1" x14ac:dyDescent="0.25">
      <c r="H993" s="3" t="s">
        <v>54</v>
      </c>
      <c r="I993" s="3" t="s">
        <v>34</v>
      </c>
      <c r="J993" s="3">
        <f t="shared" si="90"/>
        <v>173229</v>
      </c>
      <c r="K993" s="3">
        <f t="shared" si="89"/>
        <v>173256</v>
      </c>
      <c r="L993" s="3">
        <v>27</v>
      </c>
      <c r="M993" s="3">
        <f t="shared" si="91"/>
        <v>23.499999999999964</v>
      </c>
      <c r="N993" s="3">
        <v>3.2</v>
      </c>
    </row>
    <row r="995" spans="4:14" ht="15" customHeight="1" x14ac:dyDescent="0.25">
      <c r="D995" s="2" t="s">
        <v>62</v>
      </c>
      <c r="E995" s="2"/>
      <c r="F995" s="2"/>
      <c r="G995" s="2"/>
    </row>
    <row r="996" spans="4:14" ht="15" customHeight="1" x14ac:dyDescent="0.25">
      <c r="D996" s="13">
        <v>45019</v>
      </c>
      <c r="E996">
        <v>32.81</v>
      </c>
      <c r="F996" s="3">
        <v>51.9</v>
      </c>
      <c r="G996" s="8">
        <f>E996*F996</f>
        <v>1702.8390000000002</v>
      </c>
      <c r="H996" s="3" t="s">
        <v>34</v>
      </c>
      <c r="I996" s="3" t="s">
        <v>54</v>
      </c>
      <c r="J996" s="3">
        <f>K993</f>
        <v>173256</v>
      </c>
      <c r="K996" s="3">
        <f t="shared" ref="K996:K1039" si="92">J996+L996</f>
        <v>173283</v>
      </c>
      <c r="L996" s="3">
        <v>27</v>
      </c>
      <c r="M996" s="3">
        <f>(E996+M993)-N996</f>
        <v>53.109999999999964</v>
      </c>
      <c r="N996" s="3">
        <v>3.2</v>
      </c>
    </row>
    <row r="997" spans="4:14" ht="15" customHeight="1" x14ac:dyDescent="0.25">
      <c r="D997" s="13"/>
      <c r="G997" s="8"/>
      <c r="H997" s="3" t="s">
        <v>54</v>
      </c>
      <c r="I997" s="3" t="s">
        <v>34</v>
      </c>
      <c r="J997" s="3">
        <f t="shared" ref="J997:J1039" si="93">K996</f>
        <v>173283</v>
      </c>
      <c r="K997" s="3">
        <f t="shared" si="92"/>
        <v>173310</v>
      </c>
      <c r="L997" s="3">
        <v>27</v>
      </c>
      <c r="M997" s="3">
        <f t="shared" ref="M997:M1039" si="94">(E997+M996)-N997</f>
        <v>49.909999999999961</v>
      </c>
      <c r="N997" s="3">
        <v>3.2</v>
      </c>
    </row>
    <row r="998" spans="4:14" ht="15" customHeight="1" x14ac:dyDescent="0.25">
      <c r="D998" s="13"/>
      <c r="G998" s="8"/>
      <c r="H998" s="3" t="s">
        <v>34</v>
      </c>
      <c r="I998" s="3" t="s">
        <v>37</v>
      </c>
      <c r="J998" s="3">
        <f t="shared" si="93"/>
        <v>173310</v>
      </c>
      <c r="K998" s="3">
        <f t="shared" si="92"/>
        <v>173350</v>
      </c>
      <c r="L998" s="3">
        <v>40</v>
      </c>
      <c r="M998" s="3">
        <f t="shared" si="94"/>
        <v>45.109999999999964</v>
      </c>
      <c r="N998" s="3">
        <v>4.8</v>
      </c>
    </row>
    <row r="999" spans="4:14" ht="15" customHeight="1" x14ac:dyDescent="0.25">
      <c r="D999" s="13"/>
      <c r="G999" s="8"/>
      <c r="H999" s="3" t="s">
        <v>37</v>
      </c>
      <c r="I999" s="3" t="s">
        <v>34</v>
      </c>
      <c r="J999" s="3">
        <f t="shared" si="93"/>
        <v>173350</v>
      </c>
      <c r="K999" s="3">
        <f t="shared" si="92"/>
        <v>173390</v>
      </c>
      <c r="L999" s="3">
        <v>40</v>
      </c>
      <c r="M999" s="3">
        <f t="shared" si="94"/>
        <v>40.309999999999967</v>
      </c>
      <c r="N999" s="3">
        <v>4.8</v>
      </c>
    </row>
    <row r="1000" spans="4:14" ht="15" customHeight="1" x14ac:dyDescent="0.25">
      <c r="D1000" s="13">
        <v>45020</v>
      </c>
      <c r="H1000" s="3" t="s">
        <v>34</v>
      </c>
      <c r="I1000" s="3" t="s">
        <v>32</v>
      </c>
      <c r="J1000" s="3">
        <f t="shared" si="93"/>
        <v>173390</v>
      </c>
      <c r="K1000" s="3">
        <f t="shared" si="92"/>
        <v>173415</v>
      </c>
      <c r="L1000" s="3">
        <v>25</v>
      </c>
      <c r="M1000" s="3">
        <f t="shared" si="94"/>
        <v>37.309999999999967</v>
      </c>
      <c r="N1000" s="3">
        <v>3</v>
      </c>
    </row>
    <row r="1001" spans="4:14" ht="15" customHeight="1" x14ac:dyDescent="0.25">
      <c r="D1001" s="13"/>
      <c r="H1001" s="3" t="s">
        <v>32</v>
      </c>
      <c r="I1001" s="3" t="s">
        <v>34</v>
      </c>
      <c r="J1001" s="3">
        <f t="shared" si="93"/>
        <v>173415</v>
      </c>
      <c r="K1001" s="3">
        <f t="shared" si="92"/>
        <v>173440</v>
      </c>
      <c r="L1001" s="3">
        <v>25</v>
      </c>
      <c r="M1001" s="3">
        <f t="shared" si="94"/>
        <v>34.309999999999967</v>
      </c>
      <c r="N1001" s="3">
        <v>3</v>
      </c>
    </row>
    <row r="1002" spans="4:14" ht="15" customHeight="1" x14ac:dyDescent="0.25">
      <c r="D1002" s="13">
        <v>45021</v>
      </c>
      <c r="H1002" s="3" t="s">
        <v>34</v>
      </c>
      <c r="I1002" s="3" t="s">
        <v>35</v>
      </c>
      <c r="J1002" s="3">
        <f t="shared" si="93"/>
        <v>173440</v>
      </c>
      <c r="K1002" s="3">
        <f t="shared" si="92"/>
        <v>173452</v>
      </c>
      <c r="L1002" s="3">
        <v>12</v>
      </c>
      <c r="M1002" s="3">
        <f t="shared" si="94"/>
        <v>33.059999999999967</v>
      </c>
      <c r="N1002" s="3">
        <v>1.25</v>
      </c>
    </row>
    <row r="1003" spans="4:14" ht="15" customHeight="1" x14ac:dyDescent="0.25">
      <c r="D1003" s="13"/>
      <c r="H1003" s="3" t="s">
        <v>35</v>
      </c>
      <c r="I1003" s="3" t="s">
        <v>34</v>
      </c>
      <c r="J1003" s="3">
        <f t="shared" si="93"/>
        <v>173452</v>
      </c>
      <c r="K1003" s="3">
        <f t="shared" si="92"/>
        <v>173464</v>
      </c>
      <c r="L1003" s="3">
        <v>12</v>
      </c>
      <c r="M1003" s="3">
        <f t="shared" si="94"/>
        <v>31.809999999999967</v>
      </c>
      <c r="N1003" s="3">
        <v>1.25</v>
      </c>
    </row>
    <row r="1004" spans="4:14" ht="15" customHeight="1" x14ac:dyDescent="0.25">
      <c r="D1004" s="13">
        <v>45022</v>
      </c>
      <c r="H1004" s="3" t="s">
        <v>34</v>
      </c>
      <c r="I1004" s="3" t="s">
        <v>43</v>
      </c>
      <c r="J1004" s="3">
        <f t="shared" si="93"/>
        <v>173464</v>
      </c>
      <c r="K1004" s="3">
        <f t="shared" si="92"/>
        <v>173476</v>
      </c>
      <c r="L1004" s="3">
        <v>12</v>
      </c>
      <c r="M1004" s="3">
        <f t="shared" si="94"/>
        <v>30.559999999999967</v>
      </c>
      <c r="N1004" s="3">
        <v>1.25</v>
      </c>
    </row>
    <row r="1005" spans="4:14" ht="15" customHeight="1" x14ac:dyDescent="0.25">
      <c r="D1005" s="13"/>
      <c r="H1005" s="3" t="s">
        <v>43</v>
      </c>
      <c r="I1005" s="3" t="s">
        <v>34</v>
      </c>
      <c r="J1005" s="3">
        <f t="shared" si="93"/>
        <v>173476</v>
      </c>
      <c r="K1005" s="3">
        <f t="shared" si="92"/>
        <v>173488</v>
      </c>
      <c r="L1005" s="3">
        <v>12</v>
      </c>
      <c r="M1005" s="3">
        <f t="shared" si="94"/>
        <v>29.309999999999967</v>
      </c>
      <c r="N1005" s="3">
        <v>1.25</v>
      </c>
    </row>
    <row r="1006" spans="4:14" ht="15" customHeight="1" x14ac:dyDescent="0.25">
      <c r="D1006" s="13">
        <v>45023</v>
      </c>
      <c r="H1006" s="3" t="s">
        <v>34</v>
      </c>
      <c r="I1006" s="3" t="s">
        <v>54</v>
      </c>
      <c r="J1006" s="3">
        <f t="shared" si="93"/>
        <v>173488</v>
      </c>
      <c r="K1006" s="3">
        <f t="shared" si="92"/>
        <v>173515</v>
      </c>
      <c r="L1006" s="3">
        <v>27</v>
      </c>
      <c r="M1006" s="3">
        <f t="shared" si="94"/>
        <v>26.109999999999967</v>
      </c>
      <c r="N1006" s="3">
        <v>3.2</v>
      </c>
    </row>
    <row r="1007" spans="4:14" ht="15" customHeight="1" x14ac:dyDescent="0.25">
      <c r="D1007" s="13"/>
      <c r="H1007" s="3" t="s">
        <v>54</v>
      </c>
      <c r="I1007" s="3" t="s">
        <v>34</v>
      </c>
      <c r="J1007" s="3">
        <f t="shared" si="93"/>
        <v>173515</v>
      </c>
      <c r="K1007" s="3">
        <f t="shared" si="92"/>
        <v>173542</v>
      </c>
      <c r="L1007" s="3">
        <v>27</v>
      </c>
      <c r="M1007" s="3">
        <f t="shared" si="94"/>
        <v>22.909999999999968</v>
      </c>
      <c r="N1007" s="3">
        <v>3.2</v>
      </c>
    </row>
    <row r="1008" spans="4:14" ht="15" customHeight="1" x14ac:dyDescent="0.25">
      <c r="D1008" s="13">
        <v>45026</v>
      </c>
      <c r="H1008" s="3" t="s">
        <v>34</v>
      </c>
      <c r="I1008" s="3" t="s">
        <v>59</v>
      </c>
      <c r="J1008" s="3">
        <f t="shared" si="93"/>
        <v>173542</v>
      </c>
      <c r="K1008" s="3">
        <f t="shared" si="92"/>
        <v>173569</v>
      </c>
      <c r="L1008" s="3">
        <v>27</v>
      </c>
      <c r="M1008" s="3">
        <f t="shared" si="94"/>
        <v>19.709999999999969</v>
      </c>
      <c r="N1008" s="3">
        <v>3.2</v>
      </c>
    </row>
    <row r="1009" spans="4:14" ht="15" customHeight="1" x14ac:dyDescent="0.25">
      <c r="D1009" s="13"/>
      <c r="H1009" s="3" t="s">
        <v>59</v>
      </c>
      <c r="I1009" s="3" t="s">
        <v>34</v>
      </c>
      <c r="J1009" s="3">
        <f t="shared" si="93"/>
        <v>173569</v>
      </c>
      <c r="K1009" s="3">
        <f t="shared" si="92"/>
        <v>173596</v>
      </c>
      <c r="L1009" s="3">
        <v>27</v>
      </c>
      <c r="M1009" s="3">
        <f t="shared" si="94"/>
        <v>16.50999999999997</v>
      </c>
      <c r="N1009" s="3">
        <v>3.2</v>
      </c>
    </row>
    <row r="1010" spans="4:14" ht="15" customHeight="1" x14ac:dyDescent="0.25">
      <c r="D1010" s="13"/>
      <c r="H1010" s="3" t="s">
        <v>34</v>
      </c>
      <c r="I1010" s="3" t="s">
        <v>37</v>
      </c>
      <c r="J1010" s="3">
        <f t="shared" si="93"/>
        <v>173596</v>
      </c>
      <c r="K1010" s="3">
        <f t="shared" si="92"/>
        <v>173636</v>
      </c>
      <c r="L1010" s="3">
        <v>40</v>
      </c>
      <c r="M1010" s="3">
        <f t="shared" si="94"/>
        <v>11.709999999999969</v>
      </c>
      <c r="N1010" s="3">
        <v>4.8</v>
      </c>
    </row>
    <row r="1011" spans="4:14" ht="15" customHeight="1" x14ac:dyDescent="0.25">
      <c r="D1011" s="13"/>
      <c r="H1011" s="3" t="s">
        <v>37</v>
      </c>
      <c r="I1011" s="3" t="s">
        <v>34</v>
      </c>
      <c r="J1011" s="3">
        <f t="shared" si="93"/>
        <v>173636</v>
      </c>
      <c r="K1011" s="3">
        <f t="shared" si="92"/>
        <v>173676</v>
      </c>
      <c r="L1011" s="3">
        <v>40</v>
      </c>
      <c r="M1011" s="3">
        <f t="shared" si="94"/>
        <v>6.9099999999999691</v>
      </c>
      <c r="N1011" s="3">
        <v>4.8</v>
      </c>
    </row>
    <row r="1012" spans="4:14" ht="15" customHeight="1" x14ac:dyDescent="0.25">
      <c r="D1012" s="13">
        <v>45027</v>
      </c>
      <c r="E1012">
        <v>37.89</v>
      </c>
      <c r="F1012" s="3">
        <v>51.9</v>
      </c>
      <c r="G1012" s="8">
        <f>E1012*F1012</f>
        <v>1966.491</v>
      </c>
      <c r="H1012" s="3" t="s">
        <v>34</v>
      </c>
      <c r="I1012" s="3" t="s">
        <v>35</v>
      </c>
      <c r="J1012" s="3">
        <f t="shared" si="93"/>
        <v>173676</v>
      </c>
      <c r="K1012" s="3">
        <f t="shared" si="92"/>
        <v>173688</v>
      </c>
      <c r="L1012" s="3">
        <v>12</v>
      </c>
      <c r="M1012" s="3">
        <f t="shared" si="94"/>
        <v>43.549999999999969</v>
      </c>
      <c r="N1012" s="3">
        <v>1.25</v>
      </c>
    </row>
    <row r="1013" spans="4:14" ht="15" customHeight="1" x14ac:dyDescent="0.25">
      <c r="D1013" s="13"/>
      <c r="G1013" s="8"/>
      <c r="H1013" s="3" t="s">
        <v>35</v>
      </c>
      <c r="I1013" s="3" t="s">
        <v>34</v>
      </c>
      <c r="J1013" s="3">
        <f t="shared" si="93"/>
        <v>173688</v>
      </c>
      <c r="K1013" s="3">
        <f t="shared" si="92"/>
        <v>173700</v>
      </c>
      <c r="L1013" s="3">
        <v>12</v>
      </c>
      <c r="M1013" s="3">
        <f t="shared" si="94"/>
        <v>42.299999999999969</v>
      </c>
      <c r="N1013" s="3">
        <v>1.25</v>
      </c>
    </row>
    <row r="1014" spans="4:14" ht="15" customHeight="1" x14ac:dyDescent="0.25">
      <c r="D1014" s="13">
        <v>45028</v>
      </c>
      <c r="H1014" s="3" t="s">
        <v>34</v>
      </c>
      <c r="I1014" s="3" t="s">
        <v>43</v>
      </c>
      <c r="J1014" s="3">
        <f t="shared" si="93"/>
        <v>173700</v>
      </c>
      <c r="K1014" s="3">
        <f t="shared" si="92"/>
        <v>173712</v>
      </c>
      <c r="L1014" s="3">
        <v>12</v>
      </c>
      <c r="M1014" s="3">
        <f t="shared" si="94"/>
        <v>41.049999999999969</v>
      </c>
      <c r="N1014" s="3">
        <v>1.25</v>
      </c>
    </row>
    <row r="1015" spans="4:14" ht="15" customHeight="1" x14ac:dyDescent="0.25">
      <c r="D1015" s="13"/>
      <c r="H1015" s="3" t="s">
        <v>43</v>
      </c>
      <c r="I1015" s="3" t="s">
        <v>34</v>
      </c>
      <c r="J1015" s="3">
        <f t="shared" si="93"/>
        <v>173712</v>
      </c>
      <c r="K1015" s="3">
        <f t="shared" si="92"/>
        <v>173724</v>
      </c>
      <c r="L1015" s="3">
        <v>12</v>
      </c>
      <c r="M1015" s="3">
        <f t="shared" si="94"/>
        <v>39.799999999999969</v>
      </c>
      <c r="N1015" s="3">
        <v>1.25</v>
      </c>
    </row>
    <row r="1016" spans="4:14" ht="15" customHeight="1" x14ac:dyDescent="0.25">
      <c r="D1016" s="13">
        <v>45029</v>
      </c>
      <c r="H1016" s="3" t="s">
        <v>34</v>
      </c>
      <c r="I1016" s="3" t="s">
        <v>43</v>
      </c>
      <c r="J1016" s="3">
        <f t="shared" si="93"/>
        <v>173724</v>
      </c>
      <c r="K1016" s="3">
        <f t="shared" si="92"/>
        <v>173736</v>
      </c>
      <c r="L1016" s="3">
        <v>12</v>
      </c>
      <c r="M1016" s="3">
        <f t="shared" si="94"/>
        <v>38.549999999999969</v>
      </c>
      <c r="N1016" s="3">
        <v>1.25</v>
      </c>
    </row>
    <row r="1017" spans="4:14" ht="15" customHeight="1" x14ac:dyDescent="0.25">
      <c r="D1017" s="13"/>
      <c r="H1017" s="3" t="s">
        <v>43</v>
      </c>
      <c r="I1017" s="3" t="s">
        <v>34</v>
      </c>
      <c r="J1017" s="3">
        <f t="shared" si="93"/>
        <v>173736</v>
      </c>
      <c r="K1017" s="3">
        <f t="shared" si="92"/>
        <v>173748</v>
      </c>
      <c r="L1017" s="3">
        <v>12</v>
      </c>
      <c r="M1017" s="3">
        <f t="shared" si="94"/>
        <v>37.299999999999969</v>
      </c>
      <c r="N1017" s="3">
        <v>1.25</v>
      </c>
    </row>
    <row r="1018" spans="4:14" ht="15" customHeight="1" x14ac:dyDescent="0.25">
      <c r="D1018" s="13">
        <v>45030</v>
      </c>
      <c r="H1018" s="3" t="s">
        <v>34</v>
      </c>
      <c r="I1018" s="3" t="s">
        <v>43</v>
      </c>
      <c r="J1018" s="3">
        <f t="shared" si="93"/>
        <v>173748</v>
      </c>
      <c r="K1018" s="3">
        <f t="shared" si="92"/>
        <v>173760</v>
      </c>
      <c r="L1018" s="3">
        <v>12</v>
      </c>
      <c r="M1018" s="3">
        <f t="shared" si="94"/>
        <v>36.049999999999969</v>
      </c>
      <c r="N1018" s="3">
        <v>1.25</v>
      </c>
    </row>
    <row r="1019" spans="4:14" ht="15" customHeight="1" x14ac:dyDescent="0.25">
      <c r="D1019" s="13"/>
      <c r="H1019" s="3" t="s">
        <v>43</v>
      </c>
      <c r="I1019" s="3" t="s">
        <v>34</v>
      </c>
      <c r="J1019" s="3">
        <f t="shared" si="93"/>
        <v>173760</v>
      </c>
      <c r="K1019" s="3">
        <f t="shared" si="92"/>
        <v>173772</v>
      </c>
      <c r="L1019" s="3">
        <v>12</v>
      </c>
      <c r="M1019" s="3">
        <f t="shared" si="94"/>
        <v>34.799999999999969</v>
      </c>
      <c r="N1019" s="3">
        <v>1.25</v>
      </c>
    </row>
    <row r="1020" spans="4:14" ht="15" customHeight="1" x14ac:dyDescent="0.25">
      <c r="D1020" s="13">
        <v>45033</v>
      </c>
      <c r="H1020" s="3" t="s">
        <v>34</v>
      </c>
      <c r="I1020" s="3" t="s">
        <v>54</v>
      </c>
      <c r="J1020" s="3">
        <f t="shared" si="93"/>
        <v>173772</v>
      </c>
      <c r="K1020" s="3">
        <f t="shared" si="92"/>
        <v>173799</v>
      </c>
      <c r="L1020" s="3">
        <v>27</v>
      </c>
      <c r="M1020" s="3">
        <f t="shared" si="94"/>
        <v>31.599999999999969</v>
      </c>
      <c r="N1020" s="3">
        <v>3.2</v>
      </c>
    </row>
    <row r="1021" spans="4:14" ht="15" customHeight="1" x14ac:dyDescent="0.25">
      <c r="D1021" s="13"/>
      <c r="H1021" s="3" t="s">
        <v>54</v>
      </c>
      <c r="I1021" s="3" t="s">
        <v>34</v>
      </c>
      <c r="J1021" s="3">
        <f t="shared" si="93"/>
        <v>173799</v>
      </c>
      <c r="K1021" s="3">
        <f t="shared" si="92"/>
        <v>173826</v>
      </c>
      <c r="L1021" s="3">
        <v>27</v>
      </c>
      <c r="M1021" s="3">
        <f t="shared" si="94"/>
        <v>28.39999999999997</v>
      </c>
      <c r="N1021" s="3">
        <v>3.2</v>
      </c>
    </row>
    <row r="1022" spans="4:14" ht="15" customHeight="1" x14ac:dyDescent="0.25">
      <c r="D1022" s="13">
        <v>45034</v>
      </c>
      <c r="H1022" s="3" t="s">
        <v>34</v>
      </c>
      <c r="I1022" s="3" t="s">
        <v>58</v>
      </c>
      <c r="J1022" s="3">
        <f t="shared" si="93"/>
        <v>173826</v>
      </c>
      <c r="K1022" s="3">
        <f t="shared" si="92"/>
        <v>173853</v>
      </c>
      <c r="L1022" s="3">
        <v>27</v>
      </c>
      <c r="M1022" s="3">
        <f t="shared" si="94"/>
        <v>25.199999999999971</v>
      </c>
      <c r="N1022" s="3">
        <v>3.2</v>
      </c>
    </row>
    <row r="1023" spans="4:14" ht="15" customHeight="1" x14ac:dyDescent="0.25">
      <c r="D1023" s="13"/>
      <c r="H1023" s="3" t="s">
        <v>58</v>
      </c>
      <c r="I1023" s="3" t="s">
        <v>34</v>
      </c>
      <c r="J1023" s="3">
        <f t="shared" si="93"/>
        <v>173853</v>
      </c>
      <c r="K1023" s="3">
        <f t="shared" si="92"/>
        <v>173880</v>
      </c>
      <c r="L1023" s="3">
        <v>27</v>
      </c>
      <c r="M1023" s="3">
        <f t="shared" si="94"/>
        <v>21.999999999999972</v>
      </c>
      <c r="N1023" s="3">
        <v>3.2</v>
      </c>
    </row>
    <row r="1024" spans="4:14" ht="15" customHeight="1" x14ac:dyDescent="0.25">
      <c r="D1024" s="13">
        <v>45035</v>
      </c>
      <c r="H1024" s="3" t="s">
        <v>34</v>
      </c>
      <c r="I1024" s="3" t="s">
        <v>49</v>
      </c>
      <c r="J1024" s="3">
        <f t="shared" si="93"/>
        <v>173880</v>
      </c>
      <c r="K1024" s="3">
        <f t="shared" si="92"/>
        <v>173907</v>
      </c>
      <c r="L1024" s="3">
        <v>27</v>
      </c>
      <c r="M1024" s="3">
        <f t="shared" si="94"/>
        <v>18.799999999999972</v>
      </c>
      <c r="N1024" s="3">
        <v>3.2</v>
      </c>
    </row>
    <row r="1025" spans="4:14" ht="15" customHeight="1" x14ac:dyDescent="0.25">
      <c r="D1025" s="13"/>
      <c r="H1025" s="3" t="s">
        <v>49</v>
      </c>
      <c r="I1025" s="3" t="s">
        <v>34</v>
      </c>
      <c r="J1025" s="3">
        <f t="shared" si="93"/>
        <v>173907</v>
      </c>
      <c r="K1025" s="3">
        <f t="shared" si="92"/>
        <v>173934</v>
      </c>
      <c r="L1025" s="3">
        <v>27</v>
      </c>
      <c r="M1025" s="3">
        <f t="shared" si="94"/>
        <v>15.599999999999973</v>
      </c>
      <c r="N1025" s="3">
        <v>3.2</v>
      </c>
    </row>
    <row r="1026" spans="4:14" ht="15" customHeight="1" x14ac:dyDescent="0.25">
      <c r="D1026" s="13">
        <v>45036</v>
      </c>
      <c r="H1026" s="3" t="s">
        <v>34</v>
      </c>
      <c r="I1026" s="3" t="s">
        <v>43</v>
      </c>
      <c r="J1026" s="3">
        <f t="shared" si="93"/>
        <v>173934</v>
      </c>
      <c r="K1026" s="3">
        <f t="shared" si="92"/>
        <v>173946</v>
      </c>
      <c r="L1026" s="3">
        <v>12</v>
      </c>
      <c r="M1026" s="3">
        <f t="shared" si="94"/>
        <v>14.349999999999973</v>
      </c>
      <c r="N1026" s="3">
        <v>1.25</v>
      </c>
    </row>
    <row r="1027" spans="4:14" ht="15" customHeight="1" x14ac:dyDescent="0.25">
      <c r="D1027" s="13"/>
      <c r="H1027" s="3" t="s">
        <v>43</v>
      </c>
      <c r="I1027" s="3" t="s">
        <v>34</v>
      </c>
      <c r="J1027" s="3">
        <f t="shared" si="93"/>
        <v>173946</v>
      </c>
      <c r="K1027" s="3">
        <f t="shared" si="92"/>
        <v>173958</v>
      </c>
      <c r="L1027" s="3">
        <v>12</v>
      </c>
      <c r="M1027" s="3">
        <f t="shared" si="94"/>
        <v>13.099999999999973</v>
      </c>
      <c r="N1027" s="3">
        <v>1.25</v>
      </c>
    </row>
    <row r="1028" spans="4:14" ht="15" customHeight="1" x14ac:dyDescent="0.25">
      <c r="D1028" s="13">
        <v>45037</v>
      </c>
      <c r="H1028" s="3" t="s">
        <v>34</v>
      </c>
      <c r="I1028" s="3" t="s">
        <v>43</v>
      </c>
      <c r="J1028" s="3">
        <f t="shared" si="93"/>
        <v>173958</v>
      </c>
      <c r="K1028" s="3">
        <f t="shared" si="92"/>
        <v>173970</v>
      </c>
      <c r="L1028" s="3">
        <v>12</v>
      </c>
      <c r="M1028" s="3">
        <f t="shared" si="94"/>
        <v>11.849999999999973</v>
      </c>
      <c r="N1028" s="3">
        <v>1.25</v>
      </c>
    </row>
    <row r="1029" spans="4:14" ht="15" customHeight="1" x14ac:dyDescent="0.25">
      <c r="D1029" s="13"/>
      <c r="H1029" s="3" t="s">
        <v>43</v>
      </c>
      <c r="I1029" s="3" t="s">
        <v>34</v>
      </c>
      <c r="J1029" s="3">
        <f t="shared" si="93"/>
        <v>173970</v>
      </c>
      <c r="K1029" s="3">
        <f t="shared" si="92"/>
        <v>173982</v>
      </c>
      <c r="L1029" s="3">
        <v>12</v>
      </c>
      <c r="M1029" s="3">
        <f t="shared" si="94"/>
        <v>10.599999999999973</v>
      </c>
      <c r="N1029" s="3">
        <v>1.25</v>
      </c>
    </row>
    <row r="1030" spans="4:14" ht="15" customHeight="1" x14ac:dyDescent="0.25">
      <c r="D1030" s="13">
        <v>45040</v>
      </c>
      <c r="H1030" s="3" t="s">
        <v>34</v>
      </c>
      <c r="I1030" s="3" t="s">
        <v>54</v>
      </c>
      <c r="J1030" s="3">
        <f t="shared" si="93"/>
        <v>173982</v>
      </c>
      <c r="K1030" s="3">
        <f t="shared" si="92"/>
        <v>174009</v>
      </c>
      <c r="L1030" s="3">
        <v>27</v>
      </c>
      <c r="M1030" s="3">
        <f t="shared" si="94"/>
        <v>7.3999999999999728</v>
      </c>
      <c r="N1030" s="3">
        <v>3.2</v>
      </c>
    </row>
    <row r="1031" spans="4:14" ht="15" customHeight="1" x14ac:dyDescent="0.25">
      <c r="D1031" s="13"/>
      <c r="H1031" s="3" t="s">
        <v>54</v>
      </c>
      <c r="I1031" s="3" t="s">
        <v>34</v>
      </c>
      <c r="J1031" s="3">
        <f t="shared" si="93"/>
        <v>174009</v>
      </c>
      <c r="K1031" s="3">
        <f t="shared" si="92"/>
        <v>174036</v>
      </c>
      <c r="L1031" s="3">
        <v>27</v>
      </c>
      <c r="M1031" s="3">
        <f t="shared" si="94"/>
        <v>4.1999999999999726</v>
      </c>
      <c r="N1031" s="3">
        <v>3.2</v>
      </c>
    </row>
    <row r="1032" spans="4:14" ht="15" customHeight="1" x14ac:dyDescent="0.25">
      <c r="D1032" s="13">
        <v>45041</v>
      </c>
      <c r="E1032">
        <v>33.93</v>
      </c>
      <c r="F1032" s="3">
        <v>51.9</v>
      </c>
      <c r="G1032" s="8">
        <f>E1032*F1032</f>
        <v>1760.9669999999999</v>
      </c>
      <c r="H1032" s="3" t="s">
        <v>34</v>
      </c>
      <c r="I1032" s="3" t="s">
        <v>37</v>
      </c>
      <c r="J1032" s="3">
        <f t="shared" si="93"/>
        <v>174036</v>
      </c>
      <c r="K1032" s="3">
        <f t="shared" si="92"/>
        <v>174076</v>
      </c>
      <c r="L1032" s="3">
        <v>40</v>
      </c>
      <c r="M1032" s="3">
        <f t="shared" si="94"/>
        <v>33.329999999999977</v>
      </c>
      <c r="N1032" s="3">
        <v>4.8</v>
      </c>
    </row>
    <row r="1033" spans="4:14" ht="15" customHeight="1" x14ac:dyDescent="0.25">
      <c r="D1033" s="13"/>
      <c r="G1033" s="8"/>
      <c r="H1033" s="3" t="s">
        <v>37</v>
      </c>
      <c r="I1033" s="3" t="s">
        <v>34</v>
      </c>
      <c r="J1033" s="3">
        <f t="shared" si="93"/>
        <v>174076</v>
      </c>
      <c r="K1033" s="3">
        <f t="shared" si="92"/>
        <v>174116</v>
      </c>
      <c r="L1033" s="3">
        <v>40</v>
      </c>
      <c r="M1033" s="3">
        <f t="shared" si="94"/>
        <v>28.529999999999976</v>
      </c>
      <c r="N1033" s="3">
        <v>4.8</v>
      </c>
    </row>
    <row r="1034" spans="4:14" ht="15" customHeight="1" x14ac:dyDescent="0.25">
      <c r="D1034" s="13">
        <v>45042</v>
      </c>
      <c r="H1034" s="3" t="s">
        <v>34</v>
      </c>
      <c r="I1034" s="3" t="s">
        <v>35</v>
      </c>
      <c r="J1034" s="3">
        <f t="shared" si="93"/>
        <v>174116</v>
      </c>
      <c r="K1034" s="3">
        <f t="shared" si="92"/>
        <v>174128</v>
      </c>
      <c r="L1034" s="3">
        <v>12</v>
      </c>
      <c r="M1034" s="3">
        <f t="shared" si="94"/>
        <v>27.279999999999976</v>
      </c>
      <c r="N1034" s="3">
        <v>1.25</v>
      </c>
    </row>
    <row r="1035" spans="4:14" ht="15" customHeight="1" x14ac:dyDescent="0.25">
      <c r="D1035" s="13"/>
      <c r="H1035" s="3" t="s">
        <v>35</v>
      </c>
      <c r="I1035" s="3" t="s">
        <v>34</v>
      </c>
      <c r="J1035" s="3">
        <f t="shared" si="93"/>
        <v>174128</v>
      </c>
      <c r="K1035" s="3">
        <f t="shared" si="92"/>
        <v>174140</v>
      </c>
      <c r="L1035" s="3">
        <v>12</v>
      </c>
      <c r="M1035" s="3">
        <f t="shared" si="94"/>
        <v>26.029999999999976</v>
      </c>
      <c r="N1035" s="3">
        <v>1.25</v>
      </c>
    </row>
    <row r="1036" spans="4:14" ht="15" customHeight="1" x14ac:dyDescent="0.25">
      <c r="D1036" s="13">
        <v>45043</v>
      </c>
      <c r="H1036" s="3" t="s">
        <v>34</v>
      </c>
      <c r="I1036" s="3" t="s">
        <v>58</v>
      </c>
      <c r="J1036" s="3">
        <f t="shared" si="93"/>
        <v>174140</v>
      </c>
      <c r="K1036" s="3">
        <f t="shared" si="92"/>
        <v>174167</v>
      </c>
      <c r="L1036" s="3">
        <v>27</v>
      </c>
      <c r="M1036" s="3">
        <f t="shared" si="94"/>
        <v>22.829999999999977</v>
      </c>
      <c r="N1036" s="3">
        <v>3.2</v>
      </c>
    </row>
    <row r="1037" spans="4:14" ht="15" customHeight="1" x14ac:dyDescent="0.25">
      <c r="D1037" s="13"/>
      <c r="H1037" s="3" t="s">
        <v>58</v>
      </c>
      <c r="I1037" s="3" t="s">
        <v>34</v>
      </c>
      <c r="J1037" s="3">
        <f t="shared" si="93"/>
        <v>174167</v>
      </c>
      <c r="K1037" s="3">
        <f t="shared" si="92"/>
        <v>174194</v>
      </c>
      <c r="L1037" s="3">
        <v>27</v>
      </c>
      <c r="M1037" s="3">
        <f t="shared" si="94"/>
        <v>19.629999999999978</v>
      </c>
      <c r="N1037" s="3">
        <v>3.2</v>
      </c>
    </row>
    <row r="1038" spans="4:14" ht="15" customHeight="1" x14ac:dyDescent="0.25">
      <c r="D1038" s="13">
        <v>45044</v>
      </c>
      <c r="H1038" s="3" t="s">
        <v>34</v>
      </c>
      <c r="I1038" s="3" t="s">
        <v>59</v>
      </c>
      <c r="J1038" s="3">
        <f t="shared" si="93"/>
        <v>174194</v>
      </c>
      <c r="K1038" s="3">
        <f t="shared" si="92"/>
        <v>174221</v>
      </c>
      <c r="L1038" s="3">
        <v>27</v>
      </c>
      <c r="M1038" s="3">
        <f t="shared" si="94"/>
        <v>16.429999999999978</v>
      </c>
      <c r="N1038" s="3">
        <v>3.2</v>
      </c>
    </row>
    <row r="1039" spans="4:14" ht="15" customHeight="1" x14ac:dyDescent="0.25">
      <c r="D1039" s="13"/>
      <c r="H1039" s="3" t="s">
        <v>59</v>
      </c>
      <c r="I1039" s="3" t="s">
        <v>34</v>
      </c>
      <c r="J1039" s="3">
        <f t="shared" si="93"/>
        <v>174221</v>
      </c>
      <c r="K1039" s="3">
        <f t="shared" si="92"/>
        <v>174248</v>
      </c>
      <c r="L1039" s="3">
        <v>27</v>
      </c>
      <c r="M1039" s="3">
        <f t="shared" si="94"/>
        <v>13.229999999999979</v>
      </c>
      <c r="N1039" s="3">
        <v>3.2</v>
      </c>
    </row>
    <row r="1040" spans="4:14" ht="15" customHeight="1" x14ac:dyDescent="0.25">
      <c r="D1040" s="13"/>
    </row>
    <row r="1042" spans="4:14" ht="15" customHeight="1" x14ac:dyDescent="0.25">
      <c r="D1042" s="2" t="s">
        <v>63</v>
      </c>
      <c r="E1042" s="2"/>
      <c r="F1042" s="2"/>
      <c r="G1042" s="2"/>
    </row>
    <row r="1043" spans="4:14" ht="15" customHeight="1" x14ac:dyDescent="0.25">
      <c r="D1043" s="13"/>
    </row>
    <row r="1044" spans="4:14" ht="15" customHeight="1" x14ac:dyDescent="0.25">
      <c r="D1044" s="13">
        <v>45048</v>
      </c>
      <c r="E1044">
        <v>43.1</v>
      </c>
      <c r="F1044" s="3">
        <v>51.6</v>
      </c>
      <c r="G1044" s="8">
        <f>E1044*F1044</f>
        <v>2223.96</v>
      </c>
      <c r="H1044" s="3" t="s">
        <v>34</v>
      </c>
      <c r="I1044" s="3" t="s">
        <v>59</v>
      </c>
      <c r="J1044" s="3">
        <f>K1039</f>
        <v>174248</v>
      </c>
      <c r="K1044" s="3">
        <f t="shared" ref="K1044:K1077" si="95">J1044+L1044</f>
        <v>174275</v>
      </c>
      <c r="L1044" s="3">
        <v>27</v>
      </c>
      <c r="M1044" s="3">
        <f>(E1044+M1039)-N1044</f>
        <v>53.129999999999981</v>
      </c>
      <c r="N1044" s="3">
        <v>3.2</v>
      </c>
    </row>
    <row r="1045" spans="4:14" ht="15" customHeight="1" x14ac:dyDescent="0.25">
      <c r="D1045" s="13"/>
      <c r="G1045" s="8"/>
      <c r="H1045" s="3" t="s">
        <v>59</v>
      </c>
      <c r="I1045" s="3" t="s">
        <v>34</v>
      </c>
      <c r="J1045" s="3">
        <f t="shared" ref="J1045:J1077" si="96">K1044</f>
        <v>174275</v>
      </c>
      <c r="K1045" s="3">
        <f t="shared" si="95"/>
        <v>174302</v>
      </c>
      <c r="L1045" s="3">
        <v>27</v>
      </c>
      <c r="M1045" s="3">
        <f t="shared" ref="M1045:M1077" si="97">(E1045+M1044)-N1045</f>
        <v>49.929999999999978</v>
      </c>
      <c r="N1045" s="3">
        <v>3.2</v>
      </c>
    </row>
    <row r="1046" spans="4:14" ht="15" customHeight="1" x14ac:dyDescent="0.25">
      <c r="D1046" s="13"/>
      <c r="G1046" s="8"/>
      <c r="H1046" s="3" t="s">
        <v>34</v>
      </c>
      <c r="I1046" s="3" t="s">
        <v>37</v>
      </c>
      <c r="J1046" s="3">
        <f t="shared" si="96"/>
        <v>174302</v>
      </c>
      <c r="K1046" s="3">
        <f t="shared" si="95"/>
        <v>174342</v>
      </c>
      <c r="L1046" s="3">
        <v>40</v>
      </c>
      <c r="M1046" s="3">
        <f t="shared" si="97"/>
        <v>45.129999999999981</v>
      </c>
      <c r="N1046" s="3">
        <v>4.8</v>
      </c>
    </row>
    <row r="1047" spans="4:14" ht="15" customHeight="1" x14ac:dyDescent="0.25">
      <c r="D1047" s="13"/>
      <c r="G1047" s="8"/>
      <c r="H1047" s="3" t="s">
        <v>37</v>
      </c>
      <c r="I1047" s="3" t="s">
        <v>34</v>
      </c>
      <c r="J1047" s="3">
        <f t="shared" si="96"/>
        <v>174342</v>
      </c>
      <c r="K1047" s="3">
        <f t="shared" si="95"/>
        <v>174382</v>
      </c>
      <c r="L1047" s="3">
        <v>40</v>
      </c>
      <c r="M1047" s="3">
        <f t="shared" si="97"/>
        <v>40.329999999999984</v>
      </c>
      <c r="N1047" s="3">
        <v>4.8</v>
      </c>
    </row>
    <row r="1048" spans="4:14" ht="15" customHeight="1" x14ac:dyDescent="0.25">
      <c r="D1048" s="13">
        <v>45049</v>
      </c>
      <c r="H1048" s="3" t="s">
        <v>34</v>
      </c>
      <c r="I1048" s="3" t="s">
        <v>35</v>
      </c>
      <c r="J1048" s="3">
        <f t="shared" si="96"/>
        <v>174382</v>
      </c>
      <c r="K1048" s="3">
        <f t="shared" si="95"/>
        <v>174394</v>
      </c>
      <c r="L1048" s="3">
        <v>12</v>
      </c>
      <c r="M1048" s="3">
        <f t="shared" si="97"/>
        <v>39.079999999999984</v>
      </c>
      <c r="N1048" s="3">
        <v>1.25</v>
      </c>
    </row>
    <row r="1049" spans="4:14" ht="15" customHeight="1" x14ac:dyDescent="0.25">
      <c r="D1049" s="13"/>
      <c r="H1049" s="3" t="s">
        <v>35</v>
      </c>
      <c r="I1049" s="3" t="s">
        <v>34</v>
      </c>
      <c r="J1049" s="3">
        <f t="shared" si="96"/>
        <v>174394</v>
      </c>
      <c r="K1049" s="3">
        <f t="shared" si="95"/>
        <v>174406</v>
      </c>
      <c r="L1049" s="3">
        <v>12</v>
      </c>
      <c r="M1049" s="3">
        <f t="shared" si="97"/>
        <v>37.829999999999984</v>
      </c>
      <c r="N1049" s="3">
        <v>1.25</v>
      </c>
    </row>
    <row r="1050" spans="4:14" ht="15" customHeight="1" x14ac:dyDescent="0.25">
      <c r="D1050" s="13">
        <v>45050</v>
      </c>
      <c r="H1050" s="3" t="s">
        <v>34</v>
      </c>
      <c r="I1050" s="3" t="s">
        <v>39</v>
      </c>
      <c r="J1050" s="3">
        <f t="shared" si="96"/>
        <v>174406</v>
      </c>
      <c r="K1050" s="3">
        <f t="shared" si="95"/>
        <v>174456</v>
      </c>
      <c r="L1050" s="3">
        <v>50</v>
      </c>
      <c r="M1050" s="3">
        <f t="shared" si="97"/>
        <v>32.329999999999984</v>
      </c>
      <c r="N1050" s="3">
        <v>5.5</v>
      </c>
    </row>
    <row r="1051" spans="4:14" ht="15" customHeight="1" x14ac:dyDescent="0.25">
      <c r="D1051" s="13"/>
      <c r="H1051" s="3" t="s">
        <v>39</v>
      </c>
      <c r="I1051" s="3" t="s">
        <v>34</v>
      </c>
      <c r="J1051" s="3">
        <f t="shared" si="96"/>
        <v>174456</v>
      </c>
      <c r="K1051" s="3">
        <f t="shared" si="95"/>
        <v>174506</v>
      </c>
      <c r="L1051" s="3">
        <v>50</v>
      </c>
      <c r="M1051" s="3">
        <f t="shared" si="97"/>
        <v>26.829999999999984</v>
      </c>
      <c r="N1051" s="3">
        <v>5.5</v>
      </c>
    </row>
    <row r="1052" spans="4:14" ht="15" customHeight="1" x14ac:dyDescent="0.25">
      <c r="D1052" s="13">
        <v>45051</v>
      </c>
      <c r="H1052" s="3" t="s">
        <v>34</v>
      </c>
      <c r="I1052" s="3" t="s">
        <v>43</v>
      </c>
      <c r="J1052" s="3">
        <f t="shared" si="96"/>
        <v>174506</v>
      </c>
      <c r="K1052" s="3">
        <f t="shared" si="95"/>
        <v>174518</v>
      </c>
      <c r="L1052" s="3">
        <v>12</v>
      </c>
      <c r="M1052" s="3">
        <f t="shared" si="97"/>
        <v>25.579999999999984</v>
      </c>
      <c r="N1052" s="3">
        <v>1.25</v>
      </c>
    </row>
    <row r="1053" spans="4:14" ht="15" customHeight="1" x14ac:dyDescent="0.25">
      <c r="D1053" s="13"/>
      <c r="H1053" s="3" t="s">
        <v>43</v>
      </c>
      <c r="I1053" s="3" t="s">
        <v>34</v>
      </c>
      <c r="J1053" s="3">
        <f t="shared" si="96"/>
        <v>174518</v>
      </c>
      <c r="K1053" s="3">
        <f t="shared" si="95"/>
        <v>174530</v>
      </c>
      <c r="L1053" s="3">
        <v>12</v>
      </c>
      <c r="M1053" s="3">
        <f t="shared" si="97"/>
        <v>24.329999999999984</v>
      </c>
      <c r="N1053" s="3">
        <v>1.25</v>
      </c>
    </row>
    <row r="1054" spans="4:14" ht="15" customHeight="1" x14ac:dyDescent="0.25">
      <c r="D1054" s="13"/>
      <c r="H1054" s="3" t="s">
        <v>34</v>
      </c>
      <c r="I1054" s="3" t="s">
        <v>49</v>
      </c>
      <c r="J1054" s="3">
        <f t="shared" si="96"/>
        <v>174530</v>
      </c>
      <c r="K1054" s="3">
        <f t="shared" si="95"/>
        <v>174557</v>
      </c>
      <c r="L1054" s="3">
        <v>27</v>
      </c>
      <c r="M1054" s="3">
        <f t="shared" si="97"/>
        <v>21.129999999999985</v>
      </c>
      <c r="N1054" s="3">
        <v>3.2</v>
      </c>
    </row>
    <row r="1055" spans="4:14" ht="15" customHeight="1" x14ac:dyDescent="0.25">
      <c r="D1055" s="13"/>
      <c r="H1055" s="3" t="s">
        <v>49</v>
      </c>
      <c r="I1055" s="3" t="s">
        <v>34</v>
      </c>
      <c r="J1055" s="3">
        <f t="shared" si="96"/>
        <v>174557</v>
      </c>
      <c r="K1055" s="3">
        <f t="shared" si="95"/>
        <v>174584</v>
      </c>
      <c r="L1055" s="3">
        <v>27</v>
      </c>
      <c r="M1055" s="3">
        <f t="shared" si="97"/>
        <v>17.929999999999986</v>
      </c>
      <c r="N1055" s="3">
        <v>3.2</v>
      </c>
    </row>
    <row r="1056" spans="4:14" ht="15" customHeight="1" x14ac:dyDescent="0.25">
      <c r="D1056" s="13">
        <v>45056</v>
      </c>
      <c r="E1056">
        <v>6.83</v>
      </c>
      <c r="F1056" s="3">
        <v>51.9</v>
      </c>
      <c r="G1056" s="8">
        <f>E1056*F1056</f>
        <v>354.47699999999998</v>
      </c>
      <c r="H1056" s="3" t="s">
        <v>34</v>
      </c>
      <c r="I1056" s="3" t="s">
        <v>32</v>
      </c>
      <c r="J1056" s="3">
        <f t="shared" si="96"/>
        <v>174584</v>
      </c>
      <c r="K1056" s="3">
        <f t="shared" si="95"/>
        <v>174609</v>
      </c>
      <c r="L1056" s="3">
        <v>25</v>
      </c>
      <c r="M1056" s="3">
        <f t="shared" si="97"/>
        <v>21.759999999999984</v>
      </c>
      <c r="N1056" s="3">
        <v>3</v>
      </c>
    </row>
    <row r="1057" spans="4:14" ht="15" customHeight="1" x14ac:dyDescent="0.25">
      <c r="D1057" s="13"/>
      <c r="G1057" s="8"/>
      <c r="H1057" s="3" t="s">
        <v>32</v>
      </c>
      <c r="I1057" s="3" t="s">
        <v>34</v>
      </c>
      <c r="J1057" s="3">
        <f t="shared" si="96"/>
        <v>174609</v>
      </c>
      <c r="K1057" s="3">
        <f t="shared" si="95"/>
        <v>174634</v>
      </c>
      <c r="L1057" s="3">
        <v>25</v>
      </c>
      <c r="M1057" s="3">
        <f t="shared" si="97"/>
        <v>18.759999999999984</v>
      </c>
      <c r="N1057" s="3">
        <v>3</v>
      </c>
    </row>
    <row r="1058" spans="4:14" ht="15" customHeight="1" x14ac:dyDescent="0.25">
      <c r="D1058" s="13">
        <v>45057</v>
      </c>
      <c r="H1058" s="3" t="s">
        <v>34</v>
      </c>
      <c r="I1058" s="3" t="s">
        <v>35</v>
      </c>
      <c r="J1058" s="3">
        <f t="shared" si="96"/>
        <v>174634</v>
      </c>
      <c r="K1058" s="3">
        <f t="shared" si="95"/>
        <v>174646</v>
      </c>
      <c r="L1058" s="3">
        <v>12</v>
      </c>
      <c r="M1058" s="3">
        <f t="shared" si="97"/>
        <v>17.509999999999984</v>
      </c>
      <c r="N1058" s="3">
        <v>1.25</v>
      </c>
    </row>
    <row r="1059" spans="4:14" ht="15" customHeight="1" x14ac:dyDescent="0.25">
      <c r="D1059" s="13"/>
      <c r="H1059" s="3" t="s">
        <v>35</v>
      </c>
      <c r="I1059" s="3" t="s">
        <v>34</v>
      </c>
      <c r="J1059" s="3">
        <f t="shared" si="96"/>
        <v>174646</v>
      </c>
      <c r="K1059" s="3">
        <f t="shared" si="95"/>
        <v>174658</v>
      </c>
      <c r="L1059" s="3">
        <v>12</v>
      </c>
      <c r="M1059" s="3">
        <f t="shared" si="97"/>
        <v>16.259999999999984</v>
      </c>
      <c r="N1059" s="3">
        <v>1.25</v>
      </c>
    </row>
    <row r="1060" spans="4:14" ht="15" customHeight="1" x14ac:dyDescent="0.25">
      <c r="D1060" s="13">
        <v>45058</v>
      </c>
      <c r="H1060" s="3" t="s">
        <v>34</v>
      </c>
      <c r="I1060" s="3" t="s">
        <v>59</v>
      </c>
      <c r="J1060" s="3">
        <f t="shared" si="96"/>
        <v>174658</v>
      </c>
      <c r="K1060" s="3">
        <f t="shared" si="95"/>
        <v>174685</v>
      </c>
      <c r="L1060" s="3">
        <v>27</v>
      </c>
      <c r="M1060" s="3">
        <f t="shared" si="97"/>
        <v>13.059999999999985</v>
      </c>
      <c r="N1060" s="3">
        <v>3.2</v>
      </c>
    </row>
    <row r="1061" spans="4:14" ht="15" customHeight="1" x14ac:dyDescent="0.25">
      <c r="D1061" s="13"/>
      <c r="H1061" s="3" t="s">
        <v>59</v>
      </c>
      <c r="I1061" s="3" t="s">
        <v>34</v>
      </c>
      <c r="J1061" s="3">
        <f t="shared" si="96"/>
        <v>174685</v>
      </c>
      <c r="K1061" s="3">
        <f t="shared" si="95"/>
        <v>174712</v>
      </c>
      <c r="L1061" s="3">
        <v>27</v>
      </c>
      <c r="M1061" s="3">
        <f t="shared" si="97"/>
        <v>9.8599999999999852</v>
      </c>
      <c r="N1061" s="3">
        <v>3.2</v>
      </c>
    </row>
    <row r="1062" spans="4:14" ht="15" customHeight="1" x14ac:dyDescent="0.25">
      <c r="D1062" s="13">
        <v>45061</v>
      </c>
      <c r="E1062">
        <v>10.28</v>
      </c>
      <c r="F1062" s="3">
        <v>52.3</v>
      </c>
      <c r="G1062" s="8">
        <f>E1062*F1062</f>
        <v>537.64399999999989</v>
      </c>
      <c r="H1062" s="3" t="s">
        <v>34</v>
      </c>
      <c r="I1062" s="3" t="s">
        <v>54</v>
      </c>
      <c r="J1062" s="3">
        <f t="shared" si="96"/>
        <v>174712</v>
      </c>
      <c r="K1062" s="3">
        <f t="shared" si="95"/>
        <v>174739</v>
      </c>
      <c r="L1062" s="3">
        <v>27</v>
      </c>
      <c r="M1062" s="3">
        <f t="shared" si="97"/>
        <v>16.939999999999987</v>
      </c>
      <c r="N1062" s="3">
        <v>3.2</v>
      </c>
    </row>
    <row r="1063" spans="4:14" ht="15" customHeight="1" x14ac:dyDescent="0.25">
      <c r="D1063" s="13"/>
      <c r="G1063" s="8"/>
      <c r="H1063" s="3" t="s">
        <v>54</v>
      </c>
      <c r="I1063" s="3" t="s">
        <v>34</v>
      </c>
      <c r="J1063" s="3">
        <f t="shared" si="96"/>
        <v>174739</v>
      </c>
      <c r="K1063" s="3">
        <f t="shared" si="95"/>
        <v>174766</v>
      </c>
      <c r="L1063" s="3">
        <v>27</v>
      </c>
      <c r="M1063" s="3">
        <f t="shared" si="97"/>
        <v>13.739999999999988</v>
      </c>
      <c r="N1063" s="3">
        <v>3.2</v>
      </c>
    </row>
    <row r="1064" spans="4:14" ht="15" customHeight="1" x14ac:dyDescent="0.25">
      <c r="D1064" s="13">
        <v>45062</v>
      </c>
      <c r="H1064" s="3" t="s">
        <v>34</v>
      </c>
      <c r="I1064" s="3" t="s">
        <v>54</v>
      </c>
      <c r="J1064" s="3">
        <f t="shared" si="96"/>
        <v>174766</v>
      </c>
      <c r="K1064" s="3">
        <f t="shared" si="95"/>
        <v>174793</v>
      </c>
      <c r="L1064" s="3">
        <v>27</v>
      </c>
      <c r="M1064" s="3">
        <f t="shared" si="97"/>
        <v>10.539999999999988</v>
      </c>
      <c r="N1064" s="3">
        <v>3.2</v>
      </c>
    </row>
    <row r="1065" spans="4:14" ht="15" customHeight="1" x14ac:dyDescent="0.25">
      <c r="D1065" s="13"/>
      <c r="H1065" s="3" t="s">
        <v>54</v>
      </c>
      <c r="I1065" s="3" t="s">
        <v>34</v>
      </c>
      <c r="J1065" s="3">
        <f t="shared" si="96"/>
        <v>174793</v>
      </c>
      <c r="K1065" s="3">
        <f t="shared" si="95"/>
        <v>174820</v>
      </c>
      <c r="L1065" s="3">
        <v>27</v>
      </c>
      <c r="M1065" s="3">
        <f t="shared" si="97"/>
        <v>7.3399999999999883</v>
      </c>
      <c r="N1065" s="3">
        <v>3.2</v>
      </c>
    </row>
    <row r="1066" spans="4:14" ht="15" customHeight="1" x14ac:dyDescent="0.25">
      <c r="D1066" s="13">
        <v>45063</v>
      </c>
      <c r="H1066" s="3" t="s">
        <v>34</v>
      </c>
      <c r="I1066" s="3" t="s">
        <v>35</v>
      </c>
      <c r="J1066" s="3">
        <f t="shared" si="96"/>
        <v>174820</v>
      </c>
      <c r="K1066" s="3">
        <f t="shared" si="95"/>
        <v>174832</v>
      </c>
      <c r="L1066" s="3">
        <v>12</v>
      </c>
      <c r="M1066" s="3">
        <f t="shared" si="97"/>
        <v>6.0899999999999883</v>
      </c>
      <c r="N1066" s="3">
        <v>1.25</v>
      </c>
    </row>
    <row r="1067" spans="4:14" ht="15" customHeight="1" x14ac:dyDescent="0.25">
      <c r="D1067" s="13"/>
      <c r="H1067" s="3" t="s">
        <v>35</v>
      </c>
      <c r="I1067" s="3" t="s">
        <v>34</v>
      </c>
      <c r="J1067" s="3">
        <f t="shared" si="96"/>
        <v>174832</v>
      </c>
      <c r="K1067" s="3">
        <f t="shared" si="95"/>
        <v>174844</v>
      </c>
      <c r="L1067" s="3">
        <v>12</v>
      </c>
      <c r="M1067" s="3">
        <f t="shared" si="97"/>
        <v>4.8399999999999883</v>
      </c>
      <c r="N1067" s="3">
        <v>1.25</v>
      </c>
    </row>
    <row r="1068" spans="4:14" ht="15" customHeight="1" x14ac:dyDescent="0.25">
      <c r="D1068" s="13">
        <v>45064</v>
      </c>
      <c r="E1068">
        <v>9.27</v>
      </c>
      <c r="F1068" s="3">
        <v>52.3</v>
      </c>
      <c r="G1068" s="8">
        <f>E1068*F1068</f>
        <v>484.82099999999997</v>
      </c>
      <c r="H1068" s="3" t="s">
        <v>34</v>
      </c>
      <c r="I1068" s="3" t="s">
        <v>35</v>
      </c>
      <c r="J1068" s="3">
        <f t="shared" si="96"/>
        <v>174844</v>
      </c>
      <c r="K1068" s="3">
        <f t="shared" si="95"/>
        <v>174856</v>
      </c>
      <c r="L1068" s="3">
        <v>12</v>
      </c>
      <c r="M1068" s="3">
        <f t="shared" si="97"/>
        <v>12.859999999999989</v>
      </c>
      <c r="N1068" s="3">
        <v>1.25</v>
      </c>
    </row>
    <row r="1069" spans="4:14" ht="15" customHeight="1" x14ac:dyDescent="0.25">
      <c r="D1069" s="13"/>
      <c r="G1069" s="8"/>
      <c r="H1069" s="3" t="s">
        <v>35</v>
      </c>
      <c r="I1069" s="3" t="s">
        <v>34</v>
      </c>
      <c r="J1069" s="3">
        <f t="shared" si="96"/>
        <v>174856</v>
      </c>
      <c r="K1069" s="3">
        <f t="shared" si="95"/>
        <v>174868</v>
      </c>
      <c r="L1069" s="3">
        <v>12</v>
      </c>
      <c r="M1069" s="3">
        <f t="shared" si="97"/>
        <v>11.609999999999989</v>
      </c>
      <c r="N1069" s="3">
        <v>1.25</v>
      </c>
    </row>
    <row r="1070" spans="4:14" ht="15" customHeight="1" x14ac:dyDescent="0.25">
      <c r="D1070" s="13">
        <v>45065</v>
      </c>
      <c r="H1070" s="3" t="s">
        <v>34</v>
      </c>
      <c r="I1070" s="3" t="s">
        <v>43</v>
      </c>
      <c r="J1070" s="3">
        <f t="shared" si="96"/>
        <v>174868</v>
      </c>
      <c r="K1070" s="3">
        <f t="shared" si="95"/>
        <v>174880</v>
      </c>
      <c r="L1070" s="3">
        <v>12</v>
      </c>
      <c r="M1070" s="3">
        <f t="shared" si="97"/>
        <v>10.359999999999989</v>
      </c>
      <c r="N1070" s="3">
        <v>1.25</v>
      </c>
    </row>
    <row r="1071" spans="4:14" ht="15" customHeight="1" x14ac:dyDescent="0.25">
      <c r="D1071" s="13"/>
      <c r="H1071" s="3" t="s">
        <v>43</v>
      </c>
      <c r="I1071" s="3" t="s">
        <v>34</v>
      </c>
      <c r="J1071" s="3">
        <f t="shared" si="96"/>
        <v>174880</v>
      </c>
      <c r="K1071" s="3">
        <f t="shared" si="95"/>
        <v>174892</v>
      </c>
      <c r="L1071" s="3">
        <v>12</v>
      </c>
      <c r="M1071" s="3">
        <f t="shared" si="97"/>
        <v>9.1099999999999888</v>
      </c>
      <c r="N1071" s="3">
        <v>1.25</v>
      </c>
    </row>
    <row r="1072" spans="4:14" ht="15" customHeight="1" x14ac:dyDescent="0.25">
      <c r="D1072" s="13">
        <v>45068</v>
      </c>
      <c r="H1072" s="3" t="s">
        <v>34</v>
      </c>
      <c r="I1072" s="3" t="s">
        <v>54</v>
      </c>
      <c r="J1072" s="3">
        <f t="shared" si="96"/>
        <v>174892</v>
      </c>
      <c r="K1072" s="3">
        <f t="shared" si="95"/>
        <v>174919</v>
      </c>
      <c r="L1072" s="3">
        <v>27</v>
      </c>
      <c r="M1072" s="3">
        <f t="shared" si="97"/>
        <v>5.9099999999999886</v>
      </c>
      <c r="N1072" s="3">
        <v>3.2</v>
      </c>
    </row>
    <row r="1073" spans="4:14" ht="15" customHeight="1" x14ac:dyDescent="0.25">
      <c r="D1073" s="13"/>
      <c r="H1073" s="3" t="s">
        <v>54</v>
      </c>
      <c r="I1073" s="3" t="s">
        <v>34</v>
      </c>
      <c r="J1073" s="3">
        <f t="shared" si="96"/>
        <v>174919</v>
      </c>
      <c r="K1073" s="3">
        <f t="shared" si="95"/>
        <v>174946</v>
      </c>
      <c r="L1073" s="3">
        <v>27</v>
      </c>
      <c r="M1073" s="3">
        <f t="shared" si="97"/>
        <v>2.7099999999999884</v>
      </c>
      <c r="N1073" s="3">
        <v>3.2</v>
      </c>
    </row>
    <row r="1074" spans="4:14" ht="15" customHeight="1" x14ac:dyDescent="0.25">
      <c r="D1074" s="13">
        <v>45069</v>
      </c>
      <c r="H1074" s="3" t="s">
        <v>34</v>
      </c>
      <c r="I1074" s="3" t="s">
        <v>35</v>
      </c>
      <c r="J1074" s="3">
        <f t="shared" si="96"/>
        <v>174946</v>
      </c>
      <c r="K1074" s="3">
        <f t="shared" si="95"/>
        <v>174958</v>
      </c>
      <c r="L1074" s="3">
        <v>12</v>
      </c>
      <c r="M1074" s="3">
        <f t="shared" si="97"/>
        <v>1.4599999999999884</v>
      </c>
      <c r="N1074" s="3">
        <v>1.25</v>
      </c>
    </row>
    <row r="1075" spans="4:14" ht="15" customHeight="1" x14ac:dyDescent="0.25">
      <c r="D1075" s="13"/>
      <c r="H1075" s="3" t="s">
        <v>35</v>
      </c>
      <c r="I1075" s="3" t="s">
        <v>34</v>
      </c>
      <c r="J1075" s="3">
        <f t="shared" si="96"/>
        <v>174958</v>
      </c>
      <c r="K1075" s="3">
        <f t="shared" si="95"/>
        <v>174970</v>
      </c>
      <c r="L1075" s="3">
        <v>12</v>
      </c>
      <c r="M1075" s="3">
        <f t="shared" si="97"/>
        <v>0.20999999999998842</v>
      </c>
      <c r="N1075" s="3">
        <v>1.25</v>
      </c>
    </row>
    <row r="1076" spans="4:14" ht="15" customHeight="1" x14ac:dyDescent="0.25">
      <c r="D1076" s="13">
        <v>45070</v>
      </c>
      <c r="E1076">
        <v>6.74</v>
      </c>
      <c r="F1076" s="3">
        <v>52.3</v>
      </c>
      <c r="G1076" s="8">
        <f>E1076*F1076</f>
        <v>352.50200000000001</v>
      </c>
      <c r="H1076" s="3" t="s">
        <v>34</v>
      </c>
      <c r="I1076" s="3" t="s">
        <v>58</v>
      </c>
      <c r="J1076" s="3">
        <f t="shared" si="96"/>
        <v>174970</v>
      </c>
      <c r="K1076" s="3">
        <f t="shared" si="95"/>
        <v>174997</v>
      </c>
      <c r="L1076" s="3">
        <v>27</v>
      </c>
      <c r="M1076" s="3">
        <f t="shared" si="97"/>
        <v>3.7499999999999885</v>
      </c>
      <c r="N1076" s="3">
        <v>3.2</v>
      </c>
    </row>
    <row r="1077" spans="4:14" ht="15" customHeight="1" x14ac:dyDescent="0.25">
      <c r="D1077" s="13"/>
      <c r="G1077" s="8"/>
      <c r="H1077" s="3" t="s">
        <v>58</v>
      </c>
      <c r="I1077" s="3" t="s">
        <v>34</v>
      </c>
      <c r="J1077" s="3">
        <f t="shared" si="96"/>
        <v>174997</v>
      </c>
      <c r="K1077" s="3">
        <f t="shared" si="95"/>
        <v>175024</v>
      </c>
      <c r="L1077" s="3">
        <v>27</v>
      </c>
      <c r="M1077" s="3">
        <f t="shared" si="97"/>
        <v>0.54999999999998828</v>
      </c>
      <c r="N1077" s="3">
        <v>3.2</v>
      </c>
    </row>
    <row r="1079" spans="4:14" ht="15" customHeight="1" x14ac:dyDescent="0.25">
      <c r="D1079" s="2" t="s">
        <v>64</v>
      </c>
      <c r="E1079" s="2"/>
      <c r="F1079" s="2"/>
      <c r="G1079" s="2"/>
    </row>
    <row r="1080" spans="4:14" ht="15" customHeight="1" x14ac:dyDescent="0.25">
      <c r="D1080" s="13">
        <v>45079</v>
      </c>
      <c r="E1080">
        <v>35.5</v>
      </c>
      <c r="F1080" s="3">
        <v>52.9</v>
      </c>
      <c r="G1080" s="8">
        <f>E1080*F1080</f>
        <v>1877.95</v>
      </c>
      <c r="H1080" s="3" t="s">
        <v>34</v>
      </c>
      <c r="I1080" s="3" t="s">
        <v>58</v>
      </c>
      <c r="J1080" s="3">
        <f>K1077</f>
        <v>175024</v>
      </c>
      <c r="K1080" s="3">
        <f t="shared" ref="K1080:K1123" si="98">J1080+L1080</f>
        <v>175051</v>
      </c>
      <c r="L1080" s="3">
        <v>27</v>
      </c>
      <c r="M1080" s="3">
        <f>(E1080+M1077)-N1080</f>
        <v>32.849999999999987</v>
      </c>
      <c r="N1080" s="3">
        <v>3.2</v>
      </c>
    </row>
    <row r="1081" spans="4:14" ht="15" customHeight="1" x14ac:dyDescent="0.25">
      <c r="D1081" s="13"/>
      <c r="H1081" s="3" t="s">
        <v>58</v>
      </c>
      <c r="I1081" s="3" t="s">
        <v>34</v>
      </c>
      <c r="J1081" s="3">
        <f t="shared" ref="J1081:J1123" si="99">K1080</f>
        <v>175051</v>
      </c>
      <c r="K1081" s="3">
        <f t="shared" si="98"/>
        <v>175078</v>
      </c>
      <c r="L1081" s="3">
        <v>27</v>
      </c>
      <c r="M1081" s="3">
        <f t="shared" ref="M1081:M1123" si="100">(E1081+M1080)-N1081</f>
        <v>29.649999999999988</v>
      </c>
      <c r="N1081" s="3">
        <v>3.2</v>
      </c>
    </row>
    <row r="1082" spans="4:14" ht="15" customHeight="1" x14ac:dyDescent="0.25">
      <c r="D1082" s="13"/>
      <c r="H1082" s="3" t="s">
        <v>34</v>
      </c>
      <c r="I1082" s="3" t="s">
        <v>54</v>
      </c>
      <c r="J1082" s="3">
        <f t="shared" si="99"/>
        <v>175078</v>
      </c>
      <c r="K1082" s="3">
        <f t="shared" si="98"/>
        <v>175105</v>
      </c>
      <c r="L1082" s="3">
        <v>27</v>
      </c>
      <c r="M1082" s="3">
        <f t="shared" si="100"/>
        <v>26.449999999999989</v>
      </c>
      <c r="N1082" s="3">
        <v>3.2</v>
      </c>
    </row>
    <row r="1083" spans="4:14" ht="15" customHeight="1" x14ac:dyDescent="0.25">
      <c r="D1083" s="13"/>
      <c r="H1083" s="3" t="s">
        <v>54</v>
      </c>
      <c r="I1083" s="3" t="s">
        <v>34</v>
      </c>
      <c r="J1083" s="3">
        <f t="shared" si="99"/>
        <v>175105</v>
      </c>
      <c r="K1083" s="3">
        <f t="shared" si="98"/>
        <v>175132</v>
      </c>
      <c r="L1083" s="3">
        <v>27</v>
      </c>
      <c r="M1083" s="3">
        <f t="shared" si="100"/>
        <v>23.249999999999989</v>
      </c>
      <c r="N1083" s="3">
        <v>3.2</v>
      </c>
    </row>
    <row r="1084" spans="4:14" ht="15" customHeight="1" x14ac:dyDescent="0.25">
      <c r="D1084" s="13">
        <v>45082</v>
      </c>
      <c r="H1084" s="3" t="s">
        <v>34</v>
      </c>
      <c r="I1084" s="3" t="s">
        <v>37</v>
      </c>
      <c r="J1084" s="3">
        <f t="shared" si="99"/>
        <v>175132</v>
      </c>
      <c r="K1084" s="3">
        <f t="shared" si="98"/>
        <v>175172</v>
      </c>
      <c r="L1084" s="3">
        <v>40</v>
      </c>
      <c r="M1084" s="3">
        <f t="shared" si="100"/>
        <v>18.449999999999989</v>
      </c>
      <c r="N1084" s="3">
        <v>4.8</v>
      </c>
    </row>
    <row r="1085" spans="4:14" ht="15" customHeight="1" x14ac:dyDescent="0.25">
      <c r="D1085" s="13"/>
      <c r="H1085" s="3" t="s">
        <v>37</v>
      </c>
      <c r="I1085" s="3" t="s">
        <v>34</v>
      </c>
      <c r="J1085" s="3">
        <f t="shared" si="99"/>
        <v>175172</v>
      </c>
      <c r="K1085" s="3">
        <f t="shared" si="98"/>
        <v>175212</v>
      </c>
      <c r="L1085" s="3">
        <v>40</v>
      </c>
      <c r="M1085" s="3">
        <f t="shared" si="100"/>
        <v>13.649999999999988</v>
      </c>
      <c r="N1085" s="3">
        <v>4.8</v>
      </c>
    </row>
    <row r="1086" spans="4:14" ht="15" customHeight="1" x14ac:dyDescent="0.25">
      <c r="D1086" s="13">
        <v>45083</v>
      </c>
      <c r="H1086" s="3" t="s">
        <v>34</v>
      </c>
      <c r="I1086" s="3" t="s">
        <v>35</v>
      </c>
      <c r="J1086" s="3">
        <f t="shared" si="99"/>
        <v>175212</v>
      </c>
      <c r="K1086" s="3">
        <f t="shared" si="98"/>
        <v>175224</v>
      </c>
      <c r="L1086" s="3">
        <v>12</v>
      </c>
      <c r="M1086" s="3">
        <f t="shared" si="100"/>
        <v>12.399999999999988</v>
      </c>
      <c r="N1086" s="3">
        <v>1.25</v>
      </c>
    </row>
    <row r="1087" spans="4:14" ht="15" customHeight="1" x14ac:dyDescent="0.25">
      <c r="D1087" s="13"/>
      <c r="H1087" s="3" t="s">
        <v>35</v>
      </c>
      <c r="I1087" s="3" t="s">
        <v>34</v>
      </c>
      <c r="J1087" s="3">
        <f t="shared" si="99"/>
        <v>175224</v>
      </c>
      <c r="K1087" s="3">
        <f t="shared" si="98"/>
        <v>175236</v>
      </c>
      <c r="L1087" s="3">
        <v>12</v>
      </c>
      <c r="M1087" s="3">
        <f t="shared" si="100"/>
        <v>11.149999999999988</v>
      </c>
      <c r="N1087" s="3">
        <v>1.25</v>
      </c>
    </row>
    <row r="1088" spans="4:14" ht="15" customHeight="1" x14ac:dyDescent="0.25">
      <c r="D1088" s="13">
        <v>45084</v>
      </c>
      <c r="H1088" s="3" t="s">
        <v>34</v>
      </c>
      <c r="I1088" s="3" t="s">
        <v>43</v>
      </c>
      <c r="J1088" s="3">
        <f t="shared" si="99"/>
        <v>175236</v>
      </c>
      <c r="K1088" s="3">
        <f t="shared" si="98"/>
        <v>175248</v>
      </c>
      <c r="L1088" s="3">
        <v>12</v>
      </c>
      <c r="M1088" s="3">
        <f t="shared" si="100"/>
        <v>9.8999999999999879</v>
      </c>
      <c r="N1088" s="3">
        <v>1.25</v>
      </c>
    </row>
    <row r="1089" spans="4:14" ht="15" customHeight="1" x14ac:dyDescent="0.25">
      <c r="D1089" s="13"/>
      <c r="H1089" s="3" t="s">
        <v>43</v>
      </c>
      <c r="I1089" s="3" t="s">
        <v>34</v>
      </c>
      <c r="J1089" s="3">
        <f t="shared" si="99"/>
        <v>175248</v>
      </c>
      <c r="K1089" s="3">
        <f t="shared" si="98"/>
        <v>175260</v>
      </c>
      <c r="L1089" s="3">
        <v>12</v>
      </c>
      <c r="M1089" s="3">
        <f t="shared" si="100"/>
        <v>8.6499999999999879</v>
      </c>
      <c r="N1089" s="3">
        <v>1.25</v>
      </c>
    </row>
    <row r="1090" spans="4:14" ht="15" customHeight="1" x14ac:dyDescent="0.25">
      <c r="D1090" s="13">
        <v>45085</v>
      </c>
      <c r="E1090">
        <v>33.75</v>
      </c>
      <c r="F1090" s="3">
        <v>52.8</v>
      </c>
      <c r="G1090" s="8">
        <f>E1090*F1090</f>
        <v>1782</v>
      </c>
      <c r="H1090" s="3" t="s">
        <v>34</v>
      </c>
      <c r="I1090" s="3" t="s">
        <v>58</v>
      </c>
      <c r="J1090" s="3">
        <f t="shared" si="99"/>
        <v>175260</v>
      </c>
      <c r="K1090" s="3">
        <f t="shared" si="98"/>
        <v>175287</v>
      </c>
      <c r="L1090" s="3">
        <v>27</v>
      </c>
      <c r="M1090" s="3">
        <f t="shared" si="100"/>
        <v>39.199999999999989</v>
      </c>
      <c r="N1090" s="3">
        <v>3.2</v>
      </c>
    </row>
    <row r="1091" spans="4:14" ht="15" customHeight="1" x14ac:dyDescent="0.25">
      <c r="D1091" s="13"/>
      <c r="G1091" s="8"/>
      <c r="H1091" s="3" t="s">
        <v>58</v>
      </c>
      <c r="I1091" s="3" t="s">
        <v>34</v>
      </c>
      <c r="J1091" s="3">
        <f t="shared" si="99"/>
        <v>175287</v>
      </c>
      <c r="K1091" s="3">
        <f t="shared" si="98"/>
        <v>175314</v>
      </c>
      <c r="L1091" s="3">
        <v>27</v>
      </c>
      <c r="M1091" s="3">
        <f t="shared" si="100"/>
        <v>35.999999999999986</v>
      </c>
      <c r="N1091" s="3">
        <v>3.2</v>
      </c>
    </row>
    <row r="1092" spans="4:14" ht="15" customHeight="1" x14ac:dyDescent="0.25">
      <c r="D1092" s="13">
        <v>45086</v>
      </c>
      <c r="E1092">
        <v>15.41</v>
      </c>
      <c r="F1092" s="3">
        <v>52.55</v>
      </c>
      <c r="G1092" s="8">
        <f>E1092*F1092</f>
        <v>809.79549999999995</v>
      </c>
      <c r="H1092" s="3" t="s">
        <v>34</v>
      </c>
      <c r="I1092" s="3" t="s">
        <v>54</v>
      </c>
      <c r="J1092" s="3">
        <f t="shared" si="99"/>
        <v>175314</v>
      </c>
      <c r="K1092" s="3">
        <f t="shared" si="98"/>
        <v>175341</v>
      </c>
      <c r="L1092" s="3">
        <v>27</v>
      </c>
      <c r="M1092" s="3">
        <f t="shared" si="100"/>
        <v>48.20999999999998</v>
      </c>
      <c r="N1092" s="3">
        <v>3.2</v>
      </c>
    </row>
    <row r="1093" spans="4:14" ht="15" customHeight="1" x14ac:dyDescent="0.25">
      <c r="D1093" s="13"/>
      <c r="H1093" s="3" t="s">
        <v>54</v>
      </c>
      <c r="I1093" s="3" t="s">
        <v>34</v>
      </c>
      <c r="J1093" s="3">
        <f t="shared" si="99"/>
        <v>175341</v>
      </c>
      <c r="K1093" s="3">
        <f t="shared" si="98"/>
        <v>175368</v>
      </c>
      <c r="L1093" s="3">
        <v>27</v>
      </c>
      <c r="M1093" s="3">
        <f t="shared" si="100"/>
        <v>45.009999999999977</v>
      </c>
      <c r="N1093" s="3">
        <v>3.2</v>
      </c>
    </row>
    <row r="1094" spans="4:14" ht="15" customHeight="1" x14ac:dyDescent="0.25">
      <c r="D1094" s="13"/>
      <c r="H1094" s="3" t="s">
        <v>34</v>
      </c>
      <c r="I1094" s="3" t="s">
        <v>39</v>
      </c>
      <c r="J1094" s="3">
        <f t="shared" si="99"/>
        <v>175368</v>
      </c>
      <c r="K1094" s="3">
        <f t="shared" si="98"/>
        <v>175418</v>
      </c>
      <c r="L1094" s="3">
        <v>50</v>
      </c>
      <c r="M1094" s="3">
        <f t="shared" si="100"/>
        <v>39.509999999999977</v>
      </c>
      <c r="N1094" s="3">
        <v>5.5</v>
      </c>
    </row>
    <row r="1095" spans="4:14" ht="15" customHeight="1" x14ac:dyDescent="0.25">
      <c r="D1095" s="13"/>
      <c r="H1095" s="3" t="s">
        <v>39</v>
      </c>
      <c r="I1095" s="3" t="s">
        <v>34</v>
      </c>
      <c r="J1095" s="3">
        <f t="shared" si="99"/>
        <v>175418</v>
      </c>
      <c r="K1095" s="3">
        <f t="shared" si="98"/>
        <v>175468</v>
      </c>
      <c r="L1095" s="3">
        <v>50</v>
      </c>
      <c r="M1095" s="3">
        <f t="shared" si="100"/>
        <v>34.009999999999977</v>
      </c>
      <c r="N1095" s="3">
        <v>5.5</v>
      </c>
    </row>
    <row r="1096" spans="4:14" ht="15" customHeight="1" x14ac:dyDescent="0.25">
      <c r="D1096" s="13">
        <v>45090</v>
      </c>
      <c r="H1096" s="3" t="s">
        <v>34</v>
      </c>
      <c r="I1096" s="3" t="s">
        <v>65</v>
      </c>
      <c r="J1096" s="3">
        <f t="shared" si="99"/>
        <v>175468</v>
      </c>
      <c r="K1096" s="3">
        <f t="shared" si="98"/>
        <v>175548</v>
      </c>
      <c r="L1096" s="3">
        <v>80</v>
      </c>
      <c r="M1096" s="3">
        <f t="shared" si="100"/>
        <v>25.009999999999977</v>
      </c>
      <c r="N1096" s="3">
        <v>9</v>
      </c>
    </row>
    <row r="1097" spans="4:14" ht="15" customHeight="1" x14ac:dyDescent="0.25">
      <c r="D1097" s="13"/>
      <c r="H1097" s="3" t="s">
        <v>65</v>
      </c>
      <c r="I1097" s="3" t="s">
        <v>34</v>
      </c>
      <c r="J1097" s="3">
        <f t="shared" si="99"/>
        <v>175548</v>
      </c>
      <c r="K1097" s="3">
        <f t="shared" si="98"/>
        <v>175628</v>
      </c>
      <c r="L1097" s="3">
        <v>80</v>
      </c>
      <c r="M1097" s="3">
        <f t="shared" si="100"/>
        <v>16.009999999999977</v>
      </c>
      <c r="N1097" s="3">
        <v>9</v>
      </c>
    </row>
    <row r="1098" spans="4:14" ht="15" customHeight="1" x14ac:dyDescent="0.25">
      <c r="D1098" s="13">
        <v>45091</v>
      </c>
      <c r="H1098" s="3" t="s">
        <v>34</v>
      </c>
      <c r="I1098" s="3" t="s">
        <v>35</v>
      </c>
      <c r="J1098" s="3">
        <f t="shared" si="99"/>
        <v>175628</v>
      </c>
      <c r="K1098" s="3">
        <f t="shared" si="98"/>
        <v>175640</v>
      </c>
      <c r="L1098" s="3">
        <v>12</v>
      </c>
      <c r="M1098" s="3">
        <f t="shared" si="100"/>
        <v>14.759999999999977</v>
      </c>
      <c r="N1098" s="3">
        <v>1.25</v>
      </c>
    </row>
    <row r="1099" spans="4:14" ht="15" customHeight="1" x14ac:dyDescent="0.25">
      <c r="D1099" s="13"/>
      <c r="H1099" s="3" t="s">
        <v>35</v>
      </c>
      <c r="I1099" s="3" t="s">
        <v>34</v>
      </c>
      <c r="J1099" s="3">
        <f t="shared" si="99"/>
        <v>175640</v>
      </c>
      <c r="K1099" s="3">
        <f t="shared" si="98"/>
        <v>175652</v>
      </c>
      <c r="L1099" s="3">
        <v>12</v>
      </c>
      <c r="M1099" s="3">
        <f t="shared" si="100"/>
        <v>13.509999999999977</v>
      </c>
      <c r="N1099" s="3">
        <v>1.25</v>
      </c>
    </row>
    <row r="1100" spans="4:14" ht="15" customHeight="1" x14ac:dyDescent="0.25">
      <c r="D1100" s="13">
        <v>45092</v>
      </c>
      <c r="H1100" s="3" t="s">
        <v>34</v>
      </c>
      <c r="I1100" s="3" t="s">
        <v>43</v>
      </c>
      <c r="J1100" s="3">
        <f t="shared" si="99"/>
        <v>175652</v>
      </c>
      <c r="K1100" s="3">
        <f t="shared" si="98"/>
        <v>175664</v>
      </c>
      <c r="L1100" s="3">
        <v>12</v>
      </c>
      <c r="M1100" s="3">
        <f t="shared" si="100"/>
        <v>12.259999999999977</v>
      </c>
      <c r="N1100" s="3">
        <v>1.25</v>
      </c>
    </row>
    <row r="1101" spans="4:14" ht="15" customHeight="1" x14ac:dyDescent="0.25">
      <c r="D1101" s="13"/>
      <c r="H1101" s="3" t="s">
        <v>43</v>
      </c>
      <c r="I1101" s="3" t="s">
        <v>34</v>
      </c>
      <c r="J1101" s="3">
        <f t="shared" si="99"/>
        <v>175664</v>
      </c>
      <c r="K1101" s="3">
        <f t="shared" si="98"/>
        <v>175676</v>
      </c>
      <c r="L1101" s="3">
        <v>12</v>
      </c>
      <c r="M1101" s="3">
        <f t="shared" si="100"/>
        <v>11.009999999999977</v>
      </c>
      <c r="N1101" s="3">
        <v>1.25</v>
      </c>
    </row>
    <row r="1102" spans="4:14" ht="15" customHeight="1" x14ac:dyDescent="0.25">
      <c r="D1102" s="13">
        <v>45093</v>
      </c>
      <c r="H1102" s="3" t="s">
        <v>34</v>
      </c>
      <c r="I1102" s="3" t="s">
        <v>54</v>
      </c>
      <c r="J1102" s="3">
        <f t="shared" si="99"/>
        <v>175676</v>
      </c>
      <c r="K1102" s="3">
        <f t="shared" si="98"/>
        <v>175703</v>
      </c>
      <c r="L1102" s="3">
        <v>27</v>
      </c>
      <c r="M1102" s="3">
        <f t="shared" si="100"/>
        <v>7.8099999999999765</v>
      </c>
      <c r="N1102" s="3">
        <v>3.2</v>
      </c>
    </row>
    <row r="1103" spans="4:14" ht="15" customHeight="1" x14ac:dyDescent="0.25">
      <c r="D1103" s="13"/>
      <c r="H1103" s="3" t="s">
        <v>54</v>
      </c>
      <c r="I1103" s="3" t="s">
        <v>34</v>
      </c>
      <c r="J1103" s="3">
        <f t="shared" si="99"/>
        <v>175703</v>
      </c>
      <c r="K1103" s="3">
        <f t="shared" si="98"/>
        <v>175730</v>
      </c>
      <c r="L1103" s="3">
        <v>27</v>
      </c>
      <c r="M1103" s="3">
        <f t="shared" si="100"/>
        <v>4.6099999999999763</v>
      </c>
      <c r="N1103" s="3">
        <v>3.2</v>
      </c>
    </row>
    <row r="1104" spans="4:14" ht="15" customHeight="1" x14ac:dyDescent="0.25">
      <c r="D1104" s="13">
        <v>45096</v>
      </c>
      <c r="H1104" s="3" t="s">
        <v>34</v>
      </c>
      <c r="I1104" s="3" t="s">
        <v>35</v>
      </c>
      <c r="J1104" s="3">
        <f t="shared" si="99"/>
        <v>175730</v>
      </c>
      <c r="K1104" s="3">
        <f t="shared" si="98"/>
        <v>175742</v>
      </c>
      <c r="L1104" s="3">
        <v>12</v>
      </c>
      <c r="M1104" s="3">
        <f t="shared" si="100"/>
        <v>3.3599999999999763</v>
      </c>
      <c r="N1104" s="3">
        <v>1.25</v>
      </c>
    </row>
    <row r="1105" spans="4:14" ht="15" customHeight="1" x14ac:dyDescent="0.25">
      <c r="D1105" s="13"/>
      <c r="H1105" s="3" t="s">
        <v>35</v>
      </c>
      <c r="I1105" s="3" t="s">
        <v>34</v>
      </c>
      <c r="J1105" s="3">
        <f t="shared" si="99"/>
        <v>175742</v>
      </c>
      <c r="K1105" s="3">
        <f t="shared" si="98"/>
        <v>175754</v>
      </c>
      <c r="L1105" s="3">
        <v>12</v>
      </c>
      <c r="M1105" s="3">
        <f t="shared" si="100"/>
        <v>2.1099999999999763</v>
      </c>
      <c r="N1105" s="3">
        <v>1.25</v>
      </c>
    </row>
    <row r="1106" spans="4:14" ht="15" customHeight="1" x14ac:dyDescent="0.25">
      <c r="D1106" s="13">
        <v>45097</v>
      </c>
      <c r="E1106">
        <v>38.82</v>
      </c>
      <c r="F1106" s="3">
        <v>52.45</v>
      </c>
      <c r="G1106" s="8">
        <f>E1106*F1106</f>
        <v>2036.1090000000002</v>
      </c>
      <c r="H1106" s="3" t="s">
        <v>34</v>
      </c>
      <c r="I1106" s="3" t="s">
        <v>58</v>
      </c>
      <c r="J1106" s="3">
        <f t="shared" si="99"/>
        <v>175754</v>
      </c>
      <c r="K1106" s="3">
        <f t="shared" si="98"/>
        <v>175781</v>
      </c>
      <c r="L1106" s="3">
        <v>27</v>
      </c>
      <c r="M1106" s="3">
        <f t="shared" si="100"/>
        <v>37.729999999999976</v>
      </c>
      <c r="N1106" s="3">
        <v>3.2</v>
      </c>
    </row>
    <row r="1107" spans="4:14" ht="15" customHeight="1" x14ac:dyDescent="0.25">
      <c r="D1107" s="13"/>
      <c r="G1107" s="8"/>
      <c r="H1107" s="3" t="s">
        <v>58</v>
      </c>
      <c r="I1107" s="3" t="s">
        <v>34</v>
      </c>
      <c r="J1107" s="3">
        <f t="shared" si="99"/>
        <v>175781</v>
      </c>
      <c r="K1107" s="3">
        <f t="shared" si="98"/>
        <v>175808</v>
      </c>
      <c r="L1107" s="3">
        <v>27</v>
      </c>
      <c r="M1107" s="3">
        <f t="shared" si="100"/>
        <v>34.529999999999973</v>
      </c>
      <c r="N1107" s="3">
        <v>3.2</v>
      </c>
    </row>
    <row r="1108" spans="4:14" ht="15" customHeight="1" x14ac:dyDescent="0.25">
      <c r="D1108" s="13">
        <v>45098</v>
      </c>
      <c r="H1108" s="3" t="s">
        <v>34</v>
      </c>
      <c r="I1108" s="3" t="s">
        <v>43</v>
      </c>
      <c r="J1108" s="3">
        <f t="shared" si="99"/>
        <v>175808</v>
      </c>
      <c r="K1108" s="3">
        <f t="shared" si="98"/>
        <v>175820</v>
      </c>
      <c r="L1108" s="3">
        <v>12</v>
      </c>
      <c r="M1108" s="3">
        <f t="shared" si="100"/>
        <v>33.279999999999973</v>
      </c>
      <c r="N1108" s="3">
        <v>1.25</v>
      </c>
    </row>
    <row r="1109" spans="4:14" ht="15" customHeight="1" x14ac:dyDescent="0.25">
      <c r="D1109" s="13"/>
      <c r="H1109" s="3" t="s">
        <v>43</v>
      </c>
      <c r="I1109" s="3" t="s">
        <v>34</v>
      </c>
      <c r="J1109" s="3">
        <f t="shared" si="99"/>
        <v>175820</v>
      </c>
      <c r="K1109" s="3">
        <f t="shared" si="98"/>
        <v>175832</v>
      </c>
      <c r="L1109" s="3">
        <v>12</v>
      </c>
      <c r="M1109" s="3">
        <f t="shared" si="100"/>
        <v>32.029999999999973</v>
      </c>
      <c r="N1109" s="3">
        <v>1.25</v>
      </c>
    </row>
    <row r="1110" spans="4:14" ht="15" customHeight="1" x14ac:dyDescent="0.25">
      <c r="D1110" s="13">
        <v>45099</v>
      </c>
      <c r="H1110" s="3" t="s">
        <v>34</v>
      </c>
      <c r="I1110" s="3" t="s">
        <v>54</v>
      </c>
      <c r="J1110" s="3">
        <f t="shared" si="99"/>
        <v>175832</v>
      </c>
      <c r="K1110" s="3">
        <f t="shared" si="98"/>
        <v>175859</v>
      </c>
      <c r="L1110" s="3">
        <v>27</v>
      </c>
      <c r="M1110" s="3">
        <f t="shared" si="100"/>
        <v>28.829999999999973</v>
      </c>
      <c r="N1110" s="3">
        <v>3.2</v>
      </c>
    </row>
    <row r="1111" spans="4:14" ht="15" customHeight="1" x14ac:dyDescent="0.25">
      <c r="D1111" s="13"/>
      <c r="H1111" s="3" t="s">
        <v>54</v>
      </c>
      <c r="I1111" s="3" t="s">
        <v>34</v>
      </c>
      <c r="J1111" s="3">
        <f t="shared" si="99"/>
        <v>175859</v>
      </c>
      <c r="K1111" s="3">
        <f t="shared" si="98"/>
        <v>175886</v>
      </c>
      <c r="L1111" s="3">
        <v>27</v>
      </c>
      <c r="M1111" s="3">
        <f t="shared" si="100"/>
        <v>25.629999999999974</v>
      </c>
      <c r="N1111" s="3">
        <v>3.2</v>
      </c>
    </row>
    <row r="1112" spans="4:14" ht="15" customHeight="1" x14ac:dyDescent="0.25">
      <c r="D1112" s="13">
        <v>45100</v>
      </c>
      <c r="H1112" s="3" t="s">
        <v>34</v>
      </c>
      <c r="I1112" s="3" t="s">
        <v>58</v>
      </c>
      <c r="J1112" s="3">
        <f t="shared" si="99"/>
        <v>175886</v>
      </c>
      <c r="K1112" s="3">
        <f t="shared" si="98"/>
        <v>175913</v>
      </c>
      <c r="L1112" s="3">
        <v>27</v>
      </c>
      <c r="M1112" s="3">
        <f t="shared" si="100"/>
        <v>22.429999999999975</v>
      </c>
      <c r="N1112" s="3">
        <v>3.2</v>
      </c>
    </row>
    <row r="1113" spans="4:14" ht="15" customHeight="1" x14ac:dyDescent="0.25">
      <c r="D1113" s="13"/>
      <c r="H1113" s="3" t="s">
        <v>58</v>
      </c>
      <c r="I1113" s="3" t="s">
        <v>34</v>
      </c>
      <c r="J1113" s="3">
        <f t="shared" si="99"/>
        <v>175913</v>
      </c>
      <c r="K1113" s="3">
        <f t="shared" si="98"/>
        <v>175940</v>
      </c>
      <c r="L1113" s="3">
        <v>27</v>
      </c>
      <c r="M1113" s="3">
        <f t="shared" si="100"/>
        <v>19.229999999999976</v>
      </c>
      <c r="N1113" s="3">
        <v>3.2</v>
      </c>
    </row>
    <row r="1114" spans="4:14" ht="15" customHeight="1" x14ac:dyDescent="0.25">
      <c r="D1114" s="13">
        <v>45103</v>
      </c>
      <c r="H1114" s="3" t="s">
        <v>34</v>
      </c>
      <c r="I1114" s="3" t="s">
        <v>54</v>
      </c>
      <c r="J1114" s="3">
        <f t="shared" si="99"/>
        <v>175940</v>
      </c>
      <c r="K1114" s="3">
        <f t="shared" si="98"/>
        <v>175967</v>
      </c>
      <c r="L1114" s="3">
        <v>27</v>
      </c>
      <c r="M1114" s="3">
        <f t="shared" si="100"/>
        <v>16.029999999999976</v>
      </c>
      <c r="N1114" s="3">
        <v>3.2</v>
      </c>
    </row>
    <row r="1115" spans="4:14" ht="15" customHeight="1" x14ac:dyDescent="0.25">
      <c r="D1115" s="13"/>
      <c r="H1115" s="3" t="s">
        <v>54</v>
      </c>
      <c r="I1115" s="3" t="s">
        <v>34</v>
      </c>
      <c r="J1115" s="3">
        <f t="shared" si="99"/>
        <v>175967</v>
      </c>
      <c r="K1115" s="3">
        <f t="shared" si="98"/>
        <v>175994</v>
      </c>
      <c r="L1115" s="3">
        <v>27</v>
      </c>
      <c r="M1115" s="3">
        <f t="shared" si="100"/>
        <v>12.829999999999977</v>
      </c>
      <c r="N1115" s="3">
        <v>3.2</v>
      </c>
    </row>
    <row r="1116" spans="4:14" ht="15" customHeight="1" x14ac:dyDescent="0.25">
      <c r="D1116" s="13">
        <v>45104</v>
      </c>
      <c r="H1116" s="3" t="s">
        <v>34</v>
      </c>
      <c r="I1116" s="3" t="s">
        <v>39</v>
      </c>
      <c r="J1116" s="3">
        <f t="shared" si="99"/>
        <v>175994</v>
      </c>
      <c r="K1116" s="3">
        <f t="shared" si="98"/>
        <v>176044</v>
      </c>
      <c r="L1116" s="3">
        <v>50</v>
      </c>
      <c r="M1116" s="3">
        <f t="shared" si="100"/>
        <v>7.329999999999977</v>
      </c>
      <c r="N1116" s="3">
        <v>5.5</v>
      </c>
    </row>
    <row r="1117" spans="4:14" ht="15" customHeight="1" x14ac:dyDescent="0.25">
      <c r="D1117" s="13"/>
      <c r="H1117" s="3" t="s">
        <v>39</v>
      </c>
      <c r="I1117" s="3" t="s">
        <v>34</v>
      </c>
      <c r="J1117" s="3">
        <f t="shared" si="99"/>
        <v>176044</v>
      </c>
      <c r="K1117" s="3">
        <f t="shared" si="98"/>
        <v>176094</v>
      </c>
      <c r="L1117" s="3">
        <v>50</v>
      </c>
      <c r="M1117" s="3">
        <f t="shared" si="100"/>
        <v>1.829999999999977</v>
      </c>
      <c r="N1117" s="3">
        <v>5.5</v>
      </c>
    </row>
    <row r="1118" spans="4:14" ht="15" customHeight="1" x14ac:dyDescent="0.25">
      <c r="D1118" s="13">
        <v>45105</v>
      </c>
      <c r="E1118">
        <v>8.4499999999999993</v>
      </c>
      <c r="F1118" s="3">
        <v>53</v>
      </c>
      <c r="G1118" s="8">
        <f>E1118*F1118</f>
        <v>447.84999999999997</v>
      </c>
      <c r="H1118" s="3" t="s">
        <v>34</v>
      </c>
      <c r="I1118" s="3" t="s">
        <v>43</v>
      </c>
      <c r="J1118" s="3">
        <f t="shared" si="99"/>
        <v>176094</v>
      </c>
      <c r="K1118" s="3">
        <f t="shared" si="98"/>
        <v>176106</v>
      </c>
      <c r="L1118" s="3">
        <v>12</v>
      </c>
      <c r="M1118" s="3">
        <f t="shared" si="100"/>
        <v>9.0299999999999763</v>
      </c>
      <c r="N1118" s="3">
        <v>1.25</v>
      </c>
    </row>
    <row r="1119" spans="4:14" ht="15" customHeight="1" x14ac:dyDescent="0.25">
      <c r="D1119" s="13"/>
      <c r="G1119" s="8"/>
      <c r="H1119" s="3" t="s">
        <v>43</v>
      </c>
      <c r="I1119" s="3" t="s">
        <v>34</v>
      </c>
      <c r="J1119" s="3">
        <f t="shared" si="99"/>
        <v>176106</v>
      </c>
      <c r="K1119" s="3">
        <f t="shared" si="98"/>
        <v>176118</v>
      </c>
      <c r="L1119" s="3">
        <v>12</v>
      </c>
      <c r="M1119" s="3">
        <f t="shared" si="100"/>
        <v>7.7799999999999763</v>
      </c>
      <c r="N1119" s="3">
        <v>1.25</v>
      </c>
    </row>
    <row r="1120" spans="4:14" ht="15" customHeight="1" x14ac:dyDescent="0.25">
      <c r="D1120" s="13">
        <v>45106</v>
      </c>
      <c r="E1120">
        <v>37.380000000000003</v>
      </c>
      <c r="F1120" s="3">
        <v>53.3</v>
      </c>
      <c r="G1120" s="8">
        <f>E1120*F1120</f>
        <v>1992.354</v>
      </c>
      <c r="H1120" s="3" t="s">
        <v>34</v>
      </c>
      <c r="I1120" s="3" t="s">
        <v>65</v>
      </c>
      <c r="J1120" s="3">
        <f t="shared" si="99"/>
        <v>176118</v>
      </c>
      <c r="K1120" s="3">
        <f t="shared" si="98"/>
        <v>176198</v>
      </c>
      <c r="L1120" s="3">
        <v>80</v>
      </c>
      <c r="M1120" s="3">
        <f t="shared" si="100"/>
        <v>36.159999999999982</v>
      </c>
      <c r="N1120" s="3">
        <v>9</v>
      </c>
    </row>
    <row r="1121" spans="4:14" ht="15" customHeight="1" x14ac:dyDescent="0.25">
      <c r="D1121" s="13"/>
      <c r="G1121" s="8"/>
      <c r="H1121" s="3" t="s">
        <v>65</v>
      </c>
      <c r="I1121" s="3" t="s">
        <v>34</v>
      </c>
      <c r="J1121" s="3">
        <f t="shared" si="99"/>
        <v>176198</v>
      </c>
      <c r="K1121" s="3">
        <f t="shared" si="98"/>
        <v>176278</v>
      </c>
      <c r="L1121" s="3">
        <v>80</v>
      </c>
      <c r="M1121" s="3">
        <f t="shared" si="100"/>
        <v>27.159999999999982</v>
      </c>
      <c r="N1121" s="3">
        <v>9</v>
      </c>
    </row>
    <row r="1122" spans="4:14" ht="15" customHeight="1" x14ac:dyDescent="0.25">
      <c r="D1122" s="13">
        <v>45107</v>
      </c>
      <c r="H1122" s="3" t="s">
        <v>34</v>
      </c>
      <c r="I1122" s="3" t="s">
        <v>37</v>
      </c>
      <c r="J1122" s="3">
        <f t="shared" si="99"/>
        <v>176278</v>
      </c>
      <c r="K1122" s="3">
        <f t="shared" si="98"/>
        <v>176318</v>
      </c>
      <c r="L1122" s="3">
        <v>40</v>
      </c>
      <c r="M1122" s="3">
        <f t="shared" si="100"/>
        <v>22.359999999999982</v>
      </c>
      <c r="N1122" s="3">
        <v>4.8</v>
      </c>
    </row>
    <row r="1123" spans="4:14" ht="15" customHeight="1" x14ac:dyDescent="0.25">
      <c r="H1123" s="3" t="s">
        <v>37</v>
      </c>
      <c r="I1123" s="3" t="s">
        <v>34</v>
      </c>
      <c r="J1123" s="3">
        <f t="shared" si="99"/>
        <v>176318</v>
      </c>
      <c r="K1123" s="3">
        <f t="shared" si="98"/>
        <v>176358</v>
      </c>
      <c r="L1123" s="3">
        <v>40</v>
      </c>
      <c r="M1123" s="3">
        <f t="shared" si="100"/>
        <v>17.559999999999981</v>
      </c>
      <c r="N1123" s="3">
        <v>4.8</v>
      </c>
    </row>
    <row r="1125" spans="4:14" ht="15" customHeight="1" x14ac:dyDescent="0.25">
      <c r="D1125" s="2" t="s">
        <v>66</v>
      </c>
      <c r="E1125" s="2"/>
      <c r="F1125" s="2"/>
      <c r="G1125" s="2"/>
    </row>
    <row r="1126" spans="4:14" ht="15" customHeight="1" x14ac:dyDescent="0.25">
      <c r="D1126" s="13">
        <v>45110</v>
      </c>
      <c r="H1126" s="3" t="s">
        <v>34</v>
      </c>
      <c r="I1126" s="3" t="s">
        <v>58</v>
      </c>
      <c r="J1126" s="3">
        <f>K1123</f>
        <v>176358</v>
      </c>
      <c r="K1126" s="3">
        <f t="shared" ref="K1126:K1169" si="101">J1126+L1126</f>
        <v>176385</v>
      </c>
      <c r="L1126" s="3">
        <v>27</v>
      </c>
      <c r="M1126" s="3">
        <f>(E1126+M1123)-N1126</f>
        <v>14.359999999999982</v>
      </c>
      <c r="N1126" s="3">
        <v>3.2</v>
      </c>
    </row>
    <row r="1127" spans="4:14" ht="15" customHeight="1" x14ac:dyDescent="0.25">
      <c r="D1127" s="13"/>
      <c r="H1127" s="3" t="s">
        <v>58</v>
      </c>
      <c r="I1127" s="3" t="s">
        <v>34</v>
      </c>
      <c r="J1127" s="3">
        <f t="shared" ref="J1127:J1169" si="102">K1126</f>
        <v>176385</v>
      </c>
      <c r="K1127" s="3">
        <f t="shared" si="101"/>
        <v>176412</v>
      </c>
      <c r="L1127" s="3">
        <v>27</v>
      </c>
      <c r="M1127" s="3">
        <f t="shared" ref="M1127:M1169" si="103">(E1127+M1126)-N1127</f>
        <v>11.159999999999982</v>
      </c>
      <c r="N1127" s="3">
        <v>3.2</v>
      </c>
    </row>
    <row r="1128" spans="4:14" ht="15" customHeight="1" x14ac:dyDescent="0.25">
      <c r="D1128" s="13">
        <v>45111</v>
      </c>
      <c r="H1128" s="3" t="s">
        <v>34</v>
      </c>
      <c r="I1128" s="3" t="s">
        <v>54</v>
      </c>
      <c r="J1128" s="3">
        <f t="shared" si="102"/>
        <v>176412</v>
      </c>
      <c r="K1128" s="3">
        <f t="shared" si="101"/>
        <v>176439</v>
      </c>
      <c r="L1128" s="3">
        <v>27</v>
      </c>
      <c r="M1128" s="3">
        <f t="shared" si="103"/>
        <v>7.9599999999999822</v>
      </c>
      <c r="N1128" s="3">
        <v>3.2</v>
      </c>
    </row>
    <row r="1129" spans="4:14" ht="15" customHeight="1" x14ac:dyDescent="0.25">
      <c r="D1129" s="13"/>
      <c r="H1129" s="3" t="s">
        <v>54</v>
      </c>
      <c r="I1129" s="3" t="s">
        <v>34</v>
      </c>
      <c r="J1129" s="3">
        <f t="shared" si="102"/>
        <v>176439</v>
      </c>
      <c r="K1129" s="3">
        <f t="shared" si="101"/>
        <v>176466</v>
      </c>
      <c r="L1129" s="3">
        <v>27</v>
      </c>
      <c r="M1129" s="3">
        <f t="shared" si="103"/>
        <v>4.759999999999982</v>
      </c>
      <c r="N1129" s="3">
        <v>3.2</v>
      </c>
    </row>
    <row r="1130" spans="4:14" ht="15" customHeight="1" x14ac:dyDescent="0.25">
      <c r="D1130" s="13">
        <v>45112</v>
      </c>
      <c r="H1130" s="3" t="s">
        <v>34</v>
      </c>
      <c r="I1130" s="3" t="s">
        <v>35</v>
      </c>
      <c r="J1130" s="3">
        <f t="shared" si="102"/>
        <v>176466</v>
      </c>
      <c r="K1130" s="3">
        <f t="shared" si="101"/>
        <v>176478</v>
      </c>
      <c r="L1130" s="3">
        <v>12</v>
      </c>
      <c r="M1130" s="3">
        <f t="shared" si="103"/>
        <v>3.509999999999982</v>
      </c>
      <c r="N1130" s="3">
        <v>1.25</v>
      </c>
    </row>
    <row r="1131" spans="4:14" ht="15" customHeight="1" x14ac:dyDescent="0.25">
      <c r="D1131" s="13"/>
      <c r="H1131" s="3" t="s">
        <v>35</v>
      </c>
      <c r="I1131" s="3" t="s">
        <v>34</v>
      </c>
      <c r="J1131" s="3">
        <f t="shared" si="102"/>
        <v>176478</v>
      </c>
      <c r="K1131" s="3">
        <f t="shared" si="101"/>
        <v>176490</v>
      </c>
      <c r="L1131" s="3">
        <v>12</v>
      </c>
      <c r="M1131" s="3">
        <f t="shared" si="103"/>
        <v>2.259999999999982</v>
      </c>
      <c r="N1131" s="3">
        <v>1.25</v>
      </c>
    </row>
    <row r="1132" spans="4:14" ht="15" customHeight="1" x14ac:dyDescent="0.25">
      <c r="D1132" s="13">
        <v>45113</v>
      </c>
      <c r="E1132">
        <v>46.08</v>
      </c>
      <c r="F1132" s="3">
        <v>52.85</v>
      </c>
      <c r="G1132" s="8">
        <f>E1132*F1132</f>
        <v>2435.328</v>
      </c>
      <c r="H1132" s="3" t="s">
        <v>34</v>
      </c>
      <c r="I1132" s="3" t="s">
        <v>65</v>
      </c>
      <c r="J1132" s="3">
        <f t="shared" si="102"/>
        <v>176490</v>
      </c>
      <c r="K1132" s="3">
        <f t="shared" si="101"/>
        <v>176570</v>
      </c>
      <c r="L1132" s="3">
        <v>80</v>
      </c>
      <c r="M1132" s="3">
        <f t="shared" si="103"/>
        <v>39.339999999999982</v>
      </c>
      <c r="N1132" s="3">
        <v>9</v>
      </c>
    </row>
    <row r="1133" spans="4:14" ht="15" customHeight="1" x14ac:dyDescent="0.25">
      <c r="D1133" s="13"/>
      <c r="G1133" s="8"/>
      <c r="H1133" s="3" t="s">
        <v>65</v>
      </c>
      <c r="I1133" s="3" t="s">
        <v>34</v>
      </c>
      <c r="J1133" s="3">
        <f t="shared" si="102"/>
        <v>176570</v>
      </c>
      <c r="K1133" s="3">
        <f t="shared" si="101"/>
        <v>176650</v>
      </c>
      <c r="L1133" s="3">
        <v>80</v>
      </c>
      <c r="M1133" s="3">
        <f t="shared" si="103"/>
        <v>30.339999999999982</v>
      </c>
      <c r="N1133" s="3">
        <v>9</v>
      </c>
    </row>
    <row r="1134" spans="4:14" ht="15" customHeight="1" x14ac:dyDescent="0.25">
      <c r="D1134" s="13">
        <v>45114</v>
      </c>
      <c r="H1134" s="3" t="s">
        <v>34</v>
      </c>
      <c r="I1134" s="3" t="s">
        <v>43</v>
      </c>
      <c r="J1134" s="3">
        <f t="shared" si="102"/>
        <v>176650</v>
      </c>
      <c r="K1134" s="3">
        <f t="shared" si="101"/>
        <v>176662</v>
      </c>
      <c r="L1134" s="3">
        <v>12</v>
      </c>
      <c r="M1134" s="3">
        <f t="shared" si="103"/>
        <v>29.089999999999982</v>
      </c>
      <c r="N1134" s="3">
        <v>1.25</v>
      </c>
    </row>
    <row r="1135" spans="4:14" ht="15" customHeight="1" x14ac:dyDescent="0.25">
      <c r="D1135" s="13"/>
      <c r="H1135" s="3" t="s">
        <v>43</v>
      </c>
      <c r="I1135" s="3" t="s">
        <v>34</v>
      </c>
      <c r="J1135" s="3">
        <f t="shared" si="102"/>
        <v>176662</v>
      </c>
      <c r="K1135" s="3">
        <f t="shared" si="101"/>
        <v>176674</v>
      </c>
      <c r="L1135" s="3">
        <v>12</v>
      </c>
      <c r="M1135" s="3">
        <f t="shared" si="103"/>
        <v>27.839999999999982</v>
      </c>
      <c r="N1135" s="3">
        <v>1.25</v>
      </c>
    </row>
    <row r="1136" spans="4:14" ht="15" customHeight="1" x14ac:dyDescent="0.25">
      <c r="D1136" s="13">
        <v>45117</v>
      </c>
      <c r="H1136" s="3" t="s">
        <v>34</v>
      </c>
      <c r="I1136" s="3" t="s">
        <v>35</v>
      </c>
      <c r="J1136" s="3">
        <f t="shared" si="102"/>
        <v>176674</v>
      </c>
      <c r="K1136" s="3">
        <f t="shared" si="101"/>
        <v>176686</v>
      </c>
      <c r="L1136" s="3">
        <v>12</v>
      </c>
      <c r="M1136" s="3">
        <f t="shared" si="103"/>
        <v>26.589999999999982</v>
      </c>
      <c r="N1136" s="3">
        <v>1.25</v>
      </c>
    </row>
    <row r="1137" spans="4:14" ht="15" customHeight="1" x14ac:dyDescent="0.25">
      <c r="D1137" s="13"/>
      <c r="H1137" s="3" t="s">
        <v>35</v>
      </c>
      <c r="I1137" s="3" t="s">
        <v>34</v>
      </c>
      <c r="J1137" s="3">
        <f t="shared" si="102"/>
        <v>176686</v>
      </c>
      <c r="K1137" s="3">
        <f t="shared" si="101"/>
        <v>176698</v>
      </c>
      <c r="L1137" s="3">
        <v>12</v>
      </c>
      <c r="M1137" s="3">
        <f t="shared" si="103"/>
        <v>25.339999999999982</v>
      </c>
      <c r="N1137" s="3">
        <v>1.25</v>
      </c>
    </row>
    <row r="1138" spans="4:14" ht="15" customHeight="1" x14ac:dyDescent="0.25">
      <c r="D1138" s="13">
        <v>45118</v>
      </c>
      <c r="H1138" s="3" t="s">
        <v>34</v>
      </c>
      <c r="I1138" s="3" t="s">
        <v>39</v>
      </c>
      <c r="J1138" s="3">
        <f t="shared" si="102"/>
        <v>176698</v>
      </c>
      <c r="K1138" s="3">
        <f t="shared" si="101"/>
        <v>176748</v>
      </c>
      <c r="L1138" s="3">
        <v>50</v>
      </c>
      <c r="M1138" s="3">
        <f t="shared" si="103"/>
        <v>19.839999999999982</v>
      </c>
      <c r="N1138" s="3">
        <v>5.5</v>
      </c>
    </row>
    <row r="1139" spans="4:14" ht="15" customHeight="1" x14ac:dyDescent="0.25">
      <c r="D1139" s="13"/>
      <c r="H1139" s="3" t="s">
        <v>39</v>
      </c>
      <c r="I1139" s="3" t="s">
        <v>34</v>
      </c>
      <c r="J1139" s="3">
        <f t="shared" si="102"/>
        <v>176748</v>
      </c>
      <c r="K1139" s="3">
        <f t="shared" si="101"/>
        <v>176798</v>
      </c>
      <c r="L1139" s="3">
        <v>50</v>
      </c>
      <c r="M1139" s="3">
        <f t="shared" si="103"/>
        <v>14.339999999999982</v>
      </c>
      <c r="N1139" s="3">
        <v>5.5</v>
      </c>
    </row>
    <row r="1140" spans="4:14" ht="15" customHeight="1" x14ac:dyDescent="0.25">
      <c r="D1140" s="13">
        <v>45119</v>
      </c>
      <c r="E1140">
        <v>4.9400000000000004</v>
      </c>
      <c r="F1140" s="3">
        <v>53.7</v>
      </c>
      <c r="G1140" s="8">
        <f>E1140*F1140</f>
        <v>265.27800000000002</v>
      </c>
      <c r="H1140" s="3" t="s">
        <v>34</v>
      </c>
      <c r="I1140" s="3" t="s">
        <v>58</v>
      </c>
      <c r="J1140" s="3">
        <f t="shared" si="102"/>
        <v>176798</v>
      </c>
      <c r="K1140" s="3">
        <f t="shared" si="101"/>
        <v>176825</v>
      </c>
      <c r="L1140" s="3">
        <v>27</v>
      </c>
      <c r="M1140" s="3">
        <f t="shared" si="103"/>
        <v>16.079999999999984</v>
      </c>
      <c r="N1140" s="3">
        <v>3.2</v>
      </c>
    </row>
    <row r="1141" spans="4:14" ht="15" customHeight="1" x14ac:dyDescent="0.25">
      <c r="D1141" s="13"/>
      <c r="G1141" s="8"/>
      <c r="H1141" s="3" t="s">
        <v>58</v>
      </c>
      <c r="I1141" s="3" t="s">
        <v>34</v>
      </c>
      <c r="J1141" s="3">
        <f t="shared" si="102"/>
        <v>176825</v>
      </c>
      <c r="K1141" s="3">
        <f t="shared" si="101"/>
        <v>176852</v>
      </c>
      <c r="L1141" s="3">
        <v>27</v>
      </c>
      <c r="M1141" s="3">
        <f t="shared" si="103"/>
        <v>12.879999999999985</v>
      </c>
      <c r="N1141" s="3">
        <v>3.2</v>
      </c>
    </row>
    <row r="1142" spans="4:14" ht="15" customHeight="1" x14ac:dyDescent="0.25">
      <c r="D1142" s="13">
        <v>45120</v>
      </c>
      <c r="H1142" s="3" t="s">
        <v>34</v>
      </c>
      <c r="I1142" s="3" t="s">
        <v>35</v>
      </c>
      <c r="J1142" s="3">
        <f t="shared" si="102"/>
        <v>176852</v>
      </c>
      <c r="K1142" s="3">
        <f t="shared" si="101"/>
        <v>176864</v>
      </c>
      <c r="L1142" s="3">
        <v>12</v>
      </c>
      <c r="M1142" s="3">
        <f t="shared" si="103"/>
        <v>11.629999999999985</v>
      </c>
      <c r="N1142" s="3">
        <v>1.25</v>
      </c>
    </row>
    <row r="1143" spans="4:14" ht="15" customHeight="1" x14ac:dyDescent="0.25">
      <c r="D1143" s="13"/>
      <c r="H1143" s="3" t="s">
        <v>35</v>
      </c>
      <c r="I1143" s="3" t="s">
        <v>34</v>
      </c>
      <c r="J1143" s="3">
        <f t="shared" si="102"/>
        <v>176864</v>
      </c>
      <c r="K1143" s="3">
        <f t="shared" si="101"/>
        <v>176876</v>
      </c>
      <c r="L1143" s="3">
        <v>12</v>
      </c>
      <c r="M1143" s="3">
        <f t="shared" si="103"/>
        <v>10.379999999999985</v>
      </c>
      <c r="N1143" s="3">
        <v>1.25</v>
      </c>
    </row>
    <row r="1144" spans="4:14" ht="15" customHeight="1" x14ac:dyDescent="0.25">
      <c r="D1144" s="13">
        <v>45121</v>
      </c>
      <c r="H1144" s="3" t="s">
        <v>34</v>
      </c>
      <c r="I1144" s="3" t="s">
        <v>43</v>
      </c>
      <c r="J1144" s="3">
        <f t="shared" si="102"/>
        <v>176876</v>
      </c>
      <c r="K1144" s="3">
        <f t="shared" si="101"/>
        <v>176888</v>
      </c>
      <c r="L1144" s="3">
        <v>12</v>
      </c>
      <c r="M1144" s="3">
        <f t="shared" si="103"/>
        <v>9.1299999999999848</v>
      </c>
      <c r="N1144" s="3">
        <v>1.25</v>
      </c>
    </row>
    <row r="1145" spans="4:14" ht="15" customHeight="1" x14ac:dyDescent="0.25">
      <c r="D1145" s="13"/>
      <c r="H1145" s="3" t="s">
        <v>43</v>
      </c>
      <c r="I1145" s="3" t="s">
        <v>34</v>
      </c>
      <c r="J1145" s="3">
        <f t="shared" si="102"/>
        <v>176888</v>
      </c>
      <c r="K1145" s="3">
        <f t="shared" si="101"/>
        <v>176900</v>
      </c>
      <c r="L1145" s="3">
        <v>12</v>
      </c>
      <c r="M1145" s="3">
        <f t="shared" si="103"/>
        <v>7.8799999999999848</v>
      </c>
      <c r="N1145" s="3">
        <v>1.25</v>
      </c>
    </row>
    <row r="1146" spans="4:14" ht="15" customHeight="1" x14ac:dyDescent="0.25">
      <c r="D1146" s="13">
        <v>45124</v>
      </c>
      <c r="H1146" s="3" t="s">
        <v>34</v>
      </c>
      <c r="I1146" s="3" t="s">
        <v>35</v>
      </c>
      <c r="J1146" s="3">
        <f t="shared" si="102"/>
        <v>176900</v>
      </c>
      <c r="K1146" s="3">
        <f t="shared" si="101"/>
        <v>176912</v>
      </c>
      <c r="L1146" s="3">
        <v>12</v>
      </c>
      <c r="M1146" s="3">
        <f t="shared" si="103"/>
        <v>6.6299999999999848</v>
      </c>
      <c r="N1146" s="3">
        <v>1.25</v>
      </c>
    </row>
    <row r="1147" spans="4:14" ht="15" customHeight="1" x14ac:dyDescent="0.25">
      <c r="D1147" s="13"/>
      <c r="H1147" s="3" t="s">
        <v>35</v>
      </c>
      <c r="I1147" s="3" t="s">
        <v>34</v>
      </c>
      <c r="J1147" s="3">
        <f t="shared" si="102"/>
        <v>176912</v>
      </c>
      <c r="K1147" s="3">
        <f t="shared" si="101"/>
        <v>176924</v>
      </c>
      <c r="L1147" s="3">
        <v>12</v>
      </c>
      <c r="M1147" s="3">
        <f t="shared" si="103"/>
        <v>5.3799999999999848</v>
      </c>
      <c r="N1147" s="3">
        <v>1.25</v>
      </c>
    </row>
    <row r="1148" spans="4:14" ht="15" customHeight="1" x14ac:dyDescent="0.25">
      <c r="D1148" s="13">
        <v>45125</v>
      </c>
      <c r="H1148" s="3" t="s">
        <v>34</v>
      </c>
      <c r="I1148" s="3" t="s">
        <v>43</v>
      </c>
      <c r="J1148" s="3">
        <f t="shared" si="102"/>
        <v>176924</v>
      </c>
      <c r="K1148" s="3">
        <f t="shared" si="101"/>
        <v>176936</v>
      </c>
      <c r="L1148" s="3">
        <v>12</v>
      </c>
      <c r="M1148" s="3">
        <f t="shared" si="103"/>
        <v>4.1299999999999848</v>
      </c>
      <c r="N1148" s="3">
        <v>1.25</v>
      </c>
    </row>
    <row r="1149" spans="4:14" ht="15" customHeight="1" x14ac:dyDescent="0.25">
      <c r="D1149" s="13"/>
      <c r="H1149" s="3" t="s">
        <v>43</v>
      </c>
      <c r="I1149" s="3" t="s">
        <v>34</v>
      </c>
      <c r="J1149" s="3">
        <f t="shared" si="102"/>
        <v>176936</v>
      </c>
      <c r="K1149" s="3">
        <f t="shared" si="101"/>
        <v>176948</v>
      </c>
      <c r="L1149" s="3">
        <v>12</v>
      </c>
      <c r="M1149" s="3">
        <f t="shared" si="103"/>
        <v>2.8799999999999848</v>
      </c>
      <c r="N1149" s="3">
        <v>1.25</v>
      </c>
    </row>
    <row r="1150" spans="4:14" ht="15" customHeight="1" x14ac:dyDescent="0.25">
      <c r="D1150" s="13">
        <v>45126</v>
      </c>
      <c r="E1150">
        <v>9.1199999999999992</v>
      </c>
      <c r="F1150" s="3">
        <v>54</v>
      </c>
      <c r="G1150" s="8">
        <f>E1150*F1150</f>
        <v>492.47999999999996</v>
      </c>
      <c r="H1150" s="3" t="s">
        <v>34</v>
      </c>
      <c r="I1150" s="3" t="s">
        <v>58</v>
      </c>
      <c r="J1150" s="3">
        <f t="shared" si="102"/>
        <v>176948</v>
      </c>
      <c r="K1150" s="3">
        <f t="shared" si="101"/>
        <v>176975</v>
      </c>
      <c r="L1150" s="3">
        <v>27</v>
      </c>
      <c r="M1150" s="3">
        <f t="shared" si="103"/>
        <v>8.7999999999999829</v>
      </c>
      <c r="N1150" s="3">
        <v>3.2</v>
      </c>
    </row>
    <row r="1151" spans="4:14" ht="15" customHeight="1" x14ac:dyDescent="0.25">
      <c r="D1151" s="13"/>
      <c r="G1151" s="8"/>
      <c r="H1151" s="3" t="s">
        <v>58</v>
      </c>
      <c r="I1151" s="3" t="s">
        <v>34</v>
      </c>
      <c r="J1151" s="3">
        <f t="shared" si="102"/>
        <v>176975</v>
      </c>
      <c r="K1151" s="3">
        <f t="shared" si="101"/>
        <v>177002</v>
      </c>
      <c r="L1151" s="3">
        <v>27</v>
      </c>
      <c r="M1151" s="3">
        <f t="shared" si="103"/>
        <v>5.5999999999999828</v>
      </c>
      <c r="N1151" s="3">
        <v>3.2</v>
      </c>
    </row>
    <row r="1152" spans="4:14" ht="15" customHeight="1" x14ac:dyDescent="0.25">
      <c r="D1152" s="13">
        <v>45127</v>
      </c>
      <c r="H1152" s="3" t="s">
        <v>34</v>
      </c>
      <c r="I1152" s="3" t="s">
        <v>35</v>
      </c>
      <c r="J1152" s="3">
        <f t="shared" si="102"/>
        <v>177002</v>
      </c>
      <c r="K1152" s="3">
        <f t="shared" si="101"/>
        <v>177014</v>
      </c>
      <c r="L1152" s="3">
        <v>12</v>
      </c>
      <c r="M1152" s="3">
        <f t="shared" si="103"/>
        <v>4.3499999999999828</v>
      </c>
      <c r="N1152" s="3">
        <v>1.25</v>
      </c>
    </row>
    <row r="1153" spans="4:14" ht="15" customHeight="1" x14ac:dyDescent="0.25">
      <c r="D1153" s="13"/>
      <c r="H1153" s="3" t="s">
        <v>35</v>
      </c>
      <c r="I1153" s="3" t="s">
        <v>34</v>
      </c>
      <c r="J1153" s="3">
        <f t="shared" si="102"/>
        <v>177014</v>
      </c>
      <c r="K1153" s="3">
        <f t="shared" si="101"/>
        <v>177026</v>
      </c>
      <c r="L1153" s="3">
        <v>12</v>
      </c>
      <c r="M1153" s="3">
        <f t="shared" si="103"/>
        <v>3.0999999999999828</v>
      </c>
      <c r="N1153" s="3">
        <v>1.25</v>
      </c>
    </row>
    <row r="1154" spans="4:14" ht="15" customHeight="1" x14ac:dyDescent="0.25">
      <c r="D1154" s="13">
        <v>45128</v>
      </c>
      <c r="E1154">
        <v>39.51</v>
      </c>
      <c r="F1154" s="3">
        <v>53.7</v>
      </c>
      <c r="G1154" s="8">
        <f>E1154*F1154</f>
        <v>2121.6869999999999</v>
      </c>
      <c r="H1154" s="3" t="s">
        <v>34</v>
      </c>
      <c r="I1154" s="3" t="s">
        <v>65</v>
      </c>
      <c r="J1154" s="3">
        <f t="shared" si="102"/>
        <v>177026</v>
      </c>
      <c r="K1154" s="3">
        <f t="shared" si="101"/>
        <v>177106</v>
      </c>
      <c r="L1154" s="3">
        <v>80</v>
      </c>
      <c r="M1154" s="3">
        <f t="shared" si="103"/>
        <v>33.609999999999978</v>
      </c>
      <c r="N1154" s="3">
        <v>9</v>
      </c>
    </row>
    <row r="1155" spans="4:14" ht="15" customHeight="1" x14ac:dyDescent="0.25">
      <c r="D1155" s="13"/>
      <c r="G1155" s="8"/>
      <c r="H1155" s="3" t="s">
        <v>65</v>
      </c>
      <c r="I1155" s="3" t="s">
        <v>34</v>
      </c>
      <c r="J1155" s="3">
        <f t="shared" si="102"/>
        <v>177106</v>
      </c>
      <c r="K1155" s="3">
        <f t="shared" si="101"/>
        <v>177186</v>
      </c>
      <c r="L1155" s="3">
        <v>80</v>
      </c>
      <c r="M1155" s="3">
        <f t="shared" si="103"/>
        <v>24.609999999999978</v>
      </c>
      <c r="N1155" s="3">
        <v>9</v>
      </c>
    </row>
    <row r="1156" spans="4:14" ht="15" customHeight="1" x14ac:dyDescent="0.25">
      <c r="D1156" s="13">
        <v>45131</v>
      </c>
      <c r="H1156" s="3" t="s">
        <v>34</v>
      </c>
      <c r="I1156" s="3" t="s">
        <v>54</v>
      </c>
      <c r="J1156" s="3">
        <f t="shared" si="102"/>
        <v>177186</v>
      </c>
      <c r="K1156" s="3">
        <f t="shared" si="101"/>
        <v>177213</v>
      </c>
      <c r="L1156" s="3">
        <v>27</v>
      </c>
      <c r="M1156" s="3">
        <f t="shared" si="103"/>
        <v>21.409999999999979</v>
      </c>
      <c r="N1156" s="3">
        <v>3.2</v>
      </c>
    </row>
    <row r="1157" spans="4:14" ht="15" customHeight="1" x14ac:dyDescent="0.25">
      <c r="D1157" s="13"/>
      <c r="H1157" s="3" t="s">
        <v>54</v>
      </c>
      <c r="I1157" s="3" t="s">
        <v>34</v>
      </c>
      <c r="J1157" s="3">
        <f t="shared" si="102"/>
        <v>177213</v>
      </c>
      <c r="K1157" s="3">
        <f t="shared" si="101"/>
        <v>177240</v>
      </c>
      <c r="L1157" s="3">
        <v>27</v>
      </c>
      <c r="M1157" s="3">
        <f t="shared" si="103"/>
        <v>18.20999999999998</v>
      </c>
      <c r="N1157" s="3">
        <v>3.2</v>
      </c>
    </row>
    <row r="1158" spans="4:14" ht="15" customHeight="1" x14ac:dyDescent="0.25">
      <c r="D1158" s="13">
        <v>45132</v>
      </c>
      <c r="H1158" s="3" t="s">
        <v>34</v>
      </c>
      <c r="I1158" s="3" t="s">
        <v>39</v>
      </c>
      <c r="J1158" s="3">
        <f t="shared" si="102"/>
        <v>177240</v>
      </c>
      <c r="K1158" s="3">
        <f t="shared" si="101"/>
        <v>177290</v>
      </c>
      <c r="L1158" s="3">
        <v>50</v>
      </c>
      <c r="M1158" s="3">
        <f t="shared" si="103"/>
        <v>12.70999999999998</v>
      </c>
      <c r="N1158" s="3">
        <v>5.5</v>
      </c>
    </row>
    <row r="1159" spans="4:14" ht="15" customHeight="1" x14ac:dyDescent="0.25">
      <c r="D1159" s="13"/>
      <c r="H1159" s="3" t="s">
        <v>39</v>
      </c>
      <c r="I1159" s="3" t="s">
        <v>34</v>
      </c>
      <c r="J1159" s="3">
        <f t="shared" si="102"/>
        <v>177290</v>
      </c>
      <c r="K1159" s="3">
        <f t="shared" si="101"/>
        <v>177340</v>
      </c>
      <c r="L1159" s="3">
        <v>50</v>
      </c>
      <c r="M1159" s="3">
        <f t="shared" si="103"/>
        <v>7.2099999999999795</v>
      </c>
      <c r="N1159" s="3">
        <v>5.5</v>
      </c>
    </row>
    <row r="1160" spans="4:14" ht="15" customHeight="1" x14ac:dyDescent="0.25">
      <c r="D1160" s="13">
        <v>45133</v>
      </c>
      <c r="E1160">
        <v>6.05</v>
      </c>
      <c r="F1160" s="3">
        <v>53.9</v>
      </c>
      <c r="G1160" s="8">
        <f>E1160*F1160</f>
        <v>326.09499999999997</v>
      </c>
      <c r="H1160" s="3" t="s">
        <v>34</v>
      </c>
      <c r="I1160" s="3" t="s">
        <v>24</v>
      </c>
      <c r="J1160" s="3">
        <f t="shared" si="102"/>
        <v>177340</v>
      </c>
      <c r="K1160" s="3">
        <f t="shared" si="101"/>
        <v>177354</v>
      </c>
      <c r="L1160" s="3">
        <v>14</v>
      </c>
      <c r="M1160" s="3">
        <f t="shared" si="103"/>
        <v>11.75999999999998</v>
      </c>
      <c r="N1160" s="3">
        <v>1.5</v>
      </c>
    </row>
    <row r="1161" spans="4:14" ht="15" customHeight="1" x14ac:dyDescent="0.25">
      <c r="D1161" s="13"/>
      <c r="G1161" s="8"/>
      <c r="H1161" s="3" t="s">
        <v>24</v>
      </c>
      <c r="I1161" s="3" t="s">
        <v>34</v>
      </c>
      <c r="J1161" s="3">
        <f t="shared" si="102"/>
        <v>177354</v>
      </c>
      <c r="K1161" s="3">
        <f t="shared" si="101"/>
        <v>177368</v>
      </c>
      <c r="L1161" s="3">
        <v>14</v>
      </c>
      <c r="M1161" s="3">
        <f t="shared" si="103"/>
        <v>10.25999999999998</v>
      </c>
      <c r="N1161" s="3">
        <v>1.5</v>
      </c>
    </row>
    <row r="1162" spans="4:14" ht="15" customHeight="1" x14ac:dyDescent="0.25">
      <c r="D1162" s="13">
        <v>45134</v>
      </c>
      <c r="H1162" s="3" t="s">
        <v>34</v>
      </c>
      <c r="I1162" s="3" t="s">
        <v>59</v>
      </c>
      <c r="J1162" s="3">
        <f t="shared" si="102"/>
        <v>177368</v>
      </c>
      <c r="K1162" s="3">
        <f t="shared" si="101"/>
        <v>177395</v>
      </c>
      <c r="L1162" s="3">
        <v>27</v>
      </c>
      <c r="M1162" s="3">
        <f t="shared" si="103"/>
        <v>7.0599999999999801</v>
      </c>
      <c r="N1162" s="3">
        <v>3.2</v>
      </c>
    </row>
    <row r="1163" spans="4:14" ht="15" customHeight="1" x14ac:dyDescent="0.25">
      <c r="D1163" s="13"/>
      <c r="H1163" s="3" t="s">
        <v>59</v>
      </c>
      <c r="I1163" s="3" t="s">
        <v>34</v>
      </c>
      <c r="J1163" s="3">
        <f t="shared" si="102"/>
        <v>177395</v>
      </c>
      <c r="K1163" s="3">
        <f t="shared" si="101"/>
        <v>177422</v>
      </c>
      <c r="L1163" s="3">
        <v>27</v>
      </c>
      <c r="M1163" s="3">
        <f t="shared" si="103"/>
        <v>3.8599999999999799</v>
      </c>
      <c r="N1163" s="3">
        <v>3.2</v>
      </c>
    </row>
    <row r="1164" spans="4:14" ht="15" customHeight="1" x14ac:dyDescent="0.25">
      <c r="D1164" s="13">
        <v>45135</v>
      </c>
      <c r="E1164">
        <v>36.659999999999997</v>
      </c>
      <c r="F1164" s="3">
        <v>54.2</v>
      </c>
      <c r="G1164" s="8">
        <f>E1164*F1164</f>
        <v>1986.972</v>
      </c>
      <c r="H1164" s="3" t="s">
        <v>34</v>
      </c>
      <c r="I1164" s="3" t="s">
        <v>35</v>
      </c>
      <c r="J1164" s="3">
        <f t="shared" si="102"/>
        <v>177422</v>
      </c>
      <c r="K1164" s="3">
        <f t="shared" si="101"/>
        <v>177434</v>
      </c>
      <c r="L1164" s="3">
        <v>12</v>
      </c>
      <c r="M1164" s="3">
        <f t="shared" si="103"/>
        <v>39.269999999999975</v>
      </c>
      <c r="N1164" s="3">
        <v>1.25</v>
      </c>
    </row>
    <row r="1165" spans="4:14" ht="15" customHeight="1" x14ac:dyDescent="0.25">
      <c r="D1165" s="13"/>
      <c r="G1165" s="8"/>
      <c r="H1165" s="3" t="s">
        <v>35</v>
      </c>
      <c r="I1165" s="3" t="s">
        <v>34</v>
      </c>
      <c r="J1165" s="3">
        <f t="shared" si="102"/>
        <v>177434</v>
      </c>
      <c r="K1165" s="3">
        <f t="shared" si="101"/>
        <v>177446</v>
      </c>
      <c r="L1165" s="3">
        <v>12</v>
      </c>
      <c r="M1165" s="3">
        <f t="shared" si="103"/>
        <v>38.019999999999975</v>
      </c>
      <c r="N1165" s="3">
        <v>1.25</v>
      </c>
    </row>
    <row r="1166" spans="4:14" ht="15" customHeight="1" x14ac:dyDescent="0.25">
      <c r="D1166" s="13">
        <v>45138</v>
      </c>
      <c r="H1166" s="3" t="s">
        <v>34</v>
      </c>
      <c r="I1166" s="3" t="s">
        <v>65</v>
      </c>
      <c r="J1166" s="3">
        <f t="shared" si="102"/>
        <v>177446</v>
      </c>
      <c r="K1166" s="3">
        <f t="shared" si="101"/>
        <v>177526</v>
      </c>
      <c r="L1166" s="3">
        <v>80</v>
      </c>
      <c r="M1166" s="3">
        <f t="shared" si="103"/>
        <v>29.019999999999975</v>
      </c>
      <c r="N1166" s="3">
        <v>9</v>
      </c>
    </row>
    <row r="1167" spans="4:14" ht="15" customHeight="1" x14ac:dyDescent="0.25">
      <c r="H1167" s="3" t="s">
        <v>65</v>
      </c>
      <c r="I1167" s="3" t="s">
        <v>34</v>
      </c>
      <c r="J1167" s="3">
        <f t="shared" si="102"/>
        <v>177526</v>
      </c>
      <c r="K1167" s="3">
        <f t="shared" si="101"/>
        <v>177606</v>
      </c>
      <c r="L1167" s="3">
        <v>80</v>
      </c>
      <c r="M1167" s="3">
        <f t="shared" si="103"/>
        <v>20.019999999999975</v>
      </c>
      <c r="N1167" s="3">
        <v>9</v>
      </c>
    </row>
    <row r="1168" spans="4:14" ht="15" customHeight="1" x14ac:dyDescent="0.25">
      <c r="H1168" s="3" t="s">
        <v>34</v>
      </c>
      <c r="I1168" s="3" t="s">
        <v>58</v>
      </c>
      <c r="J1168" s="3">
        <f t="shared" si="102"/>
        <v>177606</v>
      </c>
      <c r="K1168" s="3">
        <f t="shared" si="101"/>
        <v>177633</v>
      </c>
      <c r="L1168" s="3">
        <v>27</v>
      </c>
      <c r="M1168" s="3">
        <f t="shared" si="103"/>
        <v>16.819999999999975</v>
      </c>
      <c r="N1168" s="3">
        <v>3.2</v>
      </c>
    </row>
    <row r="1169" spans="4:15" ht="15" customHeight="1" x14ac:dyDescent="0.25">
      <c r="H1169" s="3" t="s">
        <v>58</v>
      </c>
      <c r="I1169" s="3" t="s">
        <v>34</v>
      </c>
      <c r="J1169" s="3">
        <f t="shared" si="102"/>
        <v>177633</v>
      </c>
      <c r="K1169" s="3">
        <f t="shared" si="101"/>
        <v>177660</v>
      </c>
      <c r="L1169" s="3">
        <v>27</v>
      </c>
      <c r="M1169" s="3">
        <f t="shared" si="103"/>
        <v>13.619999999999976</v>
      </c>
      <c r="N1169" s="3">
        <v>3.2</v>
      </c>
    </row>
    <row r="1170" spans="4:15" ht="15" customHeight="1" x14ac:dyDescent="0.25">
      <c r="H1170" s="3"/>
      <c r="I1170" s="3"/>
      <c r="M1170" s="3"/>
    </row>
    <row r="1171" spans="4:15" ht="15" customHeight="1" x14ac:dyDescent="0.25">
      <c r="D1171" s="2" t="s">
        <v>67</v>
      </c>
      <c r="E1171" s="2"/>
      <c r="F1171" s="2"/>
      <c r="G1171" s="2"/>
    </row>
    <row r="1172" spans="4:15" ht="15" customHeight="1" x14ac:dyDescent="0.25">
      <c r="D1172" s="13">
        <v>45139</v>
      </c>
      <c r="E1172">
        <v>46.31</v>
      </c>
      <c r="F1172" s="3">
        <v>54.5</v>
      </c>
      <c r="G1172" s="8">
        <f>E1172*F1172</f>
        <v>2523.895</v>
      </c>
      <c r="H1172" s="3" t="s">
        <v>34</v>
      </c>
      <c r="I1172" s="3" t="s">
        <v>65</v>
      </c>
      <c r="J1172" s="3">
        <v>1500</v>
      </c>
      <c r="K1172" s="3">
        <f>J1172+L1172</f>
        <v>1580</v>
      </c>
      <c r="L1172" s="3">
        <v>80</v>
      </c>
      <c r="M1172" s="3">
        <f>(E1172+M1169)-N1172</f>
        <v>50.929999999999978</v>
      </c>
      <c r="N1172" s="3">
        <v>9</v>
      </c>
      <c r="O1172" t="s">
        <v>68</v>
      </c>
    </row>
    <row r="1173" spans="4:15" ht="15" customHeight="1" x14ac:dyDescent="0.25">
      <c r="D1173" s="13"/>
      <c r="G1173" s="8"/>
      <c r="H1173" s="3" t="s">
        <v>65</v>
      </c>
      <c r="I1173" s="3" t="s">
        <v>34</v>
      </c>
      <c r="J1173" s="3">
        <f>K1172</f>
        <v>1580</v>
      </c>
      <c r="K1173" s="3">
        <f>J1173+L1173</f>
        <v>1660</v>
      </c>
      <c r="L1173" s="3">
        <v>80</v>
      </c>
      <c r="M1173" s="3">
        <f>(E1173+M1172)-N1173</f>
        <v>41.929999999999978</v>
      </c>
      <c r="N1173" s="3">
        <v>9</v>
      </c>
    </row>
    <row r="1174" spans="4:15" ht="15" customHeight="1" x14ac:dyDescent="0.25">
      <c r="D1174" s="13"/>
      <c r="G1174" s="8"/>
      <c r="H1174" s="3" t="s">
        <v>34</v>
      </c>
      <c r="I1174" s="3" t="s">
        <v>37</v>
      </c>
      <c r="J1174" s="3">
        <f>K1173</f>
        <v>1660</v>
      </c>
      <c r="K1174" s="3">
        <f>J1174+L1174</f>
        <v>1700</v>
      </c>
      <c r="L1174" s="3">
        <v>40</v>
      </c>
      <c r="M1174" s="3">
        <f>(E1174+M1173)-N1174</f>
        <v>37.129999999999981</v>
      </c>
      <c r="N1174" s="3">
        <v>4.8</v>
      </c>
    </row>
    <row r="1175" spans="4:15" ht="15" customHeight="1" x14ac:dyDescent="0.25">
      <c r="D1175" s="13"/>
      <c r="G1175" s="8"/>
      <c r="H1175" s="3" t="s">
        <v>37</v>
      </c>
      <c r="I1175" s="3" t="s">
        <v>34</v>
      </c>
      <c r="J1175" s="3">
        <f>K1174</f>
        <v>1700</v>
      </c>
      <c r="K1175" s="3">
        <f>J1175+L1175</f>
        <v>1740</v>
      </c>
      <c r="L1175" s="3">
        <v>40</v>
      </c>
      <c r="M1175" s="3">
        <f>(E1175+M1174)-N1175</f>
        <v>32.329999999999984</v>
      </c>
      <c r="N1175" s="3">
        <v>4.8</v>
      </c>
    </row>
    <row r="1176" spans="4:15" ht="15" customHeight="1" x14ac:dyDescent="0.25">
      <c r="D1176" s="13">
        <v>45140</v>
      </c>
      <c r="E1176" t="s">
        <v>50</v>
      </c>
    </row>
    <row r="1177" spans="4:15" ht="15" customHeight="1" x14ac:dyDescent="0.25">
      <c r="D1177" s="13">
        <v>45141</v>
      </c>
      <c r="E1177" t="s">
        <v>50</v>
      </c>
    </row>
    <row r="1178" spans="4:15" ht="15" customHeight="1" x14ac:dyDescent="0.25">
      <c r="D1178" s="13">
        <v>45142</v>
      </c>
      <c r="E1178" t="s">
        <v>50</v>
      </c>
    </row>
    <row r="1179" spans="4:15" ht="15" customHeight="1" x14ac:dyDescent="0.25">
      <c r="D1179" s="13">
        <v>45145</v>
      </c>
      <c r="E1179" t="s">
        <v>50</v>
      </c>
    </row>
    <row r="1180" spans="4:15" ht="15" customHeight="1" x14ac:dyDescent="0.25">
      <c r="D1180" s="13">
        <v>45146</v>
      </c>
      <c r="E1180" t="s">
        <v>50</v>
      </c>
    </row>
    <row r="1181" spans="4:15" ht="15" customHeight="1" x14ac:dyDescent="0.25">
      <c r="D1181" s="13">
        <v>45147</v>
      </c>
      <c r="E1181" t="s">
        <v>50</v>
      </c>
    </row>
    <row r="1182" spans="4:15" ht="15" customHeight="1" x14ac:dyDescent="0.25">
      <c r="D1182" s="13">
        <v>45148</v>
      </c>
      <c r="E1182" t="s">
        <v>50</v>
      </c>
    </row>
    <row r="1183" spans="4:15" ht="15" customHeight="1" x14ac:dyDescent="0.25">
      <c r="D1183" s="13">
        <v>45149</v>
      </c>
      <c r="E1183" t="s">
        <v>50</v>
      </c>
    </row>
    <row r="1184" spans="4:15" ht="15" customHeight="1" x14ac:dyDescent="0.25">
      <c r="D1184" s="13">
        <v>45152</v>
      </c>
      <c r="E1184" t="s">
        <v>50</v>
      </c>
    </row>
    <row r="1185" spans="4:14" ht="15" customHeight="1" x14ac:dyDescent="0.25">
      <c r="D1185" s="13">
        <v>45153</v>
      </c>
      <c r="E1185" t="s">
        <v>50</v>
      </c>
    </row>
    <row r="1186" spans="4:14" ht="15" customHeight="1" x14ac:dyDescent="0.25">
      <c r="D1186" s="13">
        <v>45154</v>
      </c>
      <c r="E1186" t="s">
        <v>50</v>
      </c>
    </row>
    <row r="1187" spans="4:14" ht="15" customHeight="1" x14ac:dyDescent="0.25">
      <c r="D1187" s="13">
        <v>45155</v>
      </c>
      <c r="E1187">
        <v>46.02</v>
      </c>
      <c r="F1187" s="3">
        <v>54.8</v>
      </c>
      <c r="G1187" s="8">
        <f>E1187*F1187</f>
        <v>2521.8960000000002</v>
      </c>
      <c r="H1187" s="3" t="s">
        <v>34</v>
      </c>
      <c r="I1187" s="3" t="s">
        <v>65</v>
      </c>
      <c r="J1187" s="3">
        <f>K1175</f>
        <v>1740</v>
      </c>
      <c r="K1187" s="3">
        <f t="shared" ref="K1187:K1218" si="104">J1187+L1187</f>
        <v>1820</v>
      </c>
      <c r="L1187" s="3">
        <v>80</v>
      </c>
      <c r="M1187" s="3">
        <f>(E1187+M1175)-N1187</f>
        <v>69.349999999999994</v>
      </c>
      <c r="N1187" s="3">
        <v>9</v>
      </c>
    </row>
    <row r="1188" spans="4:14" ht="15" customHeight="1" x14ac:dyDescent="0.25">
      <c r="D1188" s="13"/>
      <c r="G1188" s="8"/>
      <c r="H1188" s="3" t="s">
        <v>65</v>
      </c>
      <c r="I1188" s="3" t="s">
        <v>34</v>
      </c>
      <c r="J1188" s="3">
        <f t="shared" ref="J1188:J1218" si="105">K1187</f>
        <v>1820</v>
      </c>
      <c r="K1188" s="3">
        <f t="shared" si="104"/>
        <v>1900</v>
      </c>
      <c r="L1188" s="3">
        <v>80</v>
      </c>
      <c r="M1188" s="3">
        <f t="shared" ref="M1188:M1218" si="106">(E1188+M1187)-N1188</f>
        <v>60.349999999999994</v>
      </c>
      <c r="N1188" s="3">
        <v>9</v>
      </c>
    </row>
    <row r="1189" spans="4:14" ht="15" customHeight="1" x14ac:dyDescent="0.25">
      <c r="D1189" s="13"/>
      <c r="G1189" s="8"/>
      <c r="H1189" s="3" t="s">
        <v>34</v>
      </c>
      <c r="I1189" s="3" t="s">
        <v>54</v>
      </c>
      <c r="J1189" s="3">
        <f t="shared" si="105"/>
        <v>1900</v>
      </c>
      <c r="K1189" s="3">
        <f t="shared" si="104"/>
        <v>1927</v>
      </c>
      <c r="L1189" s="3">
        <v>27</v>
      </c>
      <c r="M1189" s="3">
        <f t="shared" si="106"/>
        <v>57.149999999999991</v>
      </c>
      <c r="N1189" s="3">
        <v>3.2</v>
      </c>
    </row>
    <row r="1190" spans="4:14" ht="15" customHeight="1" x14ac:dyDescent="0.25">
      <c r="D1190" s="13"/>
      <c r="G1190" s="8"/>
      <c r="H1190" s="3" t="s">
        <v>54</v>
      </c>
      <c r="I1190" s="3" t="s">
        <v>34</v>
      </c>
      <c r="J1190" s="3">
        <f t="shared" si="105"/>
        <v>1927</v>
      </c>
      <c r="K1190" s="3">
        <f t="shared" si="104"/>
        <v>1954</v>
      </c>
      <c r="L1190" s="3">
        <v>27</v>
      </c>
      <c r="M1190" s="3">
        <f t="shared" si="106"/>
        <v>53.949999999999989</v>
      </c>
      <c r="N1190" s="3">
        <v>3.2</v>
      </c>
    </row>
    <row r="1191" spans="4:14" ht="15" customHeight="1" x14ac:dyDescent="0.25">
      <c r="D1191" s="13">
        <v>45156</v>
      </c>
      <c r="H1191" s="3" t="s">
        <v>34</v>
      </c>
      <c r="I1191" s="3" t="s">
        <v>59</v>
      </c>
      <c r="J1191" s="3">
        <f t="shared" si="105"/>
        <v>1954</v>
      </c>
      <c r="K1191" s="3">
        <f t="shared" si="104"/>
        <v>1981</v>
      </c>
      <c r="L1191" s="3">
        <v>27</v>
      </c>
      <c r="M1191" s="3">
        <f t="shared" si="106"/>
        <v>50.749999999999986</v>
      </c>
      <c r="N1191" s="3">
        <v>3.2</v>
      </c>
    </row>
    <row r="1192" spans="4:14" ht="15" customHeight="1" x14ac:dyDescent="0.25">
      <c r="D1192" s="13"/>
      <c r="H1192" s="3" t="s">
        <v>59</v>
      </c>
      <c r="I1192" s="3" t="s">
        <v>34</v>
      </c>
      <c r="J1192" s="3">
        <f t="shared" si="105"/>
        <v>1981</v>
      </c>
      <c r="K1192" s="3">
        <f t="shared" si="104"/>
        <v>2008</v>
      </c>
      <c r="L1192" s="3">
        <v>27</v>
      </c>
      <c r="M1192" s="3">
        <f t="shared" si="106"/>
        <v>47.549999999999983</v>
      </c>
      <c r="N1192" s="3">
        <v>3.2</v>
      </c>
    </row>
    <row r="1193" spans="4:14" ht="15" customHeight="1" x14ac:dyDescent="0.25">
      <c r="D1193" s="13"/>
      <c r="H1193" s="3" t="s">
        <v>34</v>
      </c>
      <c r="I1193" s="3" t="s">
        <v>43</v>
      </c>
      <c r="J1193" s="3">
        <f t="shared" si="105"/>
        <v>2008</v>
      </c>
      <c r="K1193" s="3">
        <f t="shared" si="104"/>
        <v>2020</v>
      </c>
      <c r="L1193" s="3">
        <v>12</v>
      </c>
      <c r="M1193" s="3">
        <f t="shared" si="106"/>
        <v>46.299999999999983</v>
      </c>
      <c r="N1193" s="3">
        <v>1.25</v>
      </c>
    </row>
    <row r="1194" spans="4:14" ht="15" customHeight="1" x14ac:dyDescent="0.25">
      <c r="D1194" s="13"/>
      <c r="H1194" s="3" t="s">
        <v>43</v>
      </c>
      <c r="I1194" s="3" t="s">
        <v>34</v>
      </c>
      <c r="J1194" s="3">
        <f t="shared" si="105"/>
        <v>2020</v>
      </c>
      <c r="K1194" s="3">
        <f t="shared" si="104"/>
        <v>2032</v>
      </c>
      <c r="L1194" s="3">
        <v>12</v>
      </c>
      <c r="M1194" s="3">
        <f t="shared" si="106"/>
        <v>45.049999999999983</v>
      </c>
      <c r="N1194" s="3">
        <v>1.25</v>
      </c>
    </row>
    <row r="1195" spans="4:14" ht="15" customHeight="1" x14ac:dyDescent="0.25">
      <c r="D1195" s="13">
        <v>45159</v>
      </c>
      <c r="H1195" s="3" t="s">
        <v>34</v>
      </c>
      <c r="I1195" s="3" t="s">
        <v>65</v>
      </c>
      <c r="J1195" s="3">
        <f t="shared" si="105"/>
        <v>2032</v>
      </c>
      <c r="K1195" s="3">
        <f t="shared" si="104"/>
        <v>2112</v>
      </c>
      <c r="L1195" s="3">
        <v>80</v>
      </c>
      <c r="M1195" s="3">
        <f t="shared" si="106"/>
        <v>36.049999999999983</v>
      </c>
      <c r="N1195" s="3">
        <v>9</v>
      </c>
    </row>
    <row r="1196" spans="4:14" ht="15" customHeight="1" x14ac:dyDescent="0.25">
      <c r="D1196" s="13"/>
      <c r="H1196" s="3" t="s">
        <v>65</v>
      </c>
      <c r="I1196" s="3" t="s">
        <v>34</v>
      </c>
      <c r="J1196" s="3">
        <f t="shared" si="105"/>
        <v>2112</v>
      </c>
      <c r="K1196" s="3">
        <f t="shared" si="104"/>
        <v>2192</v>
      </c>
      <c r="L1196" s="3">
        <v>80</v>
      </c>
      <c r="M1196" s="3">
        <f t="shared" si="106"/>
        <v>27.049999999999983</v>
      </c>
      <c r="N1196" s="3">
        <v>9</v>
      </c>
    </row>
    <row r="1197" spans="4:14" ht="15" customHeight="1" x14ac:dyDescent="0.25">
      <c r="D1197" s="13"/>
      <c r="H1197" s="3" t="s">
        <v>34</v>
      </c>
      <c r="I1197" s="3" t="s">
        <v>54</v>
      </c>
      <c r="J1197" s="3">
        <f t="shared" si="105"/>
        <v>2192</v>
      </c>
      <c r="K1197" s="3">
        <f t="shared" si="104"/>
        <v>2219</v>
      </c>
      <c r="L1197" s="3">
        <v>27</v>
      </c>
      <c r="M1197" s="3">
        <f t="shared" si="106"/>
        <v>23.849999999999984</v>
      </c>
      <c r="N1197" s="3">
        <v>3.2</v>
      </c>
    </row>
    <row r="1198" spans="4:14" ht="15" customHeight="1" x14ac:dyDescent="0.25">
      <c r="D1198" s="13"/>
      <c r="H1198" s="3" t="s">
        <v>54</v>
      </c>
      <c r="I1198" s="3" t="s">
        <v>34</v>
      </c>
      <c r="J1198" s="3">
        <f t="shared" si="105"/>
        <v>2219</v>
      </c>
      <c r="K1198" s="3">
        <f t="shared" si="104"/>
        <v>2246</v>
      </c>
      <c r="L1198" s="3">
        <v>27</v>
      </c>
      <c r="M1198" s="3">
        <f t="shared" si="106"/>
        <v>20.649999999999984</v>
      </c>
      <c r="N1198" s="3">
        <v>3.2</v>
      </c>
    </row>
    <row r="1199" spans="4:14" ht="15" customHeight="1" x14ac:dyDescent="0.25">
      <c r="D1199" s="13">
        <v>45160</v>
      </c>
      <c r="E1199">
        <v>36.880000000000003</v>
      </c>
      <c r="F1199" s="3">
        <v>54.5</v>
      </c>
      <c r="G1199" s="8">
        <f>E1199*F1199</f>
        <v>2009.96</v>
      </c>
      <c r="H1199" s="3" t="s">
        <v>34</v>
      </c>
      <c r="I1199" s="3" t="s">
        <v>37</v>
      </c>
      <c r="J1199" s="3">
        <f t="shared" si="105"/>
        <v>2246</v>
      </c>
      <c r="K1199" s="3">
        <f t="shared" si="104"/>
        <v>2286</v>
      </c>
      <c r="L1199" s="3">
        <v>40</v>
      </c>
      <c r="M1199" s="3">
        <f t="shared" si="106"/>
        <v>52.72999999999999</v>
      </c>
      <c r="N1199" s="3">
        <v>4.8</v>
      </c>
    </row>
    <row r="1200" spans="4:14" ht="15" customHeight="1" x14ac:dyDescent="0.25">
      <c r="D1200" s="13"/>
      <c r="G1200" s="8"/>
      <c r="H1200" s="3" t="s">
        <v>37</v>
      </c>
      <c r="I1200" s="3" t="s">
        <v>34</v>
      </c>
      <c r="J1200" s="3">
        <f t="shared" si="105"/>
        <v>2286</v>
      </c>
      <c r="K1200" s="3">
        <f t="shared" si="104"/>
        <v>2326</v>
      </c>
      <c r="L1200" s="3">
        <v>40</v>
      </c>
      <c r="M1200" s="3">
        <f t="shared" si="106"/>
        <v>47.929999999999993</v>
      </c>
      <c r="N1200" s="3">
        <v>4.8</v>
      </c>
    </row>
    <row r="1201" spans="4:14" ht="15" customHeight="1" x14ac:dyDescent="0.25">
      <c r="D1201" s="13"/>
      <c r="G1201" s="8"/>
      <c r="H1201" s="3" t="s">
        <v>34</v>
      </c>
      <c r="I1201" s="3" t="s">
        <v>39</v>
      </c>
      <c r="J1201" s="3">
        <f t="shared" si="105"/>
        <v>2326</v>
      </c>
      <c r="K1201" s="3">
        <f t="shared" si="104"/>
        <v>2376</v>
      </c>
      <c r="L1201" s="3">
        <v>50</v>
      </c>
      <c r="M1201" s="3">
        <f t="shared" si="106"/>
        <v>42.429999999999993</v>
      </c>
      <c r="N1201" s="3">
        <v>5.5</v>
      </c>
    </row>
    <row r="1202" spans="4:14" ht="15" customHeight="1" x14ac:dyDescent="0.25">
      <c r="D1202" s="13"/>
      <c r="G1202" s="8"/>
      <c r="H1202" s="3" t="s">
        <v>39</v>
      </c>
      <c r="I1202" s="3" t="s">
        <v>34</v>
      </c>
      <c r="J1202" s="3">
        <f t="shared" si="105"/>
        <v>2376</v>
      </c>
      <c r="K1202" s="3">
        <f t="shared" si="104"/>
        <v>2426</v>
      </c>
      <c r="L1202" s="3">
        <v>50</v>
      </c>
      <c r="M1202" s="3">
        <f t="shared" si="106"/>
        <v>36.929999999999993</v>
      </c>
      <c r="N1202" s="3">
        <v>5.5</v>
      </c>
    </row>
    <row r="1203" spans="4:14" ht="15" customHeight="1" x14ac:dyDescent="0.25">
      <c r="D1203" s="13">
        <v>45161</v>
      </c>
      <c r="H1203" s="3" t="s">
        <v>34</v>
      </c>
      <c r="I1203" s="3" t="s">
        <v>54</v>
      </c>
      <c r="J1203" s="3">
        <f t="shared" si="105"/>
        <v>2426</v>
      </c>
      <c r="K1203" s="3">
        <f t="shared" si="104"/>
        <v>2453</v>
      </c>
      <c r="L1203" s="3">
        <v>27</v>
      </c>
      <c r="M1203" s="3">
        <f t="shared" si="106"/>
        <v>33.72999999999999</v>
      </c>
      <c r="N1203" s="3">
        <v>3.2</v>
      </c>
    </row>
    <row r="1204" spans="4:14" ht="15" customHeight="1" x14ac:dyDescent="0.25">
      <c r="D1204" s="13"/>
      <c r="H1204" s="3" t="s">
        <v>54</v>
      </c>
      <c r="I1204" s="3" t="s">
        <v>34</v>
      </c>
      <c r="J1204" s="3">
        <f t="shared" si="105"/>
        <v>2453</v>
      </c>
      <c r="K1204" s="3">
        <f t="shared" si="104"/>
        <v>2480</v>
      </c>
      <c r="L1204" s="3">
        <v>27</v>
      </c>
      <c r="M1204" s="3">
        <f t="shared" si="106"/>
        <v>30.52999999999999</v>
      </c>
      <c r="N1204" s="3">
        <v>3.2</v>
      </c>
    </row>
    <row r="1205" spans="4:14" ht="15" customHeight="1" x14ac:dyDescent="0.25">
      <c r="D1205" s="13">
        <v>45162</v>
      </c>
      <c r="H1205" s="3" t="s">
        <v>34</v>
      </c>
      <c r="I1205" s="3" t="s">
        <v>35</v>
      </c>
      <c r="J1205" s="3">
        <f t="shared" si="105"/>
        <v>2480</v>
      </c>
      <c r="K1205" s="3">
        <f t="shared" si="104"/>
        <v>2492</v>
      </c>
      <c r="L1205" s="3">
        <v>12</v>
      </c>
      <c r="M1205" s="3">
        <f t="shared" si="106"/>
        <v>29.27999999999999</v>
      </c>
      <c r="N1205" s="3">
        <v>1.25</v>
      </c>
    </row>
    <row r="1206" spans="4:14" ht="15" customHeight="1" x14ac:dyDescent="0.25">
      <c r="D1206" s="13"/>
      <c r="H1206" s="3" t="s">
        <v>35</v>
      </c>
      <c r="I1206" s="3" t="s">
        <v>34</v>
      </c>
      <c r="J1206" s="3">
        <f t="shared" si="105"/>
        <v>2492</v>
      </c>
      <c r="K1206" s="3">
        <f t="shared" si="104"/>
        <v>2504</v>
      </c>
      <c r="L1206" s="3">
        <v>12</v>
      </c>
      <c r="M1206" s="3">
        <f t="shared" si="106"/>
        <v>28.02999999999999</v>
      </c>
      <c r="N1206" s="3">
        <v>1.25</v>
      </c>
    </row>
    <row r="1207" spans="4:14" ht="15" customHeight="1" x14ac:dyDescent="0.25">
      <c r="D1207" s="13"/>
      <c r="H1207" s="3" t="s">
        <v>34</v>
      </c>
      <c r="I1207" s="3" t="s">
        <v>58</v>
      </c>
      <c r="J1207" s="3">
        <f t="shared" si="105"/>
        <v>2504</v>
      </c>
      <c r="K1207" s="3">
        <f t="shared" si="104"/>
        <v>2531</v>
      </c>
      <c r="L1207" s="3">
        <v>27</v>
      </c>
      <c r="M1207" s="3">
        <f t="shared" si="106"/>
        <v>24.829999999999991</v>
      </c>
      <c r="N1207" s="3">
        <v>3.2</v>
      </c>
    </row>
    <row r="1208" spans="4:14" ht="15" customHeight="1" x14ac:dyDescent="0.25">
      <c r="D1208" s="13"/>
      <c r="H1208" s="3" t="s">
        <v>58</v>
      </c>
      <c r="I1208" s="3" t="s">
        <v>34</v>
      </c>
      <c r="J1208" s="3">
        <f t="shared" si="105"/>
        <v>2531</v>
      </c>
      <c r="K1208" s="3">
        <f t="shared" si="104"/>
        <v>2558</v>
      </c>
      <c r="L1208" s="3">
        <v>27</v>
      </c>
      <c r="M1208" s="3">
        <f t="shared" si="106"/>
        <v>21.629999999999992</v>
      </c>
      <c r="N1208" s="3">
        <v>3.2</v>
      </c>
    </row>
    <row r="1209" spans="4:14" ht="15" customHeight="1" x14ac:dyDescent="0.25">
      <c r="D1209" s="13">
        <v>45163</v>
      </c>
      <c r="H1209" s="3" t="s">
        <v>34</v>
      </c>
      <c r="I1209" s="3" t="s">
        <v>65</v>
      </c>
      <c r="J1209" s="3">
        <f t="shared" si="105"/>
        <v>2558</v>
      </c>
      <c r="K1209" s="3">
        <f t="shared" si="104"/>
        <v>2638</v>
      </c>
      <c r="L1209" s="3">
        <v>80</v>
      </c>
      <c r="M1209" s="3">
        <f t="shared" si="106"/>
        <v>12.629999999999992</v>
      </c>
      <c r="N1209" s="3">
        <v>9</v>
      </c>
    </row>
    <row r="1210" spans="4:14" ht="15" customHeight="1" x14ac:dyDescent="0.25">
      <c r="D1210" s="13"/>
      <c r="H1210" s="3" t="s">
        <v>65</v>
      </c>
      <c r="I1210" s="3" t="s">
        <v>34</v>
      </c>
      <c r="J1210" s="3">
        <f t="shared" si="105"/>
        <v>2638</v>
      </c>
      <c r="K1210" s="3">
        <f t="shared" si="104"/>
        <v>2718</v>
      </c>
      <c r="L1210" s="3">
        <v>80</v>
      </c>
      <c r="M1210" s="3">
        <f t="shared" si="106"/>
        <v>3.6299999999999919</v>
      </c>
      <c r="N1210" s="3">
        <v>9</v>
      </c>
    </row>
    <row r="1211" spans="4:14" ht="15" customHeight="1" x14ac:dyDescent="0.25">
      <c r="D1211" s="13">
        <v>45166</v>
      </c>
      <c r="E1211">
        <v>45.21</v>
      </c>
      <c r="F1211" s="3">
        <v>54.5</v>
      </c>
      <c r="G1211" s="8">
        <f>E1211*F1211</f>
        <v>2463.9450000000002</v>
      </c>
      <c r="H1211" s="3" t="s">
        <v>34</v>
      </c>
      <c r="I1211" s="3" t="s">
        <v>59</v>
      </c>
      <c r="J1211" s="3">
        <f t="shared" si="105"/>
        <v>2718</v>
      </c>
      <c r="K1211" s="3">
        <f t="shared" si="104"/>
        <v>2745</v>
      </c>
      <c r="L1211" s="3">
        <v>27</v>
      </c>
      <c r="M1211" s="3">
        <f t="shared" si="106"/>
        <v>45.639999999999986</v>
      </c>
      <c r="N1211" s="3">
        <v>3.2</v>
      </c>
    </row>
    <row r="1212" spans="4:14" ht="15" customHeight="1" x14ac:dyDescent="0.25">
      <c r="D1212" s="13"/>
      <c r="G1212" s="8"/>
      <c r="H1212" s="3" t="s">
        <v>59</v>
      </c>
      <c r="I1212" s="3" t="s">
        <v>34</v>
      </c>
      <c r="J1212" s="3">
        <f t="shared" si="105"/>
        <v>2745</v>
      </c>
      <c r="K1212" s="3">
        <f t="shared" si="104"/>
        <v>2772</v>
      </c>
      <c r="L1212" s="3">
        <v>27</v>
      </c>
      <c r="M1212" s="3">
        <f t="shared" si="106"/>
        <v>42.439999999999984</v>
      </c>
      <c r="N1212" s="3">
        <v>3.2</v>
      </c>
    </row>
    <row r="1213" spans="4:14" ht="15" customHeight="1" x14ac:dyDescent="0.25">
      <c r="D1213" s="13">
        <v>45167</v>
      </c>
      <c r="H1213" s="3" t="s">
        <v>34</v>
      </c>
      <c r="I1213" s="3" t="s">
        <v>43</v>
      </c>
      <c r="J1213" s="3">
        <f t="shared" si="105"/>
        <v>2772</v>
      </c>
      <c r="K1213" s="3">
        <f t="shared" si="104"/>
        <v>2784</v>
      </c>
      <c r="L1213" s="3">
        <v>12</v>
      </c>
      <c r="M1213" s="3">
        <f t="shared" si="106"/>
        <v>41.189999999999984</v>
      </c>
      <c r="N1213" s="3">
        <v>1.25</v>
      </c>
    </row>
    <row r="1214" spans="4:14" ht="15" customHeight="1" x14ac:dyDescent="0.25">
      <c r="D1214" s="13"/>
      <c r="H1214" s="3" t="s">
        <v>43</v>
      </c>
      <c r="I1214" s="3" t="s">
        <v>34</v>
      </c>
      <c r="J1214" s="3">
        <f t="shared" si="105"/>
        <v>2784</v>
      </c>
      <c r="K1214" s="3">
        <f t="shared" si="104"/>
        <v>2796</v>
      </c>
      <c r="L1214" s="3">
        <v>12</v>
      </c>
      <c r="M1214" s="3">
        <f t="shared" si="106"/>
        <v>39.939999999999984</v>
      </c>
      <c r="N1214" s="3">
        <v>1.25</v>
      </c>
    </row>
    <row r="1215" spans="4:14" ht="15" customHeight="1" x14ac:dyDescent="0.25">
      <c r="D1215" s="13">
        <v>45168</v>
      </c>
      <c r="H1215" s="3" t="s">
        <v>34</v>
      </c>
      <c r="I1215" s="3" t="s">
        <v>37</v>
      </c>
      <c r="J1215" s="3">
        <f t="shared" si="105"/>
        <v>2796</v>
      </c>
      <c r="K1215" s="3">
        <f t="shared" si="104"/>
        <v>2836</v>
      </c>
      <c r="L1215" s="3">
        <v>40</v>
      </c>
      <c r="M1215" s="3">
        <f t="shared" si="106"/>
        <v>35.139999999999986</v>
      </c>
      <c r="N1215" s="3">
        <v>4.8</v>
      </c>
    </row>
    <row r="1216" spans="4:14" ht="15" customHeight="1" x14ac:dyDescent="0.25">
      <c r="D1216" s="13"/>
      <c r="H1216" s="3" t="s">
        <v>37</v>
      </c>
      <c r="I1216" s="3" t="s">
        <v>34</v>
      </c>
      <c r="J1216" s="3">
        <f t="shared" si="105"/>
        <v>2836</v>
      </c>
      <c r="K1216" s="3">
        <f t="shared" si="104"/>
        <v>2876</v>
      </c>
      <c r="L1216" s="3">
        <v>40</v>
      </c>
      <c r="M1216" s="3">
        <f t="shared" si="106"/>
        <v>30.339999999999986</v>
      </c>
      <c r="N1216" s="3">
        <v>4.8</v>
      </c>
    </row>
    <row r="1217" spans="4:14" ht="15" customHeight="1" x14ac:dyDescent="0.25">
      <c r="D1217" s="13">
        <v>45169</v>
      </c>
      <c r="H1217" s="3" t="s">
        <v>34</v>
      </c>
      <c r="I1217" s="3" t="s">
        <v>54</v>
      </c>
      <c r="J1217" s="3">
        <f t="shared" si="105"/>
        <v>2876</v>
      </c>
      <c r="K1217" s="3">
        <f t="shared" si="104"/>
        <v>2903</v>
      </c>
      <c r="L1217" s="3">
        <v>27</v>
      </c>
      <c r="M1217" s="3">
        <f t="shared" si="106"/>
        <v>27.139999999999986</v>
      </c>
      <c r="N1217" s="3">
        <v>3.2</v>
      </c>
    </row>
    <row r="1218" spans="4:14" ht="15" customHeight="1" x14ac:dyDescent="0.25">
      <c r="H1218" s="3" t="s">
        <v>54</v>
      </c>
      <c r="I1218" s="3" t="s">
        <v>34</v>
      </c>
      <c r="J1218" s="3">
        <f t="shared" si="105"/>
        <v>2903</v>
      </c>
      <c r="K1218" s="3">
        <f t="shared" si="104"/>
        <v>2930</v>
      </c>
      <c r="L1218" s="3">
        <v>27</v>
      </c>
      <c r="M1218" s="3">
        <f t="shared" si="106"/>
        <v>23.939999999999987</v>
      </c>
      <c r="N1218" s="3">
        <v>3.2</v>
      </c>
    </row>
    <row r="1219" spans="4:14" ht="15" customHeight="1" x14ac:dyDescent="0.25">
      <c r="D1219" s="2" t="s">
        <v>69</v>
      </c>
      <c r="E1219" s="2"/>
      <c r="F1219" s="2"/>
      <c r="G1219" s="2"/>
    </row>
    <row r="1220" spans="4:14" ht="15" customHeight="1" x14ac:dyDescent="0.25">
      <c r="D1220" s="13">
        <v>45170</v>
      </c>
      <c r="H1220" s="3" t="s">
        <v>34</v>
      </c>
      <c r="I1220" s="3" t="s">
        <v>35</v>
      </c>
      <c r="J1220" s="3">
        <f>K1218</f>
        <v>2930</v>
      </c>
      <c r="K1220" s="3">
        <f t="shared" ref="K1220:K1265" si="107">J1220+L1220</f>
        <v>2942</v>
      </c>
      <c r="L1220" s="3">
        <v>12</v>
      </c>
      <c r="M1220" s="3">
        <f>(E1220+M1218)-N1220</f>
        <v>22.689999999999987</v>
      </c>
      <c r="N1220" s="3">
        <v>1.25</v>
      </c>
    </row>
    <row r="1221" spans="4:14" ht="15" customHeight="1" x14ac:dyDescent="0.25">
      <c r="D1221" s="13"/>
      <c r="H1221" s="3" t="s">
        <v>35</v>
      </c>
      <c r="I1221" s="3" t="s">
        <v>34</v>
      </c>
      <c r="J1221" s="3">
        <f t="shared" ref="J1221:J1265" si="108">K1220</f>
        <v>2942</v>
      </c>
      <c r="K1221" s="3">
        <f t="shared" si="107"/>
        <v>2954</v>
      </c>
      <c r="L1221" s="3">
        <v>12</v>
      </c>
      <c r="M1221" s="3">
        <f t="shared" ref="M1221:M1265" si="109">(E1221+M1220)-N1221</f>
        <v>21.439999999999987</v>
      </c>
      <c r="N1221" s="3">
        <v>1.25</v>
      </c>
    </row>
    <row r="1222" spans="4:14" ht="15" customHeight="1" x14ac:dyDescent="0.25">
      <c r="D1222" s="13">
        <v>45173</v>
      </c>
      <c r="H1222" s="3" t="s">
        <v>34</v>
      </c>
      <c r="I1222" s="3" t="s">
        <v>65</v>
      </c>
      <c r="J1222" s="3">
        <f t="shared" si="108"/>
        <v>2954</v>
      </c>
      <c r="K1222" s="3">
        <f t="shared" si="107"/>
        <v>3034</v>
      </c>
      <c r="L1222" s="3">
        <v>80</v>
      </c>
      <c r="M1222" s="3">
        <f t="shared" si="109"/>
        <v>12.439999999999987</v>
      </c>
      <c r="N1222" s="3">
        <v>9</v>
      </c>
    </row>
    <row r="1223" spans="4:14" ht="15" customHeight="1" x14ac:dyDescent="0.25">
      <c r="D1223" s="13"/>
      <c r="H1223" s="3" t="s">
        <v>65</v>
      </c>
      <c r="I1223" s="3" t="s">
        <v>34</v>
      </c>
      <c r="J1223" s="3">
        <f t="shared" si="108"/>
        <v>3034</v>
      </c>
      <c r="K1223" s="3">
        <f t="shared" si="107"/>
        <v>3114</v>
      </c>
      <c r="L1223" s="3">
        <v>80</v>
      </c>
      <c r="M1223" s="3">
        <f t="shared" si="109"/>
        <v>3.4399999999999871</v>
      </c>
      <c r="N1223" s="3">
        <v>9</v>
      </c>
    </row>
    <row r="1224" spans="4:14" ht="15" customHeight="1" x14ac:dyDescent="0.25">
      <c r="D1224" s="13">
        <v>45174</v>
      </c>
      <c r="E1224">
        <v>42.13</v>
      </c>
      <c r="F1224" s="3">
        <v>54.8</v>
      </c>
      <c r="G1224" s="8">
        <f>E1224*F1224</f>
        <v>2308.7240000000002</v>
      </c>
      <c r="H1224" s="3" t="s">
        <v>34</v>
      </c>
      <c r="I1224" s="3" t="s">
        <v>54</v>
      </c>
      <c r="J1224" s="3">
        <f t="shared" si="108"/>
        <v>3114</v>
      </c>
      <c r="K1224" s="3">
        <f t="shared" si="107"/>
        <v>3141</v>
      </c>
      <c r="L1224" s="3">
        <v>27</v>
      </c>
      <c r="M1224" s="3">
        <f t="shared" si="109"/>
        <v>42.36999999999999</v>
      </c>
      <c r="N1224" s="3">
        <v>3.2</v>
      </c>
    </row>
    <row r="1225" spans="4:14" ht="15" customHeight="1" x14ac:dyDescent="0.25">
      <c r="D1225" s="13"/>
      <c r="G1225" s="8"/>
      <c r="H1225" s="3" t="s">
        <v>54</v>
      </c>
      <c r="I1225" s="3" t="s">
        <v>34</v>
      </c>
      <c r="J1225" s="3">
        <f t="shared" si="108"/>
        <v>3141</v>
      </c>
      <c r="K1225" s="3">
        <f t="shared" si="107"/>
        <v>3168</v>
      </c>
      <c r="L1225" s="3">
        <v>27</v>
      </c>
      <c r="M1225" s="3">
        <f t="shared" si="109"/>
        <v>39.169999999999987</v>
      </c>
      <c r="N1225" s="3">
        <v>3.2</v>
      </c>
    </row>
    <row r="1226" spans="4:14" ht="15" customHeight="1" x14ac:dyDescent="0.25">
      <c r="D1226" s="13">
        <v>45175</v>
      </c>
      <c r="H1226" s="3" t="s">
        <v>34</v>
      </c>
      <c r="I1226" s="3" t="s">
        <v>58</v>
      </c>
      <c r="J1226" s="3">
        <f t="shared" si="108"/>
        <v>3168</v>
      </c>
      <c r="K1226" s="3">
        <f t="shared" si="107"/>
        <v>3195</v>
      </c>
      <c r="L1226" s="3">
        <v>27</v>
      </c>
      <c r="M1226" s="3">
        <f t="shared" si="109"/>
        <v>35.969999999999985</v>
      </c>
      <c r="N1226" s="3">
        <v>3.2</v>
      </c>
    </row>
    <row r="1227" spans="4:14" ht="15" customHeight="1" x14ac:dyDescent="0.25">
      <c r="D1227" s="13"/>
      <c r="H1227" s="3" t="s">
        <v>58</v>
      </c>
      <c r="I1227" s="3" t="s">
        <v>34</v>
      </c>
      <c r="J1227" s="3">
        <f t="shared" si="108"/>
        <v>3195</v>
      </c>
      <c r="K1227" s="3">
        <f t="shared" si="107"/>
        <v>3222</v>
      </c>
      <c r="L1227" s="3">
        <v>27</v>
      </c>
      <c r="M1227" s="3">
        <f t="shared" si="109"/>
        <v>32.769999999999982</v>
      </c>
      <c r="N1227" s="3">
        <v>3.2</v>
      </c>
    </row>
    <row r="1228" spans="4:14" ht="15" customHeight="1" x14ac:dyDescent="0.25">
      <c r="D1228" s="13">
        <v>45176</v>
      </c>
      <c r="H1228" s="3" t="s">
        <v>34</v>
      </c>
      <c r="I1228" s="3" t="s">
        <v>37</v>
      </c>
      <c r="J1228" s="3">
        <f t="shared" si="108"/>
        <v>3222</v>
      </c>
      <c r="K1228" s="3">
        <f t="shared" si="107"/>
        <v>3262</v>
      </c>
      <c r="L1228" s="3">
        <v>40</v>
      </c>
      <c r="M1228" s="3">
        <f t="shared" si="109"/>
        <v>27.969999999999981</v>
      </c>
      <c r="N1228" s="3">
        <v>4.8</v>
      </c>
    </row>
    <row r="1229" spans="4:14" ht="15" customHeight="1" x14ac:dyDescent="0.25">
      <c r="D1229" s="13"/>
      <c r="H1229" s="3" t="s">
        <v>37</v>
      </c>
      <c r="I1229" s="3" t="s">
        <v>34</v>
      </c>
      <c r="J1229" s="3">
        <f t="shared" si="108"/>
        <v>3262</v>
      </c>
      <c r="K1229" s="3">
        <f t="shared" si="107"/>
        <v>3302</v>
      </c>
      <c r="L1229" s="3">
        <v>40</v>
      </c>
      <c r="M1229" s="3">
        <f t="shared" si="109"/>
        <v>23.16999999999998</v>
      </c>
      <c r="N1229" s="3">
        <v>4.8</v>
      </c>
    </row>
    <row r="1230" spans="4:14" ht="15" customHeight="1" x14ac:dyDescent="0.25">
      <c r="D1230" s="13">
        <v>45177</v>
      </c>
      <c r="H1230" s="3" t="s">
        <v>34</v>
      </c>
      <c r="I1230" s="3" t="s">
        <v>59</v>
      </c>
      <c r="J1230" s="3">
        <f t="shared" si="108"/>
        <v>3302</v>
      </c>
      <c r="K1230" s="3">
        <f t="shared" si="107"/>
        <v>3329</v>
      </c>
      <c r="L1230" s="3">
        <v>27</v>
      </c>
      <c r="M1230" s="3">
        <f t="shared" si="109"/>
        <v>19.969999999999981</v>
      </c>
      <c r="N1230" s="3">
        <v>3.2</v>
      </c>
    </row>
    <row r="1231" spans="4:14" ht="15" customHeight="1" x14ac:dyDescent="0.25">
      <c r="D1231" s="13"/>
      <c r="H1231" s="3" t="s">
        <v>59</v>
      </c>
      <c r="I1231" s="3" t="s">
        <v>34</v>
      </c>
      <c r="J1231" s="3">
        <f t="shared" si="108"/>
        <v>3329</v>
      </c>
      <c r="K1231" s="3">
        <f t="shared" si="107"/>
        <v>3356</v>
      </c>
      <c r="L1231" s="3">
        <v>27</v>
      </c>
      <c r="M1231" s="3">
        <f t="shared" si="109"/>
        <v>16.769999999999982</v>
      </c>
      <c r="N1231" s="3">
        <v>3.2</v>
      </c>
    </row>
    <row r="1232" spans="4:14" ht="15" customHeight="1" x14ac:dyDescent="0.25">
      <c r="D1232" s="13">
        <v>45180</v>
      </c>
      <c r="E1232">
        <v>48.02</v>
      </c>
      <c r="F1232" s="3">
        <v>54.8</v>
      </c>
      <c r="G1232" s="8">
        <f>E1232*F1232</f>
        <v>2631.4960000000001</v>
      </c>
      <c r="H1232" s="3" t="s">
        <v>34</v>
      </c>
      <c r="I1232" s="3" t="s">
        <v>65</v>
      </c>
      <c r="J1232" s="3">
        <f t="shared" si="108"/>
        <v>3356</v>
      </c>
      <c r="K1232" s="3">
        <f t="shared" si="107"/>
        <v>3436</v>
      </c>
      <c r="L1232" s="3">
        <v>80</v>
      </c>
      <c r="M1232" s="3">
        <f t="shared" si="109"/>
        <v>55.789999999999992</v>
      </c>
      <c r="N1232" s="3">
        <v>9</v>
      </c>
    </row>
    <row r="1233" spans="4:14" ht="15" customHeight="1" x14ac:dyDescent="0.25">
      <c r="D1233" s="13"/>
      <c r="G1233" s="8"/>
      <c r="H1233" s="3" t="s">
        <v>65</v>
      </c>
      <c r="I1233" s="3" t="s">
        <v>34</v>
      </c>
      <c r="J1233" s="3">
        <f t="shared" si="108"/>
        <v>3436</v>
      </c>
      <c r="K1233" s="3">
        <f t="shared" si="107"/>
        <v>3516</v>
      </c>
      <c r="L1233" s="3">
        <v>80</v>
      </c>
      <c r="M1233" s="3">
        <f t="shared" si="109"/>
        <v>46.789999999999992</v>
      </c>
      <c r="N1233" s="3">
        <v>9</v>
      </c>
    </row>
    <row r="1234" spans="4:14" ht="15" customHeight="1" x14ac:dyDescent="0.25">
      <c r="D1234" s="13">
        <v>45181</v>
      </c>
      <c r="H1234" s="3" t="s">
        <v>34</v>
      </c>
      <c r="I1234" s="3" t="s">
        <v>54</v>
      </c>
      <c r="J1234" s="3">
        <f t="shared" si="108"/>
        <v>3516</v>
      </c>
      <c r="K1234" s="3">
        <f t="shared" si="107"/>
        <v>3543</v>
      </c>
      <c r="L1234" s="3">
        <v>27</v>
      </c>
      <c r="M1234" s="3">
        <f t="shared" si="109"/>
        <v>43.589999999999989</v>
      </c>
      <c r="N1234" s="3">
        <v>3.2</v>
      </c>
    </row>
    <row r="1235" spans="4:14" ht="15" customHeight="1" x14ac:dyDescent="0.25">
      <c r="D1235" s="13"/>
      <c r="H1235" s="3" t="s">
        <v>54</v>
      </c>
      <c r="I1235" s="3" t="s">
        <v>34</v>
      </c>
      <c r="J1235" s="3">
        <f t="shared" si="108"/>
        <v>3543</v>
      </c>
      <c r="K1235" s="3">
        <f t="shared" si="107"/>
        <v>3570</v>
      </c>
      <c r="L1235" s="3">
        <v>27</v>
      </c>
      <c r="M1235" s="3">
        <f t="shared" si="109"/>
        <v>40.389999999999986</v>
      </c>
      <c r="N1235" s="3">
        <v>3.2</v>
      </c>
    </row>
    <row r="1236" spans="4:14" ht="15" customHeight="1" x14ac:dyDescent="0.25">
      <c r="D1236" s="13">
        <v>45182</v>
      </c>
      <c r="H1236" s="3" t="s">
        <v>34</v>
      </c>
      <c r="I1236" s="3" t="s">
        <v>43</v>
      </c>
      <c r="J1236" s="3">
        <f t="shared" si="108"/>
        <v>3570</v>
      </c>
      <c r="K1236" s="3">
        <f t="shared" si="107"/>
        <v>3582</v>
      </c>
      <c r="L1236" s="3">
        <v>12</v>
      </c>
      <c r="M1236" s="3">
        <f t="shared" si="109"/>
        <v>39.139999999999986</v>
      </c>
      <c r="N1236" s="3">
        <v>1.25</v>
      </c>
    </row>
    <row r="1237" spans="4:14" ht="15" customHeight="1" x14ac:dyDescent="0.25">
      <c r="D1237" s="13"/>
      <c r="H1237" s="3" t="s">
        <v>43</v>
      </c>
      <c r="I1237" s="3" t="s">
        <v>34</v>
      </c>
      <c r="J1237" s="3">
        <f t="shared" si="108"/>
        <v>3582</v>
      </c>
      <c r="K1237" s="3">
        <f t="shared" si="107"/>
        <v>3594</v>
      </c>
      <c r="L1237" s="3">
        <v>12</v>
      </c>
      <c r="M1237" s="3">
        <f t="shared" si="109"/>
        <v>37.889999999999986</v>
      </c>
      <c r="N1237" s="3">
        <v>1.25</v>
      </c>
    </row>
    <row r="1238" spans="4:14" ht="15" customHeight="1" x14ac:dyDescent="0.25">
      <c r="D1238" s="13">
        <v>45183</v>
      </c>
      <c r="H1238" s="3" t="s">
        <v>34</v>
      </c>
      <c r="I1238" s="3" t="s">
        <v>39</v>
      </c>
      <c r="J1238" s="3">
        <f t="shared" si="108"/>
        <v>3594</v>
      </c>
      <c r="K1238" s="3">
        <f t="shared" si="107"/>
        <v>3644</v>
      </c>
      <c r="L1238" s="3">
        <v>50</v>
      </c>
      <c r="M1238" s="3">
        <f t="shared" si="109"/>
        <v>32.389999999999986</v>
      </c>
      <c r="N1238" s="3">
        <v>5.5</v>
      </c>
    </row>
    <row r="1239" spans="4:14" ht="15" customHeight="1" x14ac:dyDescent="0.25">
      <c r="D1239" s="13"/>
      <c r="H1239" s="3" t="s">
        <v>39</v>
      </c>
      <c r="I1239" s="3" t="s">
        <v>34</v>
      </c>
      <c r="J1239" s="3">
        <f t="shared" si="108"/>
        <v>3644</v>
      </c>
      <c r="K1239" s="3">
        <f t="shared" si="107"/>
        <v>3694</v>
      </c>
      <c r="L1239" s="3">
        <v>50</v>
      </c>
      <c r="M1239" s="3">
        <f t="shared" si="109"/>
        <v>26.889999999999986</v>
      </c>
      <c r="N1239" s="3">
        <v>5.5</v>
      </c>
    </row>
    <row r="1240" spans="4:14" ht="15" customHeight="1" x14ac:dyDescent="0.25">
      <c r="D1240" s="13">
        <v>45184</v>
      </c>
      <c r="H1240" s="3" t="s">
        <v>34</v>
      </c>
      <c r="I1240" s="3" t="s">
        <v>49</v>
      </c>
      <c r="J1240" s="3">
        <f t="shared" si="108"/>
        <v>3694</v>
      </c>
      <c r="K1240" s="3">
        <f t="shared" si="107"/>
        <v>3721</v>
      </c>
      <c r="L1240" s="3">
        <v>27</v>
      </c>
      <c r="M1240" s="3">
        <f t="shared" si="109"/>
        <v>23.689999999999987</v>
      </c>
      <c r="N1240" s="3">
        <v>3.2</v>
      </c>
    </row>
    <row r="1241" spans="4:14" ht="15" customHeight="1" x14ac:dyDescent="0.25">
      <c r="D1241" s="13"/>
      <c r="H1241" s="3" t="s">
        <v>49</v>
      </c>
      <c r="I1241" s="3" t="s">
        <v>34</v>
      </c>
      <c r="J1241" s="3">
        <f t="shared" si="108"/>
        <v>3721</v>
      </c>
      <c r="K1241" s="3">
        <f t="shared" si="107"/>
        <v>3748</v>
      </c>
      <c r="L1241" s="3">
        <v>27</v>
      </c>
      <c r="M1241" s="3">
        <f t="shared" si="109"/>
        <v>20.489999999999988</v>
      </c>
      <c r="N1241" s="3">
        <v>3.2</v>
      </c>
    </row>
    <row r="1242" spans="4:14" ht="15" customHeight="1" x14ac:dyDescent="0.25">
      <c r="D1242" s="13"/>
      <c r="H1242" s="3" t="s">
        <v>34</v>
      </c>
      <c r="I1242" s="3" t="s">
        <v>54</v>
      </c>
      <c r="J1242" s="3">
        <f t="shared" si="108"/>
        <v>3748</v>
      </c>
      <c r="K1242" s="3">
        <f t="shared" si="107"/>
        <v>3775</v>
      </c>
      <c r="L1242" s="3">
        <v>27</v>
      </c>
      <c r="M1242" s="3">
        <f t="shared" si="109"/>
        <v>17.289999999999988</v>
      </c>
      <c r="N1242" s="3">
        <v>3.2</v>
      </c>
    </row>
    <row r="1243" spans="4:14" ht="15" customHeight="1" x14ac:dyDescent="0.25">
      <c r="D1243" s="13"/>
      <c r="H1243" s="3" t="s">
        <v>54</v>
      </c>
      <c r="I1243" s="3" t="s">
        <v>34</v>
      </c>
      <c r="J1243" s="3">
        <f t="shared" si="108"/>
        <v>3775</v>
      </c>
      <c r="K1243" s="3">
        <f t="shared" si="107"/>
        <v>3802</v>
      </c>
      <c r="L1243" s="3">
        <v>27</v>
      </c>
      <c r="M1243" s="3">
        <f t="shared" si="109"/>
        <v>14.089999999999989</v>
      </c>
      <c r="N1243" s="3">
        <v>3.2</v>
      </c>
    </row>
    <row r="1244" spans="4:14" ht="15" customHeight="1" x14ac:dyDescent="0.25">
      <c r="D1244" s="13">
        <v>45187</v>
      </c>
      <c r="E1244">
        <v>48.82</v>
      </c>
      <c r="F1244" s="3">
        <v>54.8</v>
      </c>
      <c r="G1244" s="8">
        <f>E1244*F1244</f>
        <v>2675.3359999999998</v>
      </c>
      <c r="H1244" s="3" t="s">
        <v>34</v>
      </c>
      <c r="I1244" s="3" t="s">
        <v>32</v>
      </c>
      <c r="J1244" s="3">
        <f t="shared" si="108"/>
        <v>3802</v>
      </c>
      <c r="K1244" s="3">
        <f t="shared" si="107"/>
        <v>3827</v>
      </c>
      <c r="L1244" s="3">
        <v>25</v>
      </c>
      <c r="M1244" s="3">
        <f t="shared" si="109"/>
        <v>59.909999999999989</v>
      </c>
      <c r="N1244" s="3">
        <v>3</v>
      </c>
    </row>
    <row r="1245" spans="4:14" ht="15" customHeight="1" x14ac:dyDescent="0.25">
      <c r="D1245" s="13"/>
      <c r="G1245" s="8"/>
      <c r="H1245" s="3" t="s">
        <v>32</v>
      </c>
      <c r="I1245" s="3" t="s">
        <v>34</v>
      </c>
      <c r="J1245" s="3">
        <f t="shared" si="108"/>
        <v>3827</v>
      </c>
      <c r="K1245" s="3">
        <f t="shared" si="107"/>
        <v>3852</v>
      </c>
      <c r="L1245" s="3">
        <v>25</v>
      </c>
      <c r="M1245" s="3">
        <f t="shared" si="109"/>
        <v>56.909999999999989</v>
      </c>
      <c r="N1245" s="3">
        <v>3</v>
      </c>
    </row>
    <row r="1246" spans="4:14" ht="15" customHeight="1" x14ac:dyDescent="0.25">
      <c r="D1246" s="13">
        <v>45188</v>
      </c>
      <c r="H1246" s="3" t="s">
        <v>34</v>
      </c>
      <c r="I1246" s="3" t="s">
        <v>37</v>
      </c>
      <c r="J1246" s="3">
        <f t="shared" si="108"/>
        <v>3852</v>
      </c>
      <c r="K1246" s="3">
        <f t="shared" si="107"/>
        <v>3892</v>
      </c>
      <c r="L1246" s="3">
        <v>40</v>
      </c>
      <c r="M1246" s="3">
        <f t="shared" si="109"/>
        <v>52.109999999999992</v>
      </c>
      <c r="N1246" s="3">
        <v>4.8</v>
      </c>
    </row>
    <row r="1247" spans="4:14" ht="15" customHeight="1" x14ac:dyDescent="0.25">
      <c r="D1247" s="13"/>
      <c r="H1247" s="3" t="s">
        <v>37</v>
      </c>
      <c r="I1247" s="3" t="s">
        <v>34</v>
      </c>
      <c r="J1247" s="3">
        <f t="shared" si="108"/>
        <v>3892</v>
      </c>
      <c r="K1247" s="3">
        <f t="shared" si="107"/>
        <v>3932</v>
      </c>
      <c r="L1247" s="3">
        <v>40</v>
      </c>
      <c r="M1247" s="3">
        <f t="shared" si="109"/>
        <v>47.309999999999995</v>
      </c>
      <c r="N1247" s="3">
        <v>4.8</v>
      </c>
    </row>
    <row r="1248" spans="4:14" ht="15" customHeight="1" x14ac:dyDescent="0.25">
      <c r="D1248" s="13">
        <v>45189</v>
      </c>
      <c r="H1248" s="3" t="s">
        <v>34</v>
      </c>
      <c r="I1248" s="3" t="s">
        <v>39</v>
      </c>
      <c r="J1248" s="3">
        <f t="shared" si="108"/>
        <v>3932</v>
      </c>
      <c r="K1248" s="3">
        <f t="shared" si="107"/>
        <v>3982</v>
      </c>
      <c r="L1248" s="3">
        <v>50</v>
      </c>
      <c r="M1248" s="3">
        <f t="shared" si="109"/>
        <v>41.809999999999995</v>
      </c>
      <c r="N1248" s="3">
        <v>5.5</v>
      </c>
    </row>
    <row r="1249" spans="4:14" ht="15" customHeight="1" x14ac:dyDescent="0.25">
      <c r="D1249" s="13"/>
      <c r="H1249" s="3" t="s">
        <v>39</v>
      </c>
      <c r="I1249" s="3" t="s">
        <v>34</v>
      </c>
      <c r="J1249" s="3">
        <f t="shared" si="108"/>
        <v>3982</v>
      </c>
      <c r="K1249" s="3">
        <f t="shared" si="107"/>
        <v>4032</v>
      </c>
      <c r="L1249" s="3">
        <v>50</v>
      </c>
      <c r="M1249" s="3">
        <f t="shared" si="109"/>
        <v>36.309999999999995</v>
      </c>
      <c r="N1249" s="3">
        <v>5.5</v>
      </c>
    </row>
    <row r="1250" spans="4:14" ht="15" customHeight="1" x14ac:dyDescent="0.25">
      <c r="D1250" s="13">
        <v>45190</v>
      </c>
      <c r="H1250" s="3" t="s">
        <v>34</v>
      </c>
      <c r="I1250" s="3" t="s">
        <v>65</v>
      </c>
      <c r="J1250" s="3">
        <f t="shared" si="108"/>
        <v>4032</v>
      </c>
      <c r="K1250" s="3">
        <f t="shared" si="107"/>
        <v>4112</v>
      </c>
      <c r="L1250" s="3">
        <v>80</v>
      </c>
      <c r="M1250" s="3">
        <f t="shared" si="109"/>
        <v>27.309999999999995</v>
      </c>
      <c r="N1250" s="3">
        <v>9</v>
      </c>
    </row>
    <row r="1251" spans="4:14" ht="15" customHeight="1" x14ac:dyDescent="0.25">
      <c r="D1251" s="13"/>
      <c r="H1251" s="3" t="s">
        <v>65</v>
      </c>
      <c r="I1251" s="3" t="s">
        <v>34</v>
      </c>
      <c r="J1251" s="3">
        <f t="shared" si="108"/>
        <v>4112</v>
      </c>
      <c r="K1251" s="3">
        <f t="shared" si="107"/>
        <v>4192</v>
      </c>
      <c r="L1251" s="3">
        <v>80</v>
      </c>
      <c r="M1251" s="3">
        <f t="shared" si="109"/>
        <v>18.309999999999995</v>
      </c>
      <c r="N1251" s="3">
        <v>9</v>
      </c>
    </row>
    <row r="1252" spans="4:14" ht="15" customHeight="1" x14ac:dyDescent="0.25">
      <c r="D1252" s="13">
        <v>45191</v>
      </c>
      <c r="H1252" s="3" t="s">
        <v>34</v>
      </c>
      <c r="I1252" s="3" t="s">
        <v>54</v>
      </c>
      <c r="J1252" s="3">
        <f t="shared" si="108"/>
        <v>4192</v>
      </c>
      <c r="K1252" s="3">
        <f t="shared" si="107"/>
        <v>4219</v>
      </c>
      <c r="L1252" s="3">
        <v>27</v>
      </c>
      <c r="M1252" s="3">
        <f t="shared" si="109"/>
        <v>15.109999999999996</v>
      </c>
      <c r="N1252" s="3">
        <v>3.2</v>
      </c>
    </row>
    <row r="1253" spans="4:14" ht="15" customHeight="1" x14ac:dyDescent="0.25">
      <c r="D1253" s="13"/>
      <c r="H1253" s="3" t="s">
        <v>54</v>
      </c>
      <c r="I1253" s="3" t="s">
        <v>34</v>
      </c>
      <c r="J1253" s="3">
        <f t="shared" si="108"/>
        <v>4219</v>
      </c>
      <c r="K1253" s="3">
        <f t="shared" si="107"/>
        <v>4246</v>
      </c>
      <c r="L1253" s="3">
        <v>27</v>
      </c>
      <c r="M1253" s="3">
        <f t="shared" si="109"/>
        <v>11.909999999999997</v>
      </c>
      <c r="N1253" s="3">
        <v>3.2</v>
      </c>
    </row>
    <row r="1254" spans="4:14" ht="15" customHeight="1" x14ac:dyDescent="0.25">
      <c r="D1254" s="13">
        <v>45194</v>
      </c>
      <c r="E1254">
        <v>44.17</v>
      </c>
      <c r="F1254" s="3">
        <v>54.8</v>
      </c>
      <c r="G1254" s="8">
        <f>E1254*F1254</f>
        <v>2420.5160000000001</v>
      </c>
      <c r="H1254" s="3" t="s">
        <v>34</v>
      </c>
      <c r="I1254" s="3" t="s">
        <v>58</v>
      </c>
      <c r="J1254" s="3">
        <f t="shared" si="108"/>
        <v>4246</v>
      </c>
      <c r="K1254" s="3">
        <f t="shared" si="107"/>
        <v>4273</v>
      </c>
      <c r="L1254" s="3">
        <v>27</v>
      </c>
      <c r="M1254" s="3">
        <f t="shared" si="109"/>
        <v>52.879999999999995</v>
      </c>
      <c r="N1254" s="3">
        <v>3.2</v>
      </c>
    </row>
    <row r="1255" spans="4:14" ht="15" customHeight="1" x14ac:dyDescent="0.25">
      <c r="D1255" s="13"/>
      <c r="G1255" s="8"/>
      <c r="H1255" s="3" t="s">
        <v>58</v>
      </c>
      <c r="I1255" s="3" t="s">
        <v>34</v>
      </c>
      <c r="J1255" s="3">
        <f t="shared" si="108"/>
        <v>4273</v>
      </c>
      <c r="K1255" s="3">
        <f t="shared" si="107"/>
        <v>4300</v>
      </c>
      <c r="L1255" s="3">
        <v>27</v>
      </c>
      <c r="M1255" s="3">
        <f t="shared" si="109"/>
        <v>49.679999999999993</v>
      </c>
      <c r="N1255" s="3">
        <v>3.2</v>
      </c>
    </row>
    <row r="1256" spans="4:14" ht="15" customHeight="1" x14ac:dyDescent="0.25">
      <c r="D1256" s="13">
        <v>45195</v>
      </c>
      <c r="H1256" s="3" t="s">
        <v>34</v>
      </c>
      <c r="I1256" s="3" t="s">
        <v>54</v>
      </c>
      <c r="J1256" s="3">
        <f t="shared" si="108"/>
        <v>4300</v>
      </c>
      <c r="K1256" s="3">
        <f t="shared" si="107"/>
        <v>4327</v>
      </c>
      <c r="L1256" s="3">
        <v>27</v>
      </c>
      <c r="M1256" s="3">
        <f t="shared" si="109"/>
        <v>46.47999999999999</v>
      </c>
      <c r="N1256" s="3">
        <v>3.2</v>
      </c>
    </row>
    <row r="1257" spans="4:14" ht="15" customHeight="1" x14ac:dyDescent="0.25">
      <c r="D1257" s="13"/>
      <c r="H1257" s="3" t="s">
        <v>54</v>
      </c>
      <c r="I1257" s="3" t="s">
        <v>34</v>
      </c>
      <c r="J1257" s="3">
        <f t="shared" si="108"/>
        <v>4327</v>
      </c>
      <c r="K1257" s="3">
        <f t="shared" si="107"/>
        <v>4354</v>
      </c>
      <c r="L1257" s="3">
        <v>27</v>
      </c>
      <c r="M1257" s="3">
        <f t="shared" si="109"/>
        <v>43.279999999999987</v>
      </c>
      <c r="N1257" s="3">
        <v>3.2</v>
      </c>
    </row>
    <row r="1258" spans="4:14" ht="15" customHeight="1" x14ac:dyDescent="0.25">
      <c r="D1258" s="13">
        <v>45196</v>
      </c>
      <c r="H1258" s="3" t="s">
        <v>34</v>
      </c>
      <c r="I1258" s="3" t="s">
        <v>39</v>
      </c>
      <c r="J1258" s="3">
        <f t="shared" si="108"/>
        <v>4354</v>
      </c>
      <c r="K1258" s="3">
        <f t="shared" si="107"/>
        <v>4404</v>
      </c>
      <c r="L1258" s="3">
        <v>50</v>
      </c>
      <c r="M1258" s="3">
        <f t="shared" si="109"/>
        <v>37.779999999999987</v>
      </c>
      <c r="N1258" s="3">
        <v>5.5</v>
      </c>
    </row>
    <row r="1259" spans="4:14" ht="15" customHeight="1" x14ac:dyDescent="0.25">
      <c r="D1259" s="13"/>
      <c r="H1259" s="3" t="s">
        <v>39</v>
      </c>
      <c r="I1259" s="3" t="s">
        <v>34</v>
      </c>
      <c r="J1259" s="3">
        <f t="shared" si="108"/>
        <v>4404</v>
      </c>
      <c r="K1259" s="3">
        <f t="shared" si="107"/>
        <v>4454</v>
      </c>
      <c r="L1259" s="3">
        <v>50</v>
      </c>
      <c r="M1259" s="3">
        <f t="shared" si="109"/>
        <v>32.279999999999987</v>
      </c>
      <c r="N1259" s="3">
        <v>5.5</v>
      </c>
    </row>
    <row r="1260" spans="4:14" ht="15" customHeight="1" x14ac:dyDescent="0.25">
      <c r="D1260" s="13">
        <v>45197</v>
      </c>
      <c r="H1260" s="3" t="s">
        <v>34</v>
      </c>
      <c r="I1260" s="3" t="s">
        <v>43</v>
      </c>
      <c r="J1260" s="3">
        <f t="shared" si="108"/>
        <v>4454</v>
      </c>
      <c r="K1260" s="3">
        <f t="shared" si="107"/>
        <v>4466</v>
      </c>
      <c r="L1260" s="3">
        <v>12</v>
      </c>
      <c r="M1260" s="3">
        <f t="shared" si="109"/>
        <v>31.029999999999987</v>
      </c>
      <c r="N1260" s="3">
        <v>1.25</v>
      </c>
    </row>
    <row r="1261" spans="4:14" ht="15" customHeight="1" x14ac:dyDescent="0.25">
      <c r="D1261" s="13"/>
      <c r="H1261" s="3" t="s">
        <v>43</v>
      </c>
      <c r="I1261" s="3" t="s">
        <v>34</v>
      </c>
      <c r="J1261" s="3">
        <f t="shared" si="108"/>
        <v>4466</v>
      </c>
      <c r="K1261" s="3">
        <f t="shared" si="107"/>
        <v>4478</v>
      </c>
      <c r="L1261" s="3">
        <v>12</v>
      </c>
      <c r="M1261" s="3">
        <f t="shared" si="109"/>
        <v>29.779999999999987</v>
      </c>
      <c r="N1261" s="3">
        <v>1.25</v>
      </c>
    </row>
    <row r="1262" spans="4:14" ht="15" customHeight="1" x14ac:dyDescent="0.25">
      <c r="D1262" s="13">
        <v>45198</v>
      </c>
      <c r="H1262" s="3" t="s">
        <v>34</v>
      </c>
      <c r="I1262" s="3" t="s">
        <v>37</v>
      </c>
      <c r="J1262" s="3">
        <f t="shared" si="108"/>
        <v>4478</v>
      </c>
      <c r="K1262" s="3">
        <f t="shared" si="107"/>
        <v>4518</v>
      </c>
      <c r="L1262" s="3">
        <v>40</v>
      </c>
      <c r="M1262" s="3">
        <f t="shared" si="109"/>
        <v>24.979999999999986</v>
      </c>
      <c r="N1262" s="3">
        <v>4.8</v>
      </c>
    </row>
    <row r="1263" spans="4:14" ht="15" customHeight="1" x14ac:dyDescent="0.25">
      <c r="H1263" s="3" t="s">
        <v>37</v>
      </c>
      <c r="I1263" s="3" t="s">
        <v>34</v>
      </c>
      <c r="J1263" s="3">
        <f t="shared" si="108"/>
        <v>4518</v>
      </c>
      <c r="K1263" s="3">
        <f t="shared" si="107"/>
        <v>4558</v>
      </c>
      <c r="L1263" s="3">
        <v>40</v>
      </c>
      <c r="M1263" s="3">
        <f t="shared" si="109"/>
        <v>20.179999999999986</v>
      </c>
      <c r="N1263" s="3">
        <v>4.8</v>
      </c>
    </row>
    <row r="1264" spans="4:14" ht="15" customHeight="1" x14ac:dyDescent="0.25">
      <c r="D1264" s="13"/>
      <c r="H1264" s="3" t="s">
        <v>34</v>
      </c>
      <c r="I1264" s="3" t="s">
        <v>65</v>
      </c>
      <c r="J1264" s="3">
        <f t="shared" si="108"/>
        <v>4558</v>
      </c>
      <c r="K1264" s="3">
        <f t="shared" si="107"/>
        <v>4638</v>
      </c>
      <c r="L1264" s="3">
        <v>80</v>
      </c>
      <c r="M1264" s="3">
        <f t="shared" si="109"/>
        <v>11.179999999999986</v>
      </c>
      <c r="N1264" s="3">
        <v>9</v>
      </c>
    </row>
    <row r="1265" spans="4:14" ht="15" customHeight="1" x14ac:dyDescent="0.25">
      <c r="D1265" s="13"/>
      <c r="H1265" s="3" t="s">
        <v>65</v>
      </c>
      <c r="I1265" s="3" t="s">
        <v>34</v>
      </c>
      <c r="J1265" s="3">
        <f t="shared" si="108"/>
        <v>4638</v>
      </c>
      <c r="K1265" s="3">
        <f t="shared" si="107"/>
        <v>4718</v>
      </c>
      <c r="L1265" s="3">
        <v>80</v>
      </c>
      <c r="M1265" s="3">
        <f t="shared" si="109"/>
        <v>2.1799999999999855</v>
      </c>
      <c r="N1265" s="3">
        <v>9</v>
      </c>
    </row>
    <row r="1267" spans="4:14" ht="15" customHeight="1" x14ac:dyDescent="0.25">
      <c r="D1267" s="2" t="s">
        <v>70</v>
      </c>
      <c r="E1267" s="2"/>
      <c r="F1267" s="2"/>
      <c r="G1267" s="2"/>
    </row>
    <row r="1268" spans="4:14" ht="15" customHeight="1" x14ac:dyDescent="0.25">
      <c r="D1268" s="13">
        <v>45201</v>
      </c>
    </row>
    <row r="1269" spans="4:14" ht="15" customHeight="1" x14ac:dyDescent="0.25">
      <c r="D1269" s="13">
        <v>45202</v>
      </c>
    </row>
    <row r="1270" spans="4:14" ht="15" customHeight="1" x14ac:dyDescent="0.25">
      <c r="D1270" s="13">
        <v>45203</v>
      </c>
    </row>
    <row r="1271" spans="4:14" ht="15" customHeight="1" x14ac:dyDescent="0.25">
      <c r="D1271" s="13">
        <v>45204</v>
      </c>
    </row>
    <row r="1272" spans="4:14" ht="15" customHeight="1" x14ac:dyDescent="0.25">
      <c r="D1272" s="13">
        <v>45205</v>
      </c>
    </row>
    <row r="1273" spans="4:14" ht="15" customHeight="1" x14ac:dyDescent="0.25">
      <c r="D1273" s="13">
        <v>45208</v>
      </c>
    </row>
    <row r="1274" spans="4:14" ht="15" customHeight="1" x14ac:dyDescent="0.25">
      <c r="D1274" s="13">
        <v>45209</v>
      </c>
      <c r="E1274">
        <v>47.9</v>
      </c>
      <c r="F1274" s="3">
        <v>55.05</v>
      </c>
      <c r="G1274" s="8">
        <f>E1274*F1274</f>
        <v>2636.895</v>
      </c>
      <c r="H1274" s="3" t="s">
        <v>34</v>
      </c>
      <c r="I1274" s="3" t="s">
        <v>54</v>
      </c>
      <c r="J1274" s="3">
        <f>K1265</f>
        <v>4718</v>
      </c>
      <c r="K1274" s="3">
        <f t="shared" ref="K1274:K1305" si="110">J1274+L1274</f>
        <v>4745</v>
      </c>
      <c r="L1274" s="3">
        <v>27</v>
      </c>
      <c r="M1274" s="3">
        <f>(E1274+M1265)-N1274</f>
        <v>46.879999999999981</v>
      </c>
      <c r="N1274" s="3">
        <v>3.2</v>
      </c>
    </row>
    <row r="1275" spans="4:14" ht="15" customHeight="1" x14ac:dyDescent="0.25">
      <c r="D1275" s="13"/>
      <c r="G1275" s="8"/>
      <c r="H1275" s="3" t="s">
        <v>54</v>
      </c>
      <c r="I1275" s="3" t="s">
        <v>34</v>
      </c>
      <c r="J1275" s="3">
        <f t="shared" ref="J1275:J1305" si="111">K1274</f>
        <v>4745</v>
      </c>
      <c r="K1275" s="3">
        <f t="shared" si="110"/>
        <v>4772</v>
      </c>
      <c r="L1275" s="3">
        <v>27</v>
      </c>
      <c r="M1275" s="3">
        <f t="shared" ref="M1275:M1305" si="112">(E1275+M1274)-N1275</f>
        <v>43.679999999999978</v>
      </c>
      <c r="N1275" s="3">
        <v>3.2</v>
      </c>
    </row>
    <row r="1276" spans="4:14" ht="15" customHeight="1" x14ac:dyDescent="0.25">
      <c r="D1276" s="13">
        <v>45210</v>
      </c>
      <c r="H1276" s="3" t="s">
        <v>34</v>
      </c>
      <c r="I1276" s="3" t="s">
        <v>43</v>
      </c>
      <c r="J1276" s="3">
        <f t="shared" si="111"/>
        <v>4772</v>
      </c>
      <c r="K1276" s="3">
        <f t="shared" si="110"/>
        <v>4784</v>
      </c>
      <c r="L1276" s="3">
        <v>12</v>
      </c>
      <c r="M1276" s="3">
        <f t="shared" si="112"/>
        <v>42.429999999999978</v>
      </c>
      <c r="N1276" s="3">
        <v>1.25</v>
      </c>
    </row>
    <row r="1277" spans="4:14" ht="15" customHeight="1" x14ac:dyDescent="0.25">
      <c r="D1277" s="13"/>
      <c r="H1277" s="3" t="s">
        <v>43</v>
      </c>
      <c r="I1277" s="3" t="s">
        <v>34</v>
      </c>
      <c r="J1277" s="3">
        <f t="shared" si="111"/>
        <v>4784</v>
      </c>
      <c r="K1277" s="3">
        <f t="shared" si="110"/>
        <v>4796</v>
      </c>
      <c r="L1277" s="3">
        <v>12</v>
      </c>
      <c r="M1277" s="3">
        <f t="shared" si="112"/>
        <v>41.179999999999978</v>
      </c>
      <c r="N1277" s="3">
        <v>1.25</v>
      </c>
    </row>
    <row r="1278" spans="4:14" ht="15" customHeight="1" x14ac:dyDescent="0.25">
      <c r="D1278" s="13">
        <v>45211</v>
      </c>
      <c r="H1278" s="3" t="s">
        <v>34</v>
      </c>
      <c r="I1278" s="3" t="s">
        <v>39</v>
      </c>
      <c r="J1278" s="3">
        <f t="shared" si="111"/>
        <v>4796</v>
      </c>
      <c r="K1278" s="3">
        <f t="shared" si="110"/>
        <v>4846</v>
      </c>
      <c r="L1278" s="3">
        <v>50</v>
      </c>
      <c r="M1278" s="3">
        <f t="shared" si="112"/>
        <v>35.679999999999978</v>
      </c>
      <c r="N1278" s="3">
        <v>5.5</v>
      </c>
    </row>
    <row r="1279" spans="4:14" ht="15" customHeight="1" x14ac:dyDescent="0.25">
      <c r="D1279" s="13"/>
      <c r="H1279" s="3" t="s">
        <v>39</v>
      </c>
      <c r="I1279" s="3" t="s">
        <v>34</v>
      </c>
      <c r="J1279" s="3">
        <f t="shared" si="111"/>
        <v>4846</v>
      </c>
      <c r="K1279" s="3">
        <f t="shared" si="110"/>
        <v>4896</v>
      </c>
      <c r="L1279" s="3">
        <v>50</v>
      </c>
      <c r="M1279" s="3">
        <f t="shared" si="112"/>
        <v>30.179999999999978</v>
      </c>
      <c r="N1279" s="3">
        <v>5.5</v>
      </c>
    </row>
    <row r="1280" spans="4:14" ht="15" customHeight="1" x14ac:dyDescent="0.25">
      <c r="D1280" s="13">
        <v>45212</v>
      </c>
      <c r="H1280" s="3" t="s">
        <v>34</v>
      </c>
      <c r="I1280" s="3" t="s">
        <v>65</v>
      </c>
      <c r="J1280" s="3">
        <f t="shared" si="111"/>
        <v>4896</v>
      </c>
      <c r="K1280" s="3">
        <f t="shared" si="110"/>
        <v>4976</v>
      </c>
      <c r="L1280" s="3">
        <v>80</v>
      </c>
      <c r="M1280" s="3">
        <f t="shared" si="112"/>
        <v>21.179999999999978</v>
      </c>
      <c r="N1280" s="3">
        <v>9</v>
      </c>
    </row>
    <row r="1281" spans="4:14" ht="15" customHeight="1" x14ac:dyDescent="0.25">
      <c r="D1281" s="13"/>
      <c r="H1281" s="3" t="s">
        <v>65</v>
      </c>
      <c r="I1281" s="3" t="s">
        <v>34</v>
      </c>
      <c r="J1281" s="3">
        <f t="shared" si="111"/>
        <v>4976</v>
      </c>
      <c r="K1281" s="3">
        <f t="shared" si="110"/>
        <v>5056</v>
      </c>
      <c r="L1281" s="3">
        <v>80</v>
      </c>
      <c r="M1281" s="3">
        <f t="shared" si="112"/>
        <v>12.179999999999978</v>
      </c>
      <c r="N1281" s="3">
        <v>9</v>
      </c>
    </row>
    <row r="1282" spans="4:14" ht="15" customHeight="1" x14ac:dyDescent="0.25">
      <c r="D1282" s="13">
        <v>45215</v>
      </c>
      <c r="E1282">
        <v>51.06</v>
      </c>
      <c r="F1282" s="3">
        <v>54.75</v>
      </c>
      <c r="G1282" s="8">
        <f>E1282*F1282</f>
        <v>2795.5350000000003</v>
      </c>
      <c r="H1282" s="3" t="s">
        <v>34</v>
      </c>
      <c r="I1282" s="3" t="s">
        <v>37</v>
      </c>
      <c r="J1282" s="3">
        <f t="shared" si="111"/>
        <v>5056</v>
      </c>
      <c r="K1282" s="3">
        <f t="shared" si="110"/>
        <v>5096</v>
      </c>
      <c r="L1282" s="3">
        <v>40</v>
      </c>
      <c r="M1282" s="3">
        <f t="shared" si="112"/>
        <v>58.439999999999984</v>
      </c>
      <c r="N1282" s="3">
        <v>4.8</v>
      </c>
    </row>
    <row r="1283" spans="4:14" ht="15" customHeight="1" x14ac:dyDescent="0.25">
      <c r="D1283" s="13"/>
      <c r="G1283" s="8"/>
      <c r="H1283" s="3" t="s">
        <v>37</v>
      </c>
      <c r="I1283" s="3" t="s">
        <v>34</v>
      </c>
      <c r="J1283" s="3">
        <f t="shared" si="111"/>
        <v>5096</v>
      </c>
      <c r="K1283" s="3">
        <f t="shared" si="110"/>
        <v>5136</v>
      </c>
      <c r="L1283" s="3">
        <v>40</v>
      </c>
      <c r="M1283" s="3">
        <f t="shared" si="112"/>
        <v>53.639999999999986</v>
      </c>
      <c r="N1283" s="3">
        <v>4.8</v>
      </c>
    </row>
    <row r="1284" spans="4:14" ht="15" customHeight="1" x14ac:dyDescent="0.25">
      <c r="D1284" s="13">
        <v>45216</v>
      </c>
      <c r="H1284" s="3" t="s">
        <v>34</v>
      </c>
      <c r="I1284" s="3" t="s">
        <v>58</v>
      </c>
      <c r="J1284" s="3">
        <f t="shared" si="111"/>
        <v>5136</v>
      </c>
      <c r="K1284" s="3">
        <f t="shared" si="110"/>
        <v>5163</v>
      </c>
      <c r="L1284" s="3">
        <v>27</v>
      </c>
      <c r="M1284" s="3">
        <f t="shared" si="112"/>
        <v>50.439999999999984</v>
      </c>
      <c r="N1284" s="3">
        <v>3.2</v>
      </c>
    </row>
    <row r="1285" spans="4:14" ht="15" customHeight="1" x14ac:dyDescent="0.25">
      <c r="D1285" s="13"/>
      <c r="H1285" s="3" t="s">
        <v>58</v>
      </c>
      <c r="I1285" s="3" t="s">
        <v>34</v>
      </c>
      <c r="J1285" s="3">
        <f t="shared" si="111"/>
        <v>5163</v>
      </c>
      <c r="K1285" s="3">
        <f t="shared" si="110"/>
        <v>5190</v>
      </c>
      <c r="L1285" s="3">
        <v>27</v>
      </c>
      <c r="M1285" s="3">
        <f t="shared" si="112"/>
        <v>47.239999999999981</v>
      </c>
      <c r="N1285" s="3">
        <v>3.2</v>
      </c>
    </row>
    <row r="1286" spans="4:14" ht="15" customHeight="1" x14ac:dyDescent="0.25">
      <c r="D1286" s="13">
        <v>45217</v>
      </c>
      <c r="H1286" s="3" t="s">
        <v>34</v>
      </c>
      <c r="I1286" s="3" t="s">
        <v>49</v>
      </c>
      <c r="J1286" s="3">
        <f t="shared" si="111"/>
        <v>5190</v>
      </c>
      <c r="K1286" s="3">
        <f t="shared" si="110"/>
        <v>5217</v>
      </c>
      <c r="L1286" s="3">
        <v>27</v>
      </c>
      <c r="M1286" s="3">
        <f t="shared" si="112"/>
        <v>44.039999999999978</v>
      </c>
      <c r="N1286" s="3">
        <v>3.2</v>
      </c>
    </row>
    <row r="1287" spans="4:14" ht="15" customHeight="1" x14ac:dyDescent="0.25">
      <c r="D1287" s="13"/>
      <c r="H1287" s="3" t="s">
        <v>49</v>
      </c>
      <c r="I1287" s="3" t="s">
        <v>34</v>
      </c>
      <c r="J1287" s="3">
        <f t="shared" si="111"/>
        <v>5217</v>
      </c>
      <c r="K1287" s="3">
        <f t="shared" si="110"/>
        <v>5244</v>
      </c>
      <c r="L1287" s="3">
        <v>27</v>
      </c>
      <c r="M1287" s="3">
        <f t="shared" si="112"/>
        <v>40.839999999999975</v>
      </c>
      <c r="N1287" s="3">
        <v>3.2</v>
      </c>
    </row>
    <row r="1288" spans="4:14" ht="15" customHeight="1" x14ac:dyDescent="0.25">
      <c r="D1288" s="13">
        <v>45218</v>
      </c>
      <c r="H1288" s="3" t="s">
        <v>34</v>
      </c>
      <c r="I1288" s="3" t="s">
        <v>35</v>
      </c>
      <c r="J1288" s="3">
        <f t="shared" si="111"/>
        <v>5244</v>
      </c>
      <c r="K1288" s="3">
        <f t="shared" si="110"/>
        <v>5256</v>
      </c>
      <c r="L1288" s="3">
        <v>12</v>
      </c>
      <c r="M1288" s="3">
        <f t="shared" si="112"/>
        <v>39.589999999999975</v>
      </c>
      <c r="N1288" s="3">
        <v>1.25</v>
      </c>
    </row>
    <row r="1289" spans="4:14" ht="15" customHeight="1" x14ac:dyDescent="0.25">
      <c r="D1289" s="13"/>
      <c r="H1289" s="3" t="s">
        <v>35</v>
      </c>
      <c r="I1289" s="3" t="s">
        <v>34</v>
      </c>
      <c r="J1289" s="3">
        <f t="shared" si="111"/>
        <v>5256</v>
      </c>
      <c r="K1289" s="3">
        <f t="shared" si="110"/>
        <v>5268</v>
      </c>
      <c r="L1289" s="3">
        <v>12</v>
      </c>
      <c r="M1289" s="3">
        <f t="shared" si="112"/>
        <v>38.339999999999975</v>
      </c>
      <c r="N1289" s="3">
        <v>1.25</v>
      </c>
    </row>
    <row r="1290" spans="4:14" ht="15" customHeight="1" x14ac:dyDescent="0.25">
      <c r="D1290" s="13">
        <v>45219</v>
      </c>
      <c r="H1290" s="3" t="s">
        <v>34</v>
      </c>
      <c r="I1290" s="3" t="s">
        <v>54</v>
      </c>
      <c r="J1290" s="3">
        <f t="shared" si="111"/>
        <v>5268</v>
      </c>
      <c r="K1290" s="3">
        <f t="shared" si="110"/>
        <v>5295</v>
      </c>
      <c r="L1290" s="3">
        <v>27</v>
      </c>
      <c r="M1290" s="3">
        <f t="shared" si="112"/>
        <v>35.139999999999972</v>
      </c>
      <c r="N1290" s="3">
        <v>3.2</v>
      </c>
    </row>
    <row r="1291" spans="4:14" ht="15" customHeight="1" x14ac:dyDescent="0.25">
      <c r="D1291" s="13"/>
      <c r="H1291" s="3" t="s">
        <v>54</v>
      </c>
      <c r="I1291" s="3" t="s">
        <v>34</v>
      </c>
      <c r="J1291" s="3">
        <f t="shared" si="111"/>
        <v>5295</v>
      </c>
      <c r="K1291" s="3">
        <f t="shared" si="110"/>
        <v>5322</v>
      </c>
      <c r="L1291" s="3">
        <v>27</v>
      </c>
      <c r="M1291" s="3">
        <f t="shared" si="112"/>
        <v>31.939999999999973</v>
      </c>
      <c r="N1291" s="3">
        <v>3.2</v>
      </c>
    </row>
    <row r="1292" spans="4:14" ht="15" customHeight="1" x14ac:dyDescent="0.25">
      <c r="D1292" s="13">
        <v>45222</v>
      </c>
      <c r="H1292" s="3" t="s">
        <v>34</v>
      </c>
      <c r="I1292" s="3" t="s">
        <v>32</v>
      </c>
      <c r="J1292" s="3">
        <f t="shared" si="111"/>
        <v>5322</v>
      </c>
      <c r="K1292" s="3">
        <f t="shared" si="110"/>
        <v>5347</v>
      </c>
      <c r="L1292" s="3">
        <v>25</v>
      </c>
      <c r="M1292" s="3">
        <f t="shared" si="112"/>
        <v>28.939999999999973</v>
      </c>
      <c r="N1292" s="3">
        <v>3</v>
      </c>
    </row>
    <row r="1293" spans="4:14" ht="15" customHeight="1" x14ac:dyDescent="0.25">
      <c r="D1293" s="13"/>
      <c r="H1293" s="3" t="s">
        <v>32</v>
      </c>
      <c r="I1293" s="3" t="s">
        <v>34</v>
      </c>
      <c r="J1293" s="3">
        <f t="shared" si="111"/>
        <v>5347</v>
      </c>
      <c r="K1293" s="3">
        <f t="shared" si="110"/>
        <v>5372</v>
      </c>
      <c r="L1293" s="3">
        <v>25</v>
      </c>
      <c r="M1293" s="3">
        <f t="shared" si="112"/>
        <v>25.939999999999973</v>
      </c>
      <c r="N1293" s="3">
        <v>3</v>
      </c>
    </row>
    <row r="1294" spans="4:14" ht="15" customHeight="1" x14ac:dyDescent="0.25">
      <c r="D1294" s="13">
        <v>45223</v>
      </c>
      <c r="H1294" s="3" t="s">
        <v>34</v>
      </c>
      <c r="I1294" s="3" t="s">
        <v>43</v>
      </c>
      <c r="J1294" s="3">
        <f t="shared" si="111"/>
        <v>5372</v>
      </c>
      <c r="K1294" s="3">
        <f t="shared" si="110"/>
        <v>5384</v>
      </c>
      <c r="L1294" s="3">
        <v>12</v>
      </c>
      <c r="M1294" s="3">
        <f t="shared" si="112"/>
        <v>24.689999999999973</v>
      </c>
      <c r="N1294" s="3">
        <v>1.25</v>
      </c>
    </row>
    <row r="1295" spans="4:14" ht="15" customHeight="1" x14ac:dyDescent="0.25">
      <c r="D1295" s="13"/>
      <c r="H1295" s="3" t="s">
        <v>43</v>
      </c>
      <c r="I1295" s="3" t="s">
        <v>34</v>
      </c>
      <c r="J1295" s="3">
        <f t="shared" si="111"/>
        <v>5384</v>
      </c>
      <c r="K1295" s="3">
        <f t="shared" si="110"/>
        <v>5396</v>
      </c>
      <c r="L1295" s="3">
        <v>12</v>
      </c>
      <c r="M1295" s="3">
        <f t="shared" si="112"/>
        <v>23.439999999999973</v>
      </c>
      <c r="N1295" s="3">
        <v>1.25</v>
      </c>
    </row>
    <row r="1296" spans="4:14" ht="15" customHeight="1" x14ac:dyDescent="0.25">
      <c r="D1296" s="13">
        <v>45224</v>
      </c>
      <c r="H1296" s="3" t="s">
        <v>34</v>
      </c>
      <c r="I1296" s="3" t="s">
        <v>65</v>
      </c>
      <c r="J1296" s="3">
        <f t="shared" si="111"/>
        <v>5396</v>
      </c>
      <c r="K1296" s="3">
        <f t="shared" si="110"/>
        <v>5476</v>
      </c>
      <c r="L1296" s="3">
        <v>80</v>
      </c>
      <c r="M1296" s="3">
        <f t="shared" si="112"/>
        <v>14.439999999999973</v>
      </c>
      <c r="N1296" s="3">
        <v>9</v>
      </c>
    </row>
    <row r="1297" spans="4:14" ht="15" customHeight="1" x14ac:dyDescent="0.25">
      <c r="D1297" s="13"/>
      <c r="H1297" s="3" t="s">
        <v>65</v>
      </c>
      <c r="I1297" s="3" t="s">
        <v>34</v>
      </c>
      <c r="J1297" s="3">
        <f t="shared" si="111"/>
        <v>5476</v>
      </c>
      <c r="K1297" s="3">
        <f t="shared" si="110"/>
        <v>5556</v>
      </c>
      <c r="L1297" s="3">
        <v>80</v>
      </c>
      <c r="M1297" s="3">
        <f t="shared" si="112"/>
        <v>5.4399999999999729</v>
      </c>
      <c r="N1297" s="3">
        <v>9</v>
      </c>
    </row>
    <row r="1298" spans="4:14" ht="15" customHeight="1" x14ac:dyDescent="0.25">
      <c r="D1298" s="13">
        <v>45225</v>
      </c>
      <c r="H1298" s="3" t="s">
        <v>34</v>
      </c>
      <c r="I1298" s="3" t="s">
        <v>35</v>
      </c>
      <c r="J1298" s="3">
        <f t="shared" si="111"/>
        <v>5556</v>
      </c>
      <c r="K1298" s="3">
        <f t="shared" si="110"/>
        <v>5568</v>
      </c>
      <c r="L1298" s="3">
        <v>12</v>
      </c>
      <c r="M1298" s="3">
        <f t="shared" si="112"/>
        <v>4.1899999999999729</v>
      </c>
      <c r="N1298" s="3">
        <v>1.25</v>
      </c>
    </row>
    <row r="1299" spans="4:14" ht="15" customHeight="1" x14ac:dyDescent="0.25">
      <c r="D1299" s="13"/>
      <c r="H1299" s="3" t="s">
        <v>35</v>
      </c>
      <c r="I1299" s="3" t="s">
        <v>34</v>
      </c>
      <c r="J1299" s="3">
        <f t="shared" si="111"/>
        <v>5568</v>
      </c>
      <c r="K1299" s="3">
        <f t="shared" si="110"/>
        <v>5580</v>
      </c>
      <c r="L1299" s="3">
        <v>12</v>
      </c>
      <c r="M1299" s="3">
        <f t="shared" si="112"/>
        <v>2.9399999999999729</v>
      </c>
      <c r="N1299" s="3">
        <v>1.25</v>
      </c>
    </row>
    <row r="1300" spans="4:14" ht="15" customHeight="1" x14ac:dyDescent="0.25">
      <c r="D1300" s="13">
        <v>45226</v>
      </c>
      <c r="E1300">
        <v>41.13</v>
      </c>
      <c r="F1300" s="3">
        <v>54.75</v>
      </c>
      <c r="G1300" s="8">
        <f>E1300*F1300</f>
        <v>2251.8675000000003</v>
      </c>
      <c r="H1300" s="3" t="s">
        <v>34</v>
      </c>
      <c r="I1300" s="3" t="s">
        <v>59</v>
      </c>
      <c r="J1300" s="3">
        <f t="shared" si="111"/>
        <v>5580</v>
      </c>
      <c r="K1300" s="3">
        <f t="shared" si="110"/>
        <v>5607</v>
      </c>
      <c r="L1300" s="3">
        <v>27</v>
      </c>
      <c r="M1300" s="3">
        <f t="shared" si="112"/>
        <v>40.869999999999976</v>
      </c>
      <c r="N1300" s="3">
        <v>3.2</v>
      </c>
    </row>
    <row r="1301" spans="4:14" ht="15" customHeight="1" x14ac:dyDescent="0.25">
      <c r="D1301" s="13"/>
      <c r="G1301" s="8"/>
      <c r="H1301" s="3" t="s">
        <v>59</v>
      </c>
      <c r="I1301" s="3" t="s">
        <v>34</v>
      </c>
      <c r="J1301" s="3">
        <f t="shared" si="111"/>
        <v>5607</v>
      </c>
      <c r="K1301" s="3">
        <f t="shared" si="110"/>
        <v>5634</v>
      </c>
      <c r="L1301" s="3">
        <v>27</v>
      </c>
      <c r="M1301" s="3">
        <f t="shared" si="112"/>
        <v>37.669999999999973</v>
      </c>
      <c r="N1301" s="3">
        <v>3.2</v>
      </c>
    </row>
    <row r="1302" spans="4:14" ht="15" customHeight="1" x14ac:dyDescent="0.25">
      <c r="D1302" s="13">
        <v>45229</v>
      </c>
      <c r="H1302" s="3" t="s">
        <v>34</v>
      </c>
      <c r="I1302" s="3" t="s">
        <v>49</v>
      </c>
      <c r="J1302" s="3">
        <f t="shared" si="111"/>
        <v>5634</v>
      </c>
      <c r="K1302" s="3">
        <f t="shared" si="110"/>
        <v>5661</v>
      </c>
      <c r="L1302" s="3">
        <v>27</v>
      </c>
      <c r="M1302" s="3">
        <f t="shared" si="112"/>
        <v>34.46999999999997</v>
      </c>
      <c r="N1302" s="3">
        <v>3.2</v>
      </c>
    </row>
    <row r="1303" spans="4:14" ht="15" customHeight="1" x14ac:dyDescent="0.25">
      <c r="D1303" s="13"/>
      <c r="H1303" s="3" t="s">
        <v>49</v>
      </c>
      <c r="I1303" s="3" t="s">
        <v>34</v>
      </c>
      <c r="J1303" s="3">
        <f t="shared" si="111"/>
        <v>5661</v>
      </c>
      <c r="K1303" s="3">
        <f t="shared" si="110"/>
        <v>5688</v>
      </c>
      <c r="L1303" s="3">
        <v>27</v>
      </c>
      <c r="M1303" s="3">
        <f t="shared" si="112"/>
        <v>31.269999999999971</v>
      </c>
      <c r="N1303" s="3">
        <v>3.2</v>
      </c>
    </row>
    <row r="1304" spans="4:14" ht="15" customHeight="1" x14ac:dyDescent="0.25">
      <c r="D1304" s="13">
        <v>45230</v>
      </c>
      <c r="H1304" s="3" t="s">
        <v>34</v>
      </c>
      <c r="I1304" s="3" t="s">
        <v>58</v>
      </c>
      <c r="J1304" s="3">
        <f t="shared" si="111"/>
        <v>5688</v>
      </c>
      <c r="K1304" s="3">
        <f t="shared" si="110"/>
        <v>5715</v>
      </c>
      <c r="L1304" s="3">
        <v>27</v>
      </c>
      <c r="M1304" s="3">
        <f t="shared" si="112"/>
        <v>28.069999999999972</v>
      </c>
      <c r="N1304" s="3">
        <v>3.2</v>
      </c>
    </row>
    <row r="1305" spans="4:14" ht="15" customHeight="1" x14ac:dyDescent="0.25">
      <c r="D1305" s="13"/>
      <c r="H1305" s="3" t="s">
        <v>58</v>
      </c>
      <c r="I1305" s="3" t="s">
        <v>34</v>
      </c>
      <c r="J1305" s="3">
        <f t="shared" si="111"/>
        <v>5715</v>
      </c>
      <c r="K1305" s="3">
        <f t="shared" si="110"/>
        <v>5742</v>
      </c>
      <c r="L1305" s="3">
        <v>27</v>
      </c>
      <c r="M1305" s="3">
        <f t="shared" si="112"/>
        <v>24.869999999999973</v>
      </c>
      <c r="N1305" s="3">
        <v>3.2</v>
      </c>
    </row>
    <row r="1307" spans="4:14" ht="15" customHeight="1" x14ac:dyDescent="0.25">
      <c r="D1307" s="2" t="s">
        <v>71</v>
      </c>
      <c r="E1307" s="2"/>
      <c r="F1307" s="2"/>
      <c r="G1307" s="2"/>
    </row>
    <row r="1308" spans="4:14" ht="15" customHeight="1" x14ac:dyDescent="0.25">
      <c r="D1308" s="13">
        <v>45231</v>
      </c>
      <c r="H1308" s="3" t="s">
        <v>34</v>
      </c>
      <c r="I1308" s="3" t="s">
        <v>54</v>
      </c>
      <c r="J1308" s="3">
        <f>K1305</f>
        <v>5742</v>
      </c>
      <c r="K1308" s="3">
        <f t="shared" ref="K1308:K1353" si="113">J1308+L1308</f>
        <v>5769</v>
      </c>
      <c r="L1308" s="3">
        <v>27</v>
      </c>
      <c r="M1308" s="3">
        <f>(E1308+M1305)-N1308</f>
        <v>21.669999999999973</v>
      </c>
      <c r="N1308" s="3">
        <v>3.2</v>
      </c>
    </row>
    <row r="1309" spans="4:14" ht="15" customHeight="1" x14ac:dyDescent="0.25">
      <c r="D1309" s="13"/>
      <c r="H1309" s="3" t="s">
        <v>54</v>
      </c>
      <c r="I1309" s="3" t="s">
        <v>34</v>
      </c>
      <c r="J1309" s="3">
        <f t="shared" ref="J1309:J1353" si="114">K1308</f>
        <v>5769</v>
      </c>
      <c r="K1309" s="3">
        <f t="shared" si="113"/>
        <v>5796</v>
      </c>
      <c r="L1309" s="3">
        <v>27</v>
      </c>
      <c r="M1309" s="3">
        <f t="shared" ref="M1309:M1353" si="115">(E1309+M1308)-N1309</f>
        <v>18.469999999999974</v>
      </c>
      <c r="N1309" s="3">
        <v>3.2</v>
      </c>
    </row>
    <row r="1310" spans="4:14" ht="15" customHeight="1" x14ac:dyDescent="0.25">
      <c r="D1310" s="13">
        <v>45232</v>
      </c>
      <c r="H1310" s="3" t="s">
        <v>34</v>
      </c>
      <c r="I1310" s="3" t="s">
        <v>43</v>
      </c>
      <c r="J1310" s="3">
        <f t="shared" si="114"/>
        <v>5796</v>
      </c>
      <c r="K1310" s="3">
        <f t="shared" si="113"/>
        <v>5808</v>
      </c>
      <c r="L1310" s="3">
        <v>12</v>
      </c>
      <c r="M1310" s="3">
        <f t="shared" si="115"/>
        <v>17.219999999999974</v>
      </c>
      <c r="N1310" s="3">
        <v>1.25</v>
      </c>
    </row>
    <row r="1311" spans="4:14" ht="15" customHeight="1" x14ac:dyDescent="0.25">
      <c r="D1311" s="13"/>
      <c r="H1311" s="3" t="s">
        <v>43</v>
      </c>
      <c r="I1311" s="3" t="s">
        <v>34</v>
      </c>
      <c r="J1311" s="3">
        <f t="shared" si="114"/>
        <v>5808</v>
      </c>
      <c r="K1311" s="3">
        <f t="shared" si="113"/>
        <v>5820</v>
      </c>
      <c r="L1311" s="3">
        <v>12</v>
      </c>
      <c r="M1311" s="3">
        <f t="shared" si="115"/>
        <v>15.969999999999974</v>
      </c>
      <c r="N1311" s="3">
        <v>1.25</v>
      </c>
    </row>
    <row r="1312" spans="4:14" ht="15" customHeight="1" x14ac:dyDescent="0.25">
      <c r="D1312" s="13">
        <v>45233</v>
      </c>
      <c r="H1312" s="3" t="s">
        <v>34</v>
      </c>
      <c r="I1312" s="3" t="s">
        <v>49</v>
      </c>
      <c r="J1312" s="3">
        <f t="shared" si="114"/>
        <v>5820</v>
      </c>
      <c r="K1312" s="3">
        <f t="shared" si="113"/>
        <v>5847</v>
      </c>
      <c r="L1312" s="3">
        <v>27</v>
      </c>
      <c r="M1312" s="3">
        <f t="shared" si="115"/>
        <v>12.769999999999975</v>
      </c>
      <c r="N1312" s="3">
        <v>3.2</v>
      </c>
    </row>
    <row r="1313" spans="4:14" ht="15" customHeight="1" x14ac:dyDescent="0.25">
      <c r="D1313" s="13"/>
      <c r="H1313" s="3" t="s">
        <v>49</v>
      </c>
      <c r="I1313" s="3" t="s">
        <v>34</v>
      </c>
      <c r="J1313" s="3">
        <f t="shared" si="114"/>
        <v>5847</v>
      </c>
      <c r="K1313" s="3">
        <f t="shared" si="113"/>
        <v>5874</v>
      </c>
      <c r="L1313" s="3">
        <v>27</v>
      </c>
      <c r="M1313" s="3">
        <f t="shared" si="115"/>
        <v>9.5699999999999754</v>
      </c>
      <c r="N1313" s="3">
        <v>3.2</v>
      </c>
    </row>
    <row r="1314" spans="4:14" ht="15" customHeight="1" x14ac:dyDescent="0.25">
      <c r="D1314" s="13">
        <v>45237</v>
      </c>
      <c r="E1314">
        <v>49.9</v>
      </c>
      <c r="F1314" s="3">
        <v>54.75</v>
      </c>
      <c r="G1314" s="8">
        <f>E1314*F1314</f>
        <v>2732.0250000000001</v>
      </c>
      <c r="H1314" s="3" t="s">
        <v>34</v>
      </c>
      <c r="I1314" s="3" t="s">
        <v>61</v>
      </c>
      <c r="J1314" s="3">
        <f t="shared" si="114"/>
        <v>5874</v>
      </c>
      <c r="K1314" s="3">
        <f t="shared" si="113"/>
        <v>5880</v>
      </c>
      <c r="L1314" s="3">
        <v>6</v>
      </c>
      <c r="M1314" s="3">
        <f t="shared" si="115"/>
        <v>58.769999999999968</v>
      </c>
      <c r="N1314" s="3">
        <v>0.7</v>
      </c>
    </row>
    <row r="1315" spans="4:14" ht="15" customHeight="1" x14ac:dyDescent="0.25">
      <c r="D1315" s="13"/>
      <c r="G1315" s="8"/>
      <c r="H1315" s="3" t="s">
        <v>61</v>
      </c>
      <c r="I1315" s="3" t="s">
        <v>34</v>
      </c>
      <c r="J1315" s="3">
        <f t="shared" si="114"/>
        <v>5880</v>
      </c>
      <c r="K1315" s="3">
        <f t="shared" si="113"/>
        <v>5886</v>
      </c>
      <c r="L1315" s="3">
        <v>6</v>
      </c>
      <c r="M1315" s="3">
        <f t="shared" si="115"/>
        <v>58.069999999999965</v>
      </c>
      <c r="N1315" s="3">
        <v>0.7</v>
      </c>
    </row>
    <row r="1316" spans="4:14" ht="15" customHeight="1" x14ac:dyDescent="0.25">
      <c r="D1316" s="13">
        <v>45238</v>
      </c>
      <c r="H1316" s="3" t="s">
        <v>34</v>
      </c>
      <c r="I1316" s="3" t="s">
        <v>43</v>
      </c>
      <c r="J1316" s="3">
        <f t="shared" si="114"/>
        <v>5886</v>
      </c>
      <c r="K1316" s="3">
        <f t="shared" si="113"/>
        <v>5898</v>
      </c>
      <c r="L1316" s="3">
        <v>12</v>
      </c>
      <c r="M1316" s="3">
        <f t="shared" si="115"/>
        <v>56.819999999999965</v>
      </c>
      <c r="N1316" s="3">
        <v>1.25</v>
      </c>
    </row>
    <row r="1317" spans="4:14" ht="15" customHeight="1" x14ac:dyDescent="0.25">
      <c r="D1317" s="13"/>
      <c r="H1317" s="3" t="s">
        <v>43</v>
      </c>
      <c r="I1317" s="3" t="s">
        <v>34</v>
      </c>
      <c r="J1317" s="3">
        <f t="shared" si="114"/>
        <v>5898</v>
      </c>
      <c r="K1317" s="3">
        <f t="shared" si="113"/>
        <v>5910</v>
      </c>
      <c r="L1317" s="3">
        <v>12</v>
      </c>
      <c r="M1317" s="3">
        <f t="shared" si="115"/>
        <v>55.569999999999965</v>
      </c>
      <c r="N1317" s="3">
        <v>1.25</v>
      </c>
    </row>
    <row r="1318" spans="4:14" ht="15" customHeight="1" x14ac:dyDescent="0.25">
      <c r="D1318" s="13">
        <v>45239</v>
      </c>
      <c r="H1318" s="3" t="s">
        <v>34</v>
      </c>
      <c r="I1318" s="3" t="s">
        <v>37</v>
      </c>
      <c r="J1318" s="3">
        <f t="shared" si="114"/>
        <v>5910</v>
      </c>
      <c r="K1318" s="3">
        <f t="shared" si="113"/>
        <v>5950</v>
      </c>
      <c r="L1318" s="3">
        <v>40</v>
      </c>
      <c r="M1318" s="3">
        <f t="shared" si="115"/>
        <v>50.769999999999968</v>
      </c>
      <c r="N1318" s="3">
        <v>4.8</v>
      </c>
    </row>
    <row r="1319" spans="4:14" ht="15" customHeight="1" x14ac:dyDescent="0.25">
      <c r="D1319" s="13"/>
      <c r="H1319" s="3" t="s">
        <v>37</v>
      </c>
      <c r="I1319" s="3" t="s">
        <v>34</v>
      </c>
      <c r="J1319" s="3">
        <f t="shared" si="114"/>
        <v>5950</v>
      </c>
      <c r="K1319" s="3">
        <f t="shared" si="113"/>
        <v>5990</v>
      </c>
      <c r="L1319" s="3">
        <v>40</v>
      </c>
      <c r="M1319" s="3">
        <f t="shared" si="115"/>
        <v>45.96999999999997</v>
      </c>
      <c r="N1319" s="3">
        <v>4.8</v>
      </c>
    </row>
    <row r="1320" spans="4:14" ht="15" customHeight="1" x14ac:dyDescent="0.25">
      <c r="D1320" s="13">
        <v>45240</v>
      </c>
      <c r="H1320" s="3" t="s">
        <v>34</v>
      </c>
      <c r="I1320" s="3" t="s">
        <v>65</v>
      </c>
      <c r="J1320" s="3">
        <f t="shared" si="114"/>
        <v>5990</v>
      </c>
      <c r="K1320" s="3">
        <f t="shared" si="113"/>
        <v>6070</v>
      </c>
      <c r="L1320" s="3">
        <v>80</v>
      </c>
      <c r="M1320" s="3">
        <f t="shared" si="115"/>
        <v>36.96999999999997</v>
      </c>
      <c r="N1320" s="3">
        <v>9</v>
      </c>
    </row>
    <row r="1321" spans="4:14" ht="15" customHeight="1" x14ac:dyDescent="0.25">
      <c r="D1321" s="13"/>
      <c r="H1321" s="3" t="s">
        <v>65</v>
      </c>
      <c r="I1321" s="3" t="s">
        <v>34</v>
      </c>
      <c r="J1321" s="3">
        <f t="shared" si="114"/>
        <v>6070</v>
      </c>
      <c r="K1321" s="3">
        <f t="shared" si="113"/>
        <v>6150</v>
      </c>
      <c r="L1321" s="3">
        <v>80</v>
      </c>
      <c r="M1321" s="3">
        <f t="shared" si="115"/>
        <v>27.96999999999997</v>
      </c>
      <c r="N1321" s="3">
        <v>9</v>
      </c>
    </row>
    <row r="1322" spans="4:14" ht="15" customHeight="1" x14ac:dyDescent="0.25">
      <c r="D1322" s="13">
        <v>45243</v>
      </c>
      <c r="E1322">
        <v>44.68</v>
      </c>
      <c r="F1322" s="3">
        <v>54.75</v>
      </c>
      <c r="G1322" s="8">
        <f>E1322*F1322</f>
        <v>2446.23</v>
      </c>
      <c r="H1322" s="3" t="s">
        <v>34</v>
      </c>
      <c r="I1322" s="3" t="s">
        <v>54</v>
      </c>
      <c r="J1322" s="3">
        <f t="shared" si="114"/>
        <v>6150</v>
      </c>
      <c r="K1322" s="3">
        <f t="shared" si="113"/>
        <v>6177</v>
      </c>
      <c r="L1322" s="3">
        <v>27</v>
      </c>
      <c r="M1322" s="3">
        <f t="shared" si="115"/>
        <v>69.449999999999974</v>
      </c>
      <c r="N1322" s="3">
        <v>3.2</v>
      </c>
    </row>
    <row r="1323" spans="4:14" ht="15" customHeight="1" x14ac:dyDescent="0.25">
      <c r="D1323" s="13"/>
      <c r="G1323" s="8"/>
      <c r="H1323" s="3" t="s">
        <v>54</v>
      </c>
      <c r="I1323" s="3" t="s">
        <v>34</v>
      </c>
      <c r="J1323" s="3">
        <f t="shared" si="114"/>
        <v>6177</v>
      </c>
      <c r="K1323" s="3">
        <f t="shared" si="113"/>
        <v>6204</v>
      </c>
      <c r="L1323" s="3">
        <v>27</v>
      </c>
      <c r="M1323" s="3">
        <f t="shared" si="115"/>
        <v>66.249999999999972</v>
      </c>
      <c r="N1323" s="3">
        <v>3.2</v>
      </c>
    </row>
    <row r="1324" spans="4:14" ht="15" customHeight="1" x14ac:dyDescent="0.25">
      <c r="D1324" s="13">
        <v>45244</v>
      </c>
      <c r="H1324" s="3" t="s">
        <v>34</v>
      </c>
      <c r="I1324" s="3" t="s">
        <v>39</v>
      </c>
      <c r="J1324" s="3">
        <f t="shared" si="114"/>
        <v>6204</v>
      </c>
      <c r="K1324" s="3">
        <f t="shared" si="113"/>
        <v>6254</v>
      </c>
      <c r="L1324" s="3">
        <v>50</v>
      </c>
      <c r="M1324" s="3">
        <f t="shared" si="115"/>
        <v>60.749999999999972</v>
      </c>
      <c r="N1324" s="3">
        <v>5.5</v>
      </c>
    </row>
    <row r="1325" spans="4:14" ht="15" customHeight="1" x14ac:dyDescent="0.25">
      <c r="D1325" s="13"/>
      <c r="H1325" s="3" t="s">
        <v>39</v>
      </c>
      <c r="I1325" s="3" t="s">
        <v>34</v>
      </c>
      <c r="J1325" s="3">
        <f t="shared" si="114"/>
        <v>6254</v>
      </c>
      <c r="K1325" s="3">
        <f t="shared" si="113"/>
        <v>6304</v>
      </c>
      <c r="L1325" s="3">
        <v>50</v>
      </c>
      <c r="M1325" s="3">
        <f t="shared" si="115"/>
        <v>55.249999999999972</v>
      </c>
      <c r="N1325" s="3">
        <v>5.5</v>
      </c>
    </row>
    <row r="1326" spans="4:14" ht="15" customHeight="1" x14ac:dyDescent="0.25">
      <c r="D1326" s="13">
        <v>45245</v>
      </c>
      <c r="H1326" s="3" t="s">
        <v>34</v>
      </c>
      <c r="I1326" s="3" t="s">
        <v>35</v>
      </c>
      <c r="J1326" s="3">
        <f t="shared" si="114"/>
        <v>6304</v>
      </c>
      <c r="K1326" s="3">
        <f t="shared" si="113"/>
        <v>6316</v>
      </c>
      <c r="L1326" s="3">
        <v>12</v>
      </c>
      <c r="M1326" s="3">
        <f t="shared" si="115"/>
        <v>53.999999999999972</v>
      </c>
      <c r="N1326" s="3">
        <v>1.25</v>
      </c>
    </row>
    <row r="1327" spans="4:14" ht="15" customHeight="1" x14ac:dyDescent="0.25">
      <c r="D1327" s="13"/>
      <c r="H1327" s="3" t="s">
        <v>35</v>
      </c>
      <c r="I1327" s="3" t="s">
        <v>34</v>
      </c>
      <c r="J1327" s="3">
        <f t="shared" si="114"/>
        <v>6316</v>
      </c>
      <c r="K1327" s="3">
        <f t="shared" si="113"/>
        <v>6328</v>
      </c>
      <c r="L1327" s="3">
        <v>12</v>
      </c>
      <c r="M1327" s="3">
        <f t="shared" si="115"/>
        <v>52.749999999999972</v>
      </c>
      <c r="N1327" s="3">
        <v>1.25</v>
      </c>
    </row>
    <row r="1328" spans="4:14" ht="15" customHeight="1" x14ac:dyDescent="0.25">
      <c r="D1328" s="13">
        <v>45246</v>
      </c>
      <c r="H1328" s="3" t="s">
        <v>34</v>
      </c>
      <c r="I1328" s="3" t="s">
        <v>65</v>
      </c>
      <c r="J1328" s="3">
        <f t="shared" si="114"/>
        <v>6328</v>
      </c>
      <c r="K1328" s="3">
        <f t="shared" si="113"/>
        <v>6408</v>
      </c>
      <c r="L1328" s="3">
        <v>80</v>
      </c>
      <c r="M1328" s="3">
        <f t="shared" si="115"/>
        <v>43.749999999999972</v>
      </c>
      <c r="N1328" s="3">
        <v>9</v>
      </c>
    </row>
    <row r="1329" spans="4:14" ht="15" customHeight="1" x14ac:dyDescent="0.25">
      <c r="D1329" s="13"/>
      <c r="H1329" s="3" t="s">
        <v>65</v>
      </c>
      <c r="I1329" s="3" t="s">
        <v>34</v>
      </c>
      <c r="J1329" s="3">
        <f t="shared" si="114"/>
        <v>6408</v>
      </c>
      <c r="K1329" s="3">
        <f t="shared" si="113"/>
        <v>6488</v>
      </c>
      <c r="L1329" s="3">
        <v>80</v>
      </c>
      <c r="M1329" s="3">
        <f t="shared" si="115"/>
        <v>34.749999999999972</v>
      </c>
      <c r="N1329" s="3">
        <v>9</v>
      </c>
    </row>
    <row r="1330" spans="4:14" ht="15" customHeight="1" x14ac:dyDescent="0.25">
      <c r="D1330" s="13">
        <v>45247</v>
      </c>
      <c r="H1330" s="3" t="s">
        <v>34</v>
      </c>
      <c r="I1330" s="3" t="s">
        <v>49</v>
      </c>
      <c r="J1330" s="3">
        <f t="shared" si="114"/>
        <v>6488</v>
      </c>
      <c r="K1330" s="3">
        <f t="shared" si="113"/>
        <v>6515</v>
      </c>
      <c r="L1330" s="3">
        <v>27</v>
      </c>
      <c r="M1330" s="3">
        <f t="shared" si="115"/>
        <v>31.549999999999972</v>
      </c>
      <c r="N1330" s="3">
        <v>3.2</v>
      </c>
    </row>
    <row r="1331" spans="4:14" ht="15" customHeight="1" x14ac:dyDescent="0.25">
      <c r="D1331" s="13"/>
      <c r="H1331" s="3" t="s">
        <v>49</v>
      </c>
      <c r="I1331" s="3" t="s">
        <v>34</v>
      </c>
      <c r="J1331" s="3">
        <f t="shared" si="114"/>
        <v>6515</v>
      </c>
      <c r="K1331" s="3">
        <f t="shared" si="113"/>
        <v>6542</v>
      </c>
      <c r="L1331" s="3">
        <v>27</v>
      </c>
      <c r="M1331" s="3">
        <f t="shared" si="115"/>
        <v>28.349999999999973</v>
      </c>
      <c r="N1331" s="3">
        <v>3.2</v>
      </c>
    </row>
    <row r="1332" spans="4:14" ht="15" customHeight="1" x14ac:dyDescent="0.25">
      <c r="D1332" s="13"/>
      <c r="H1332" s="3" t="s">
        <v>34</v>
      </c>
      <c r="I1332" s="3" t="s">
        <v>58</v>
      </c>
      <c r="J1332" s="3">
        <f t="shared" si="114"/>
        <v>6542</v>
      </c>
      <c r="K1332" s="3">
        <f t="shared" si="113"/>
        <v>6569</v>
      </c>
      <c r="L1332" s="3">
        <v>27</v>
      </c>
      <c r="M1332" s="3">
        <f t="shared" si="115"/>
        <v>25.149999999999974</v>
      </c>
      <c r="N1332" s="3">
        <v>3.2</v>
      </c>
    </row>
    <row r="1333" spans="4:14" ht="15" customHeight="1" x14ac:dyDescent="0.25">
      <c r="D1333" s="13"/>
      <c r="H1333" s="3" t="s">
        <v>58</v>
      </c>
      <c r="I1333" s="3" t="s">
        <v>34</v>
      </c>
      <c r="J1333" s="3">
        <f t="shared" si="114"/>
        <v>6569</v>
      </c>
      <c r="K1333" s="3">
        <f t="shared" si="113"/>
        <v>6596</v>
      </c>
      <c r="L1333" s="3">
        <v>27</v>
      </c>
      <c r="M1333" s="3">
        <f t="shared" si="115"/>
        <v>21.949999999999974</v>
      </c>
      <c r="N1333" s="3">
        <v>3.2</v>
      </c>
    </row>
    <row r="1334" spans="4:14" ht="15" customHeight="1" x14ac:dyDescent="0.25">
      <c r="D1334" s="13">
        <v>45250</v>
      </c>
      <c r="E1334">
        <v>49.16</v>
      </c>
      <c r="F1334" s="3">
        <v>54.25</v>
      </c>
      <c r="G1334" s="8">
        <f>E1334*F1334</f>
        <v>2666.93</v>
      </c>
      <c r="H1334" s="3" t="s">
        <v>34</v>
      </c>
      <c r="I1334" s="3" t="s">
        <v>54</v>
      </c>
      <c r="J1334" s="3">
        <f t="shared" si="114"/>
        <v>6596</v>
      </c>
      <c r="K1334" s="3">
        <f t="shared" si="113"/>
        <v>6623</v>
      </c>
      <c r="L1334" s="3">
        <v>27</v>
      </c>
      <c r="M1334" s="3">
        <f t="shared" si="115"/>
        <v>67.909999999999968</v>
      </c>
      <c r="N1334" s="3">
        <v>3.2</v>
      </c>
    </row>
    <row r="1335" spans="4:14" ht="15" customHeight="1" x14ac:dyDescent="0.25">
      <c r="D1335" s="13"/>
      <c r="G1335" s="8"/>
      <c r="H1335" s="3" t="s">
        <v>54</v>
      </c>
      <c r="I1335" s="3" t="s">
        <v>34</v>
      </c>
      <c r="J1335" s="3">
        <f t="shared" si="114"/>
        <v>6623</v>
      </c>
      <c r="K1335" s="3">
        <f t="shared" si="113"/>
        <v>6650</v>
      </c>
      <c r="L1335" s="3">
        <v>27</v>
      </c>
      <c r="M1335" s="3">
        <f t="shared" si="115"/>
        <v>64.709999999999965</v>
      </c>
      <c r="N1335" s="3">
        <v>3.2</v>
      </c>
    </row>
    <row r="1336" spans="4:14" ht="15" customHeight="1" x14ac:dyDescent="0.25">
      <c r="D1336" s="13">
        <v>45251</v>
      </c>
      <c r="H1336" s="3" t="s">
        <v>34</v>
      </c>
      <c r="I1336" s="3" t="s">
        <v>35</v>
      </c>
      <c r="J1336" s="3">
        <f t="shared" si="114"/>
        <v>6650</v>
      </c>
      <c r="K1336" s="3">
        <f t="shared" si="113"/>
        <v>6662</v>
      </c>
      <c r="L1336" s="3">
        <v>12</v>
      </c>
      <c r="M1336" s="3">
        <f t="shared" si="115"/>
        <v>63.459999999999965</v>
      </c>
      <c r="N1336" s="3">
        <v>1.25</v>
      </c>
    </row>
    <row r="1337" spans="4:14" ht="15" customHeight="1" x14ac:dyDescent="0.25">
      <c r="D1337" s="13"/>
      <c r="H1337" s="3" t="s">
        <v>35</v>
      </c>
      <c r="I1337" s="3" t="s">
        <v>34</v>
      </c>
      <c r="J1337" s="3">
        <f t="shared" si="114"/>
        <v>6662</v>
      </c>
      <c r="K1337" s="3">
        <f t="shared" si="113"/>
        <v>6674</v>
      </c>
      <c r="L1337" s="3">
        <v>12</v>
      </c>
      <c r="M1337" s="3">
        <f t="shared" si="115"/>
        <v>62.209999999999965</v>
      </c>
      <c r="N1337" s="3">
        <v>1.25</v>
      </c>
    </row>
    <row r="1338" spans="4:14" ht="15" customHeight="1" x14ac:dyDescent="0.25">
      <c r="D1338" s="13">
        <v>45252</v>
      </c>
      <c r="H1338" s="3" t="s">
        <v>34</v>
      </c>
      <c r="I1338" s="3" t="s">
        <v>37</v>
      </c>
      <c r="J1338" s="3">
        <f t="shared" si="114"/>
        <v>6674</v>
      </c>
      <c r="K1338" s="3">
        <f t="shared" si="113"/>
        <v>6714</v>
      </c>
      <c r="L1338" s="3">
        <v>40</v>
      </c>
      <c r="M1338" s="3">
        <f t="shared" si="115"/>
        <v>57.409999999999968</v>
      </c>
      <c r="N1338" s="3">
        <v>4.8</v>
      </c>
    </row>
    <row r="1339" spans="4:14" ht="15" customHeight="1" x14ac:dyDescent="0.25">
      <c r="D1339" s="13"/>
      <c r="H1339" s="3" t="s">
        <v>37</v>
      </c>
      <c r="I1339" s="3" t="s">
        <v>34</v>
      </c>
      <c r="J1339" s="3">
        <f t="shared" si="114"/>
        <v>6714</v>
      </c>
      <c r="K1339" s="3">
        <f t="shared" si="113"/>
        <v>6754</v>
      </c>
      <c r="L1339" s="3">
        <v>40</v>
      </c>
      <c r="M1339" s="3">
        <f t="shared" si="115"/>
        <v>52.609999999999971</v>
      </c>
      <c r="N1339" s="3">
        <v>4.8</v>
      </c>
    </row>
    <row r="1340" spans="4:14" ht="15" customHeight="1" x14ac:dyDescent="0.25">
      <c r="D1340" s="13">
        <v>45253</v>
      </c>
      <c r="H1340" s="3" t="s">
        <v>34</v>
      </c>
      <c r="I1340" s="3" t="s">
        <v>43</v>
      </c>
      <c r="J1340" s="3">
        <f t="shared" si="114"/>
        <v>6754</v>
      </c>
      <c r="K1340" s="3">
        <f t="shared" si="113"/>
        <v>6766</v>
      </c>
      <c r="L1340" s="3">
        <v>12</v>
      </c>
      <c r="M1340" s="3">
        <f t="shared" si="115"/>
        <v>51.359999999999971</v>
      </c>
      <c r="N1340" s="3">
        <v>1.25</v>
      </c>
    </row>
    <row r="1341" spans="4:14" ht="15" customHeight="1" x14ac:dyDescent="0.25">
      <c r="D1341" s="13"/>
      <c r="H1341" s="3" t="s">
        <v>43</v>
      </c>
      <c r="I1341" s="3" t="s">
        <v>34</v>
      </c>
      <c r="J1341" s="3">
        <f t="shared" si="114"/>
        <v>6766</v>
      </c>
      <c r="K1341" s="3">
        <f t="shared" si="113"/>
        <v>6778</v>
      </c>
      <c r="L1341" s="3">
        <v>12</v>
      </c>
      <c r="M1341" s="3">
        <f t="shared" si="115"/>
        <v>50.109999999999971</v>
      </c>
      <c r="N1341" s="3">
        <v>1.25</v>
      </c>
    </row>
    <row r="1342" spans="4:14" ht="15" customHeight="1" x14ac:dyDescent="0.25">
      <c r="D1342" s="13"/>
      <c r="H1342" s="3" t="s">
        <v>34</v>
      </c>
      <c r="I1342" s="3" t="s">
        <v>44</v>
      </c>
      <c r="J1342" s="3">
        <f t="shared" si="114"/>
        <v>6778</v>
      </c>
      <c r="K1342" s="3">
        <f t="shared" si="113"/>
        <v>6818</v>
      </c>
      <c r="L1342" s="3">
        <v>40</v>
      </c>
      <c r="M1342" s="3">
        <f t="shared" si="115"/>
        <v>45.309999999999974</v>
      </c>
      <c r="N1342" s="3">
        <v>4.8</v>
      </c>
    </row>
    <row r="1343" spans="4:14" ht="15" customHeight="1" x14ac:dyDescent="0.25">
      <c r="D1343" s="13"/>
      <c r="H1343" s="3" t="s">
        <v>44</v>
      </c>
      <c r="I1343" s="3" t="s">
        <v>34</v>
      </c>
      <c r="J1343" s="3">
        <f t="shared" si="114"/>
        <v>6818</v>
      </c>
      <c r="K1343" s="3">
        <f t="shared" si="113"/>
        <v>6858</v>
      </c>
      <c r="L1343" s="3">
        <v>40</v>
      </c>
      <c r="M1343" s="3">
        <f t="shared" si="115"/>
        <v>40.509999999999977</v>
      </c>
      <c r="N1343" s="3">
        <v>4.8</v>
      </c>
    </row>
    <row r="1344" spans="4:14" ht="15" customHeight="1" x14ac:dyDescent="0.25">
      <c r="D1344" s="13">
        <v>45254</v>
      </c>
      <c r="H1344" s="3" t="s">
        <v>34</v>
      </c>
      <c r="I1344" s="3" t="s">
        <v>54</v>
      </c>
      <c r="J1344" s="3">
        <f t="shared" si="114"/>
        <v>6858</v>
      </c>
      <c r="K1344" s="3">
        <f t="shared" si="113"/>
        <v>6885</v>
      </c>
      <c r="L1344" s="3">
        <v>27</v>
      </c>
      <c r="M1344" s="3">
        <f t="shared" si="115"/>
        <v>37.309999999999974</v>
      </c>
      <c r="N1344" s="3">
        <v>3.2</v>
      </c>
    </row>
    <row r="1345" spans="4:14" ht="15" customHeight="1" x14ac:dyDescent="0.25">
      <c r="D1345" s="13"/>
      <c r="H1345" s="3" t="s">
        <v>54</v>
      </c>
      <c r="I1345" s="3" t="s">
        <v>34</v>
      </c>
      <c r="J1345" s="3">
        <f t="shared" si="114"/>
        <v>6885</v>
      </c>
      <c r="K1345" s="3">
        <f t="shared" si="113"/>
        <v>6912</v>
      </c>
      <c r="L1345" s="3">
        <v>27</v>
      </c>
      <c r="M1345" s="3">
        <f t="shared" si="115"/>
        <v>34.109999999999971</v>
      </c>
      <c r="N1345" s="3">
        <v>3.2</v>
      </c>
    </row>
    <row r="1346" spans="4:14" ht="15" customHeight="1" x14ac:dyDescent="0.25">
      <c r="D1346" s="13">
        <v>45257</v>
      </c>
      <c r="E1346">
        <v>49.3</v>
      </c>
      <c r="F1346" s="3">
        <v>54.75</v>
      </c>
      <c r="G1346" s="8">
        <f>E1346*F1346</f>
        <v>2699.1749999999997</v>
      </c>
      <c r="H1346" s="3" t="s">
        <v>34</v>
      </c>
      <c r="I1346" s="3" t="s">
        <v>65</v>
      </c>
      <c r="J1346" s="3">
        <f t="shared" si="114"/>
        <v>6912</v>
      </c>
      <c r="K1346" s="3">
        <f t="shared" si="113"/>
        <v>6992</v>
      </c>
      <c r="L1346" s="3">
        <v>80</v>
      </c>
      <c r="M1346" s="3">
        <f t="shared" si="115"/>
        <v>74.409999999999968</v>
      </c>
      <c r="N1346" s="3">
        <v>9</v>
      </c>
    </row>
    <row r="1347" spans="4:14" ht="15" customHeight="1" x14ac:dyDescent="0.25">
      <c r="D1347" s="13"/>
      <c r="G1347" s="8"/>
      <c r="H1347" s="3" t="s">
        <v>65</v>
      </c>
      <c r="I1347" s="3" t="s">
        <v>34</v>
      </c>
      <c r="J1347" s="3">
        <f t="shared" si="114"/>
        <v>6992</v>
      </c>
      <c r="K1347" s="3">
        <f t="shared" si="113"/>
        <v>7072</v>
      </c>
      <c r="L1347" s="3">
        <v>80</v>
      </c>
      <c r="M1347" s="3">
        <f t="shared" si="115"/>
        <v>65.409999999999968</v>
      </c>
      <c r="N1347" s="3">
        <v>9</v>
      </c>
    </row>
    <row r="1348" spans="4:14" ht="15" customHeight="1" x14ac:dyDescent="0.25">
      <c r="D1348" s="13">
        <v>45258</v>
      </c>
      <c r="H1348" s="3" t="s">
        <v>34</v>
      </c>
      <c r="I1348" s="3" t="s">
        <v>58</v>
      </c>
      <c r="J1348" s="3">
        <f t="shared" si="114"/>
        <v>7072</v>
      </c>
      <c r="K1348" s="3">
        <f t="shared" si="113"/>
        <v>7099</v>
      </c>
      <c r="L1348" s="3">
        <v>27</v>
      </c>
      <c r="M1348" s="3">
        <f t="shared" si="115"/>
        <v>62.209999999999965</v>
      </c>
      <c r="N1348" s="3">
        <v>3.2</v>
      </c>
    </row>
    <row r="1349" spans="4:14" ht="15" customHeight="1" x14ac:dyDescent="0.25">
      <c r="D1349" s="13"/>
      <c r="H1349" s="3" t="s">
        <v>58</v>
      </c>
      <c r="I1349" s="3" t="s">
        <v>34</v>
      </c>
      <c r="J1349" s="3">
        <f t="shared" si="114"/>
        <v>7099</v>
      </c>
      <c r="K1349" s="3">
        <f t="shared" si="113"/>
        <v>7126</v>
      </c>
      <c r="L1349" s="3">
        <v>27</v>
      </c>
      <c r="M1349" s="3">
        <f t="shared" si="115"/>
        <v>59.009999999999962</v>
      </c>
      <c r="N1349" s="3">
        <v>3.2</v>
      </c>
    </row>
    <row r="1350" spans="4:14" ht="15" customHeight="1" x14ac:dyDescent="0.25">
      <c r="D1350" s="13">
        <v>45259</v>
      </c>
      <c r="H1350" s="3" t="s">
        <v>34</v>
      </c>
      <c r="I1350" s="3" t="s">
        <v>59</v>
      </c>
      <c r="J1350" s="3">
        <f t="shared" si="114"/>
        <v>7126</v>
      </c>
      <c r="K1350" s="3">
        <f t="shared" si="113"/>
        <v>7153</v>
      </c>
      <c r="L1350" s="3">
        <v>27</v>
      </c>
      <c r="M1350" s="3">
        <f t="shared" si="115"/>
        <v>55.80999999999996</v>
      </c>
      <c r="N1350" s="3">
        <v>3.2</v>
      </c>
    </row>
    <row r="1351" spans="4:14" ht="15" customHeight="1" x14ac:dyDescent="0.25">
      <c r="D1351" s="13"/>
      <c r="H1351" s="3" t="s">
        <v>59</v>
      </c>
      <c r="I1351" s="3" t="s">
        <v>34</v>
      </c>
      <c r="J1351" s="3">
        <f t="shared" si="114"/>
        <v>7153</v>
      </c>
      <c r="K1351" s="3">
        <f t="shared" si="113"/>
        <v>7180</v>
      </c>
      <c r="L1351" s="3">
        <v>27</v>
      </c>
      <c r="M1351" s="3">
        <f t="shared" si="115"/>
        <v>52.609999999999957</v>
      </c>
      <c r="N1351" s="3">
        <v>3.2</v>
      </c>
    </row>
    <row r="1352" spans="4:14" ht="15" customHeight="1" x14ac:dyDescent="0.25">
      <c r="D1352" s="13">
        <v>45260</v>
      </c>
      <c r="H1352" s="3" t="s">
        <v>34</v>
      </c>
      <c r="I1352" s="3" t="s">
        <v>54</v>
      </c>
      <c r="J1352" s="3">
        <f t="shared" si="114"/>
        <v>7180</v>
      </c>
      <c r="K1352" s="3">
        <f t="shared" si="113"/>
        <v>7207</v>
      </c>
      <c r="L1352" s="3">
        <v>27</v>
      </c>
      <c r="M1352" s="3">
        <f t="shared" si="115"/>
        <v>49.409999999999954</v>
      </c>
      <c r="N1352" s="3">
        <v>3.2</v>
      </c>
    </row>
    <row r="1353" spans="4:14" ht="15" customHeight="1" x14ac:dyDescent="0.25">
      <c r="H1353" s="3" t="s">
        <v>54</v>
      </c>
      <c r="I1353" s="3" t="s">
        <v>34</v>
      </c>
      <c r="J1353" s="3">
        <f t="shared" si="114"/>
        <v>7207</v>
      </c>
      <c r="K1353" s="3">
        <f t="shared" si="113"/>
        <v>7234</v>
      </c>
      <c r="L1353" s="3">
        <v>27</v>
      </c>
      <c r="M1353" s="3">
        <f t="shared" si="115"/>
        <v>46.209999999999951</v>
      </c>
      <c r="N1353" s="3">
        <v>3.2</v>
      </c>
    </row>
    <row r="1354" spans="4:14" ht="15" customHeight="1" x14ac:dyDescent="0.25">
      <c r="H1354" s="3"/>
      <c r="I1354" s="3"/>
      <c r="M1354" s="3"/>
    </row>
    <row r="1355" spans="4:14" ht="15" customHeight="1" x14ac:dyDescent="0.25">
      <c r="D1355" s="2" t="s">
        <v>72</v>
      </c>
      <c r="E1355" s="2"/>
      <c r="F1355" s="2"/>
      <c r="G1355" s="2"/>
    </row>
    <row r="1356" spans="4:14" ht="15" customHeight="1" x14ac:dyDescent="0.25">
      <c r="D1356" s="13">
        <v>45261</v>
      </c>
      <c r="H1356" s="3" t="s">
        <v>34</v>
      </c>
      <c r="I1356" s="3" t="s">
        <v>35</v>
      </c>
      <c r="J1356" s="3">
        <f>K1353</f>
        <v>7234</v>
      </c>
      <c r="K1356" s="3">
        <f t="shared" ref="K1356:K1397" si="116">J1356+L1356</f>
        <v>7246</v>
      </c>
      <c r="L1356" s="3">
        <v>12</v>
      </c>
      <c r="M1356" s="3">
        <f>(E1356+M1353)-N1356</f>
        <v>44.959999999999951</v>
      </c>
      <c r="N1356" s="3">
        <v>1.25</v>
      </c>
    </row>
    <row r="1357" spans="4:14" ht="15" customHeight="1" x14ac:dyDescent="0.25">
      <c r="D1357" s="13"/>
      <c r="H1357" s="3" t="s">
        <v>35</v>
      </c>
      <c r="I1357" s="3" t="s">
        <v>34</v>
      </c>
      <c r="J1357" s="3">
        <f t="shared" ref="J1357:J1397" si="117">K1356</f>
        <v>7246</v>
      </c>
      <c r="K1357" s="3">
        <f t="shared" si="116"/>
        <v>7258</v>
      </c>
      <c r="L1357" s="3">
        <v>12</v>
      </c>
      <c r="M1357" s="3">
        <f t="shared" ref="M1357:M1397" si="118">(E1357+M1356)-N1357</f>
        <v>43.709999999999951</v>
      </c>
      <c r="N1357" s="3">
        <v>1.25</v>
      </c>
    </row>
    <row r="1358" spans="4:14" ht="15" customHeight="1" x14ac:dyDescent="0.25">
      <c r="D1358" s="13">
        <v>45264</v>
      </c>
      <c r="H1358" s="3" t="s">
        <v>34</v>
      </c>
      <c r="I1358" s="3" t="s">
        <v>65</v>
      </c>
      <c r="J1358" s="3">
        <f t="shared" si="117"/>
        <v>7258</v>
      </c>
      <c r="K1358" s="3">
        <f t="shared" si="116"/>
        <v>7338</v>
      </c>
      <c r="L1358" s="3">
        <v>80</v>
      </c>
      <c r="M1358" s="3">
        <f t="shared" si="118"/>
        <v>34.709999999999951</v>
      </c>
      <c r="N1358" s="3">
        <v>9</v>
      </c>
    </row>
    <row r="1359" spans="4:14" ht="15" customHeight="1" x14ac:dyDescent="0.25">
      <c r="D1359" s="13"/>
      <c r="H1359" s="3" t="s">
        <v>65</v>
      </c>
      <c r="I1359" s="3" t="s">
        <v>34</v>
      </c>
      <c r="J1359" s="3">
        <f t="shared" si="117"/>
        <v>7338</v>
      </c>
      <c r="K1359" s="3">
        <f t="shared" si="116"/>
        <v>7418</v>
      </c>
      <c r="L1359" s="3">
        <v>80</v>
      </c>
      <c r="M1359" s="3">
        <f t="shared" si="118"/>
        <v>25.709999999999951</v>
      </c>
      <c r="N1359" s="3">
        <v>9</v>
      </c>
    </row>
    <row r="1360" spans="4:14" ht="15" customHeight="1" x14ac:dyDescent="0.25">
      <c r="D1360" s="13">
        <v>45265</v>
      </c>
      <c r="H1360" s="3" t="s">
        <v>34</v>
      </c>
      <c r="I1360" s="3" t="s">
        <v>37</v>
      </c>
      <c r="J1360" s="3">
        <f t="shared" si="117"/>
        <v>7418</v>
      </c>
      <c r="K1360" s="3">
        <f t="shared" si="116"/>
        <v>7458</v>
      </c>
      <c r="L1360" s="3">
        <v>40</v>
      </c>
      <c r="M1360" s="3">
        <f t="shared" si="118"/>
        <v>20.90999999999995</v>
      </c>
      <c r="N1360" s="3">
        <v>4.8</v>
      </c>
    </row>
    <row r="1361" spans="4:14" ht="15" customHeight="1" x14ac:dyDescent="0.25">
      <c r="D1361" s="13"/>
      <c r="H1361" s="3" t="s">
        <v>37</v>
      </c>
      <c r="I1361" s="3" t="s">
        <v>34</v>
      </c>
      <c r="J1361" s="3">
        <f t="shared" si="117"/>
        <v>7458</v>
      </c>
      <c r="K1361" s="3">
        <f t="shared" si="116"/>
        <v>7498</v>
      </c>
      <c r="L1361" s="3">
        <v>40</v>
      </c>
      <c r="M1361" s="3">
        <f t="shared" si="118"/>
        <v>16.10999999999995</v>
      </c>
      <c r="N1361" s="3">
        <v>4.8</v>
      </c>
    </row>
    <row r="1362" spans="4:14" ht="15" customHeight="1" x14ac:dyDescent="0.25">
      <c r="D1362" s="13">
        <v>45266</v>
      </c>
      <c r="H1362" s="3" t="s">
        <v>34</v>
      </c>
      <c r="I1362" s="3" t="s">
        <v>59</v>
      </c>
      <c r="J1362" s="3">
        <f t="shared" si="117"/>
        <v>7498</v>
      </c>
      <c r="K1362" s="3">
        <f t="shared" si="116"/>
        <v>7525</v>
      </c>
      <c r="L1362" s="3">
        <v>27</v>
      </c>
      <c r="M1362" s="3">
        <f t="shared" si="118"/>
        <v>12.90999999999995</v>
      </c>
      <c r="N1362" s="3">
        <v>3.2</v>
      </c>
    </row>
    <row r="1363" spans="4:14" ht="15" customHeight="1" x14ac:dyDescent="0.25">
      <c r="D1363" s="13"/>
      <c r="H1363" s="3" t="s">
        <v>59</v>
      </c>
      <c r="I1363" s="3" t="s">
        <v>34</v>
      </c>
      <c r="J1363" s="3">
        <f t="shared" si="117"/>
        <v>7525</v>
      </c>
      <c r="K1363" s="3">
        <f t="shared" si="116"/>
        <v>7552</v>
      </c>
      <c r="L1363" s="3">
        <v>27</v>
      </c>
      <c r="M1363" s="3">
        <f t="shared" si="118"/>
        <v>9.7099999999999511</v>
      </c>
      <c r="N1363" s="3">
        <v>3.2</v>
      </c>
    </row>
    <row r="1364" spans="4:14" ht="15" customHeight="1" x14ac:dyDescent="0.25">
      <c r="D1364" s="13">
        <v>45267</v>
      </c>
      <c r="E1364">
        <v>48.93</v>
      </c>
      <c r="F1364" s="3">
        <v>54.75</v>
      </c>
      <c r="G1364" s="8">
        <f>E1364*F1364</f>
        <v>2678.9175</v>
      </c>
      <c r="H1364" s="3" t="s">
        <v>34</v>
      </c>
      <c r="I1364" s="3" t="s">
        <v>65</v>
      </c>
      <c r="J1364" s="3">
        <f t="shared" si="117"/>
        <v>7552</v>
      </c>
      <c r="K1364" s="3">
        <f t="shared" si="116"/>
        <v>7632</v>
      </c>
      <c r="L1364" s="3">
        <v>80</v>
      </c>
      <c r="M1364" s="3">
        <f t="shared" si="118"/>
        <v>49.639999999999951</v>
      </c>
      <c r="N1364" s="3">
        <v>9</v>
      </c>
    </row>
    <row r="1365" spans="4:14" ht="15" customHeight="1" x14ac:dyDescent="0.25">
      <c r="D1365" s="13"/>
      <c r="G1365" s="8"/>
      <c r="H1365" s="3" t="s">
        <v>65</v>
      </c>
      <c r="I1365" s="3" t="s">
        <v>34</v>
      </c>
      <c r="J1365" s="3">
        <f t="shared" si="117"/>
        <v>7632</v>
      </c>
      <c r="K1365" s="3">
        <f t="shared" si="116"/>
        <v>7712</v>
      </c>
      <c r="L1365" s="3">
        <v>80</v>
      </c>
      <c r="M1365" s="3">
        <f t="shared" si="118"/>
        <v>40.639999999999951</v>
      </c>
      <c r="N1365" s="3">
        <v>9</v>
      </c>
    </row>
    <row r="1366" spans="4:14" ht="15" customHeight="1" x14ac:dyDescent="0.25">
      <c r="D1366" s="13">
        <v>45268</v>
      </c>
      <c r="H1366" s="3" t="s">
        <v>34</v>
      </c>
      <c r="I1366" s="3" t="s">
        <v>35</v>
      </c>
      <c r="J1366" s="3">
        <f t="shared" si="117"/>
        <v>7712</v>
      </c>
      <c r="K1366" s="3">
        <f t="shared" si="116"/>
        <v>7724</v>
      </c>
      <c r="L1366" s="3">
        <v>12</v>
      </c>
      <c r="M1366" s="3">
        <f t="shared" si="118"/>
        <v>39.389999999999951</v>
      </c>
      <c r="N1366" s="3">
        <v>1.25</v>
      </c>
    </row>
    <row r="1367" spans="4:14" ht="15" customHeight="1" x14ac:dyDescent="0.25">
      <c r="D1367" s="13"/>
      <c r="H1367" s="3" t="s">
        <v>35</v>
      </c>
      <c r="I1367" s="3" t="s">
        <v>34</v>
      </c>
      <c r="J1367" s="3">
        <f t="shared" si="117"/>
        <v>7724</v>
      </c>
      <c r="K1367" s="3">
        <f t="shared" si="116"/>
        <v>7736</v>
      </c>
      <c r="L1367" s="3">
        <v>12</v>
      </c>
      <c r="M1367" s="3">
        <f t="shared" si="118"/>
        <v>38.139999999999951</v>
      </c>
      <c r="N1367" s="3">
        <v>1.25</v>
      </c>
    </row>
    <row r="1368" spans="4:14" ht="15" customHeight="1" x14ac:dyDescent="0.25">
      <c r="D1368" s="13">
        <v>45271</v>
      </c>
      <c r="H1368" s="3" t="s">
        <v>34</v>
      </c>
      <c r="I1368" s="3" t="s">
        <v>43</v>
      </c>
      <c r="J1368" s="3">
        <f t="shared" si="117"/>
        <v>7736</v>
      </c>
      <c r="K1368" s="3">
        <f t="shared" si="116"/>
        <v>7748</v>
      </c>
      <c r="L1368" s="3">
        <v>12</v>
      </c>
      <c r="M1368" s="3">
        <f t="shared" si="118"/>
        <v>36.889999999999951</v>
      </c>
      <c r="N1368" s="3">
        <v>1.25</v>
      </c>
    </row>
    <row r="1369" spans="4:14" ht="15" customHeight="1" x14ac:dyDescent="0.25">
      <c r="D1369" s="13"/>
      <c r="H1369" s="3" t="s">
        <v>43</v>
      </c>
      <c r="I1369" s="3" t="s">
        <v>34</v>
      </c>
      <c r="J1369" s="3">
        <f t="shared" si="117"/>
        <v>7748</v>
      </c>
      <c r="K1369" s="3">
        <f t="shared" si="116"/>
        <v>7760</v>
      </c>
      <c r="L1369" s="3">
        <v>12</v>
      </c>
      <c r="M1369" s="3">
        <f t="shared" si="118"/>
        <v>35.639999999999951</v>
      </c>
      <c r="N1369" s="3">
        <v>1.25</v>
      </c>
    </row>
    <row r="1370" spans="4:14" ht="15" customHeight="1" x14ac:dyDescent="0.25">
      <c r="D1370" s="13">
        <v>45272</v>
      </c>
      <c r="H1370" s="3" t="s">
        <v>34</v>
      </c>
      <c r="I1370" s="3" t="s">
        <v>58</v>
      </c>
      <c r="J1370" s="3">
        <f t="shared" si="117"/>
        <v>7760</v>
      </c>
      <c r="K1370" s="3">
        <f t="shared" si="116"/>
        <v>7787</v>
      </c>
      <c r="L1370" s="3">
        <v>27</v>
      </c>
      <c r="M1370" s="3">
        <f t="shared" si="118"/>
        <v>32.439999999999948</v>
      </c>
      <c r="N1370" s="3">
        <v>3.2</v>
      </c>
    </row>
    <row r="1371" spans="4:14" ht="15" customHeight="1" x14ac:dyDescent="0.25">
      <c r="D1371" s="13"/>
      <c r="H1371" s="3" t="s">
        <v>58</v>
      </c>
      <c r="I1371" s="3" t="s">
        <v>34</v>
      </c>
      <c r="J1371" s="3">
        <f t="shared" si="117"/>
        <v>7787</v>
      </c>
      <c r="K1371" s="3">
        <f t="shared" si="116"/>
        <v>7814</v>
      </c>
      <c r="L1371" s="3">
        <v>27</v>
      </c>
      <c r="M1371" s="3">
        <f t="shared" si="118"/>
        <v>29.239999999999949</v>
      </c>
      <c r="N1371" s="3">
        <v>3.2</v>
      </c>
    </row>
    <row r="1372" spans="4:14" ht="15" customHeight="1" x14ac:dyDescent="0.25">
      <c r="D1372" s="13">
        <v>45273</v>
      </c>
      <c r="H1372" s="3" t="s">
        <v>34</v>
      </c>
      <c r="I1372" s="3" t="s">
        <v>54</v>
      </c>
      <c r="J1372" s="3">
        <f t="shared" si="117"/>
        <v>7814</v>
      </c>
      <c r="K1372" s="3">
        <f t="shared" si="116"/>
        <v>7841</v>
      </c>
      <c r="L1372" s="3">
        <v>27</v>
      </c>
      <c r="M1372" s="3">
        <f t="shared" si="118"/>
        <v>26.039999999999949</v>
      </c>
      <c r="N1372" s="3">
        <v>3.2</v>
      </c>
    </row>
    <row r="1373" spans="4:14" ht="15" customHeight="1" x14ac:dyDescent="0.25">
      <c r="D1373" s="13"/>
      <c r="H1373" s="3" t="s">
        <v>54</v>
      </c>
      <c r="I1373" s="3" t="s">
        <v>34</v>
      </c>
      <c r="J1373" s="3">
        <f t="shared" si="117"/>
        <v>7841</v>
      </c>
      <c r="K1373" s="3">
        <f t="shared" si="116"/>
        <v>7868</v>
      </c>
      <c r="L1373" s="3">
        <v>27</v>
      </c>
      <c r="M1373" s="3">
        <f t="shared" si="118"/>
        <v>22.83999999999995</v>
      </c>
      <c r="N1373" s="3">
        <v>3.2</v>
      </c>
    </row>
    <row r="1374" spans="4:14" ht="15" customHeight="1" x14ac:dyDescent="0.25">
      <c r="D1374" s="13">
        <v>45274</v>
      </c>
      <c r="H1374" s="3" t="s">
        <v>34</v>
      </c>
      <c r="I1374" s="3" t="s">
        <v>37</v>
      </c>
      <c r="J1374" s="3">
        <f t="shared" si="117"/>
        <v>7868</v>
      </c>
      <c r="K1374" s="3">
        <f t="shared" si="116"/>
        <v>7908</v>
      </c>
      <c r="L1374" s="3">
        <v>40</v>
      </c>
      <c r="M1374" s="3">
        <f t="shared" si="118"/>
        <v>18.039999999999949</v>
      </c>
      <c r="N1374" s="3">
        <v>4.8</v>
      </c>
    </row>
    <row r="1375" spans="4:14" ht="15" customHeight="1" x14ac:dyDescent="0.25">
      <c r="D1375" s="13"/>
      <c r="H1375" s="3" t="s">
        <v>37</v>
      </c>
      <c r="I1375" s="3" t="s">
        <v>34</v>
      </c>
      <c r="J1375" s="3">
        <f t="shared" si="117"/>
        <v>7908</v>
      </c>
      <c r="K1375" s="3">
        <f t="shared" si="116"/>
        <v>7948</v>
      </c>
      <c r="L1375" s="3">
        <v>40</v>
      </c>
      <c r="M1375" s="3">
        <f t="shared" si="118"/>
        <v>13.239999999999949</v>
      </c>
      <c r="N1375" s="3">
        <v>4.8</v>
      </c>
    </row>
    <row r="1376" spans="4:14" ht="15" customHeight="1" x14ac:dyDescent="0.25">
      <c r="D1376" s="13">
        <v>45275</v>
      </c>
      <c r="H1376" s="3" t="s">
        <v>34</v>
      </c>
      <c r="I1376" s="3" t="s">
        <v>35</v>
      </c>
      <c r="J1376" s="3">
        <f t="shared" si="117"/>
        <v>7948</v>
      </c>
      <c r="K1376" s="3">
        <f t="shared" si="116"/>
        <v>7960</v>
      </c>
      <c r="L1376" s="3">
        <v>12</v>
      </c>
      <c r="M1376" s="3">
        <f t="shared" si="118"/>
        <v>11.989999999999949</v>
      </c>
      <c r="N1376" s="3">
        <v>1.25</v>
      </c>
    </row>
    <row r="1377" spans="4:14" ht="15" customHeight="1" x14ac:dyDescent="0.25">
      <c r="D1377" s="13"/>
      <c r="H1377" s="3" t="s">
        <v>35</v>
      </c>
      <c r="I1377" s="3" t="s">
        <v>34</v>
      </c>
      <c r="J1377" s="3">
        <f t="shared" si="117"/>
        <v>7960</v>
      </c>
      <c r="K1377" s="3">
        <f t="shared" si="116"/>
        <v>7972</v>
      </c>
      <c r="L1377" s="3">
        <v>12</v>
      </c>
      <c r="M1377" s="3">
        <f t="shared" si="118"/>
        <v>10.739999999999949</v>
      </c>
      <c r="N1377" s="3">
        <v>1.25</v>
      </c>
    </row>
    <row r="1378" spans="4:14" ht="15" customHeight="1" x14ac:dyDescent="0.25">
      <c r="D1378" s="13">
        <v>45278</v>
      </c>
      <c r="E1378">
        <v>44.03</v>
      </c>
      <c r="F1378" s="3">
        <v>55.05</v>
      </c>
      <c r="G1378" s="8">
        <f>E1378*F1378</f>
        <v>2423.8514999999998</v>
      </c>
      <c r="H1378" s="3" t="s">
        <v>34</v>
      </c>
      <c r="I1378" s="3" t="s">
        <v>65</v>
      </c>
      <c r="J1378" s="3">
        <f t="shared" si="117"/>
        <v>7972</v>
      </c>
      <c r="K1378" s="3">
        <f t="shared" si="116"/>
        <v>8052</v>
      </c>
      <c r="L1378" s="3">
        <v>80</v>
      </c>
      <c r="M1378" s="3">
        <f t="shared" si="118"/>
        <v>45.769999999999953</v>
      </c>
      <c r="N1378" s="3">
        <v>9</v>
      </c>
    </row>
    <row r="1379" spans="4:14" ht="15" customHeight="1" x14ac:dyDescent="0.25">
      <c r="D1379" s="13"/>
      <c r="G1379" s="8"/>
      <c r="H1379" s="3" t="s">
        <v>65</v>
      </c>
      <c r="I1379" s="3" t="s">
        <v>34</v>
      </c>
      <c r="J1379" s="3">
        <f t="shared" si="117"/>
        <v>8052</v>
      </c>
      <c r="K1379" s="3">
        <f t="shared" si="116"/>
        <v>8132</v>
      </c>
      <c r="L1379" s="3">
        <v>80</v>
      </c>
      <c r="M1379" s="3">
        <f t="shared" si="118"/>
        <v>36.769999999999953</v>
      </c>
      <c r="N1379" s="3">
        <v>9</v>
      </c>
    </row>
    <row r="1380" spans="4:14" ht="15" customHeight="1" x14ac:dyDescent="0.25">
      <c r="D1380" s="13">
        <v>45279</v>
      </c>
      <c r="H1380" s="3" t="s">
        <v>34</v>
      </c>
      <c r="I1380" s="3" t="s">
        <v>35</v>
      </c>
      <c r="J1380" s="3">
        <f t="shared" si="117"/>
        <v>8132</v>
      </c>
      <c r="K1380" s="3">
        <f t="shared" si="116"/>
        <v>8144</v>
      </c>
      <c r="L1380" s="3">
        <v>12</v>
      </c>
      <c r="M1380" s="3">
        <f t="shared" si="118"/>
        <v>35.519999999999953</v>
      </c>
      <c r="N1380" s="3">
        <v>1.25</v>
      </c>
    </row>
    <row r="1381" spans="4:14" ht="15" customHeight="1" x14ac:dyDescent="0.25">
      <c r="D1381" s="13"/>
      <c r="H1381" s="3" t="s">
        <v>35</v>
      </c>
      <c r="I1381" s="3" t="s">
        <v>34</v>
      </c>
      <c r="J1381" s="3">
        <f t="shared" si="117"/>
        <v>8144</v>
      </c>
      <c r="K1381" s="3">
        <f t="shared" si="116"/>
        <v>8156</v>
      </c>
      <c r="L1381" s="3">
        <v>12</v>
      </c>
      <c r="M1381" s="3">
        <f t="shared" si="118"/>
        <v>34.269999999999953</v>
      </c>
      <c r="N1381" s="3">
        <v>1.25</v>
      </c>
    </row>
    <row r="1382" spans="4:14" ht="15" customHeight="1" x14ac:dyDescent="0.25">
      <c r="D1382" s="13">
        <v>45280</v>
      </c>
      <c r="H1382" s="3" t="s">
        <v>34</v>
      </c>
      <c r="I1382" s="3" t="s">
        <v>35</v>
      </c>
      <c r="J1382" s="3">
        <f t="shared" si="117"/>
        <v>8156</v>
      </c>
      <c r="K1382" s="3">
        <f t="shared" si="116"/>
        <v>8168</v>
      </c>
      <c r="L1382" s="3">
        <v>12</v>
      </c>
      <c r="M1382" s="3">
        <f t="shared" si="118"/>
        <v>33.019999999999953</v>
      </c>
      <c r="N1382" s="3">
        <v>1.25</v>
      </c>
    </row>
    <row r="1383" spans="4:14" ht="15" customHeight="1" x14ac:dyDescent="0.25">
      <c r="D1383" s="13"/>
      <c r="H1383" s="3" t="s">
        <v>35</v>
      </c>
      <c r="I1383" s="3" t="s">
        <v>34</v>
      </c>
      <c r="J1383" s="3">
        <f t="shared" si="117"/>
        <v>8168</v>
      </c>
      <c r="K1383" s="3">
        <f t="shared" si="116"/>
        <v>8180</v>
      </c>
      <c r="L1383" s="3">
        <v>12</v>
      </c>
      <c r="M1383" s="3">
        <f t="shared" si="118"/>
        <v>31.769999999999953</v>
      </c>
      <c r="N1383" s="3">
        <v>1.25</v>
      </c>
    </row>
    <row r="1384" spans="4:14" ht="15" customHeight="1" x14ac:dyDescent="0.25">
      <c r="D1384" s="13">
        <v>45281</v>
      </c>
      <c r="H1384" s="3" t="s">
        <v>34</v>
      </c>
      <c r="I1384" s="3" t="s">
        <v>54</v>
      </c>
      <c r="J1384" s="3">
        <f t="shared" si="117"/>
        <v>8180</v>
      </c>
      <c r="K1384" s="3">
        <f t="shared" si="116"/>
        <v>8207</v>
      </c>
      <c r="L1384" s="3">
        <v>27</v>
      </c>
      <c r="M1384" s="3">
        <f t="shared" si="118"/>
        <v>28.569999999999954</v>
      </c>
      <c r="N1384" s="3">
        <v>3.2</v>
      </c>
    </row>
    <row r="1385" spans="4:14" ht="15" customHeight="1" x14ac:dyDescent="0.25">
      <c r="D1385" s="13"/>
      <c r="H1385" s="3" t="s">
        <v>54</v>
      </c>
      <c r="I1385" s="3" t="s">
        <v>34</v>
      </c>
      <c r="J1385" s="3">
        <f t="shared" si="117"/>
        <v>8207</v>
      </c>
      <c r="K1385" s="3">
        <f t="shared" si="116"/>
        <v>8234</v>
      </c>
      <c r="L1385" s="3">
        <v>27</v>
      </c>
      <c r="M1385" s="3">
        <f t="shared" si="118"/>
        <v>25.369999999999955</v>
      </c>
      <c r="N1385" s="3">
        <v>3.2</v>
      </c>
    </row>
    <row r="1386" spans="4:14" ht="15" customHeight="1" x14ac:dyDescent="0.25">
      <c r="D1386" s="13">
        <v>45282</v>
      </c>
      <c r="H1386" s="3" t="s">
        <v>34</v>
      </c>
      <c r="I1386" s="3" t="s">
        <v>54</v>
      </c>
      <c r="J1386" s="3">
        <f t="shared" si="117"/>
        <v>8234</v>
      </c>
      <c r="K1386" s="3">
        <f t="shared" si="116"/>
        <v>8261</v>
      </c>
      <c r="L1386" s="3">
        <v>27</v>
      </c>
      <c r="M1386" s="3">
        <f t="shared" si="118"/>
        <v>22.169999999999956</v>
      </c>
      <c r="N1386" s="3">
        <v>3.2</v>
      </c>
    </row>
    <row r="1387" spans="4:14" ht="15" customHeight="1" x14ac:dyDescent="0.25">
      <c r="D1387" s="13"/>
      <c r="H1387" s="3" t="s">
        <v>54</v>
      </c>
      <c r="I1387" s="3" t="s">
        <v>34</v>
      </c>
      <c r="J1387" s="3">
        <f t="shared" si="117"/>
        <v>8261</v>
      </c>
      <c r="K1387" s="3">
        <f t="shared" si="116"/>
        <v>8288</v>
      </c>
      <c r="L1387" s="3">
        <v>27</v>
      </c>
      <c r="M1387" s="3">
        <f t="shared" si="118"/>
        <v>18.969999999999956</v>
      </c>
      <c r="N1387" s="3">
        <v>3.2</v>
      </c>
    </row>
    <row r="1388" spans="4:14" ht="15" customHeight="1" x14ac:dyDescent="0.25">
      <c r="D1388" s="13">
        <v>45285</v>
      </c>
      <c r="H1388" s="3" t="s">
        <v>34</v>
      </c>
      <c r="I1388" s="3" t="s">
        <v>59</v>
      </c>
      <c r="J1388" s="3">
        <f t="shared" si="117"/>
        <v>8288</v>
      </c>
      <c r="K1388" s="3">
        <f t="shared" si="116"/>
        <v>8315</v>
      </c>
      <c r="L1388" s="3">
        <v>27</v>
      </c>
      <c r="M1388" s="3">
        <f t="shared" si="118"/>
        <v>15.769999999999957</v>
      </c>
      <c r="N1388" s="3">
        <v>3.2</v>
      </c>
    </row>
    <row r="1389" spans="4:14" ht="15" customHeight="1" x14ac:dyDescent="0.25">
      <c r="D1389" s="13"/>
      <c r="H1389" s="3" t="s">
        <v>59</v>
      </c>
      <c r="I1389" s="3" t="s">
        <v>34</v>
      </c>
      <c r="J1389" s="3">
        <f t="shared" si="117"/>
        <v>8315</v>
      </c>
      <c r="K1389" s="3">
        <f t="shared" si="116"/>
        <v>8342</v>
      </c>
      <c r="L1389" s="3">
        <v>27</v>
      </c>
      <c r="M1389" s="3">
        <f t="shared" si="118"/>
        <v>12.569999999999958</v>
      </c>
      <c r="N1389" s="3">
        <v>3.2</v>
      </c>
    </row>
    <row r="1390" spans="4:14" ht="15" customHeight="1" x14ac:dyDescent="0.25">
      <c r="D1390" s="13">
        <v>45286</v>
      </c>
      <c r="E1390">
        <v>33.69</v>
      </c>
      <c r="F1390" s="3">
        <v>55.45</v>
      </c>
      <c r="G1390" s="8">
        <f>E1390*F1390</f>
        <v>1868.1105</v>
      </c>
      <c r="H1390" s="3" t="s">
        <v>34</v>
      </c>
      <c r="I1390" s="3" t="s">
        <v>59</v>
      </c>
      <c r="J1390" s="3">
        <f t="shared" si="117"/>
        <v>8342</v>
      </c>
      <c r="K1390" s="3">
        <f t="shared" si="116"/>
        <v>8369</v>
      </c>
      <c r="L1390" s="3">
        <v>27</v>
      </c>
      <c r="M1390" s="3">
        <f t="shared" si="118"/>
        <v>43.059999999999953</v>
      </c>
      <c r="N1390" s="3">
        <v>3.2</v>
      </c>
    </row>
    <row r="1391" spans="4:14" ht="15" customHeight="1" x14ac:dyDescent="0.25">
      <c r="D1391" s="13"/>
      <c r="G1391" s="8"/>
      <c r="H1391" s="3" t="s">
        <v>59</v>
      </c>
      <c r="I1391" s="3" t="s">
        <v>34</v>
      </c>
      <c r="J1391" s="3">
        <f t="shared" si="117"/>
        <v>8369</v>
      </c>
      <c r="K1391" s="3">
        <f t="shared" si="116"/>
        <v>8396</v>
      </c>
      <c r="L1391" s="3">
        <v>27</v>
      </c>
      <c r="M1391" s="3">
        <f t="shared" si="118"/>
        <v>39.85999999999995</v>
      </c>
      <c r="N1391" s="3">
        <v>3.2</v>
      </c>
    </row>
    <row r="1392" spans="4:14" ht="15" customHeight="1" x14ac:dyDescent="0.25">
      <c r="D1392" s="13">
        <v>45287</v>
      </c>
      <c r="H1392" s="3" t="s">
        <v>34</v>
      </c>
      <c r="I1392" s="3" t="s">
        <v>65</v>
      </c>
      <c r="J1392" s="3">
        <f t="shared" si="117"/>
        <v>8396</v>
      </c>
      <c r="K1392" s="3">
        <f t="shared" si="116"/>
        <v>8476</v>
      </c>
      <c r="L1392" s="3">
        <v>80</v>
      </c>
      <c r="M1392" s="3">
        <f t="shared" si="118"/>
        <v>30.85999999999995</v>
      </c>
      <c r="N1392" s="3">
        <v>9</v>
      </c>
    </row>
    <row r="1393" spans="4:14" ht="15" customHeight="1" x14ac:dyDescent="0.25">
      <c r="D1393" s="13"/>
      <c r="H1393" s="3" t="s">
        <v>65</v>
      </c>
      <c r="I1393" s="3" t="s">
        <v>34</v>
      </c>
      <c r="J1393" s="3">
        <f t="shared" si="117"/>
        <v>8476</v>
      </c>
      <c r="K1393" s="3">
        <f t="shared" si="116"/>
        <v>8556</v>
      </c>
      <c r="L1393" s="3">
        <v>80</v>
      </c>
      <c r="M1393" s="3">
        <f t="shared" si="118"/>
        <v>21.85999999999995</v>
      </c>
      <c r="N1393" s="3">
        <v>9</v>
      </c>
    </row>
    <row r="1394" spans="4:14" ht="15" customHeight="1" x14ac:dyDescent="0.25">
      <c r="D1394" s="13">
        <v>45288</v>
      </c>
      <c r="H1394" s="3" t="s">
        <v>34</v>
      </c>
      <c r="I1394" s="3" t="s">
        <v>39</v>
      </c>
      <c r="J1394" s="3">
        <f t="shared" si="117"/>
        <v>8556</v>
      </c>
      <c r="K1394" s="3">
        <f t="shared" si="116"/>
        <v>8606</v>
      </c>
      <c r="L1394" s="3">
        <v>50</v>
      </c>
      <c r="M1394" s="3">
        <f t="shared" si="118"/>
        <v>16.35999999999995</v>
      </c>
      <c r="N1394" s="3">
        <v>5.5</v>
      </c>
    </row>
    <row r="1395" spans="4:14" ht="15" customHeight="1" x14ac:dyDescent="0.25">
      <c r="D1395" s="13"/>
      <c r="H1395" s="3" t="s">
        <v>39</v>
      </c>
      <c r="I1395" s="3" t="s">
        <v>34</v>
      </c>
      <c r="J1395" s="3">
        <f t="shared" si="117"/>
        <v>8606</v>
      </c>
      <c r="K1395" s="3">
        <f t="shared" si="116"/>
        <v>8656</v>
      </c>
      <c r="L1395" s="3">
        <v>50</v>
      </c>
      <c r="M1395" s="3">
        <f t="shared" si="118"/>
        <v>10.85999999999995</v>
      </c>
      <c r="N1395" s="3">
        <v>5.5</v>
      </c>
    </row>
    <row r="1396" spans="4:14" ht="15" customHeight="1" x14ac:dyDescent="0.25">
      <c r="D1396" s="13">
        <v>45289</v>
      </c>
      <c r="H1396" s="3" t="s">
        <v>34</v>
      </c>
      <c r="I1396" s="3" t="s">
        <v>54</v>
      </c>
      <c r="J1396" s="3">
        <f t="shared" si="117"/>
        <v>8656</v>
      </c>
      <c r="K1396" s="3">
        <f t="shared" si="116"/>
        <v>8683</v>
      </c>
      <c r="L1396" s="3">
        <v>27</v>
      </c>
      <c r="M1396" s="3">
        <f t="shared" si="118"/>
        <v>7.6599999999999495</v>
      </c>
      <c r="N1396" s="3">
        <v>3.2</v>
      </c>
    </row>
    <row r="1397" spans="4:14" ht="15" customHeight="1" x14ac:dyDescent="0.25">
      <c r="H1397" s="3" t="s">
        <v>54</v>
      </c>
      <c r="I1397" s="3" t="s">
        <v>34</v>
      </c>
      <c r="J1397" s="3">
        <f t="shared" si="117"/>
        <v>8683</v>
      </c>
      <c r="K1397" s="3">
        <f t="shared" si="116"/>
        <v>8710</v>
      </c>
      <c r="L1397" s="3">
        <v>27</v>
      </c>
      <c r="M1397" s="3">
        <f t="shared" si="118"/>
        <v>4.4599999999999493</v>
      </c>
      <c r="N1397" s="3">
        <v>3.2</v>
      </c>
    </row>
    <row r="1398" spans="4:14" ht="15" customHeight="1" x14ac:dyDescent="0.25">
      <c r="D1398" s="13"/>
    </row>
    <row r="1399" spans="4:14" ht="15" customHeight="1" x14ac:dyDescent="0.25">
      <c r="D1399" s="2" t="s">
        <v>73</v>
      </c>
      <c r="E1399" s="2"/>
      <c r="F1399" s="2"/>
      <c r="G1399" s="2"/>
    </row>
    <row r="1400" spans="4:14" ht="15" customHeight="1" x14ac:dyDescent="0.25">
      <c r="D1400" s="13">
        <v>45300</v>
      </c>
      <c r="H1400" s="3" t="s">
        <v>34</v>
      </c>
      <c r="I1400" s="3" t="s">
        <v>35</v>
      </c>
      <c r="J1400" s="3">
        <f>K1397</f>
        <v>8710</v>
      </c>
      <c r="K1400" s="3">
        <f>J1400+L1400</f>
        <v>8722</v>
      </c>
      <c r="L1400" s="3">
        <v>12</v>
      </c>
      <c r="M1400" s="3">
        <f>(E1400+M1397)-N1400</f>
        <v>3.2099999999999493</v>
      </c>
      <c r="N1400" s="3">
        <v>1.25</v>
      </c>
    </row>
    <row r="1401" spans="4:14" ht="15" customHeight="1" x14ac:dyDescent="0.25">
      <c r="H1401" s="3" t="s">
        <v>35</v>
      </c>
      <c r="I1401" s="3" t="s">
        <v>34</v>
      </c>
      <c r="J1401" s="3">
        <f>K1400</f>
        <v>8722</v>
      </c>
      <c r="K1401" s="3">
        <f>J1401+L1401</f>
        <v>8734</v>
      </c>
      <c r="L1401" s="3">
        <v>12</v>
      </c>
      <c r="M1401" s="3">
        <f>(E1401+M1400)-N1401</f>
        <v>1.9599999999999493</v>
      </c>
      <c r="N1401" s="3">
        <v>1.25</v>
      </c>
    </row>
    <row r="1402" spans="4:14" ht="15" customHeight="1" x14ac:dyDescent="0.25">
      <c r="D1402" s="13">
        <v>45301</v>
      </c>
      <c r="H1402" s="1" t="s">
        <v>74</v>
      </c>
    </row>
    <row r="1403" spans="4:14" ht="15" customHeight="1" x14ac:dyDescent="0.25">
      <c r="D1403" s="13">
        <v>45315</v>
      </c>
      <c r="H1403" s="1"/>
    </row>
    <row r="1404" spans="4:14" ht="15" customHeight="1" x14ac:dyDescent="0.25">
      <c r="D1404" s="13">
        <v>45316</v>
      </c>
      <c r="H1404" s="1"/>
    </row>
    <row r="1405" spans="4:14" ht="15" customHeight="1" x14ac:dyDescent="0.25">
      <c r="D1405" s="13">
        <v>45317</v>
      </c>
      <c r="H1405" s="1"/>
    </row>
    <row r="1406" spans="4:14" ht="15" customHeight="1" x14ac:dyDescent="0.25">
      <c r="D1406" s="13">
        <v>45320</v>
      </c>
      <c r="H1406" s="1"/>
    </row>
    <row r="1407" spans="4:14" ht="15" customHeight="1" x14ac:dyDescent="0.25">
      <c r="D1407" s="13">
        <v>45321</v>
      </c>
      <c r="H1407" s="1"/>
    </row>
    <row r="1408" spans="4:14" ht="15" customHeight="1" x14ac:dyDescent="0.25">
      <c r="D1408" s="13">
        <v>45322</v>
      </c>
      <c r="H1408" s="1"/>
    </row>
    <row r="1410" spans="4:14" ht="15" customHeight="1" x14ac:dyDescent="0.25">
      <c r="D1410" s="2" t="s">
        <v>75</v>
      </c>
      <c r="E1410" s="2"/>
      <c r="F1410" s="2"/>
      <c r="G1410" s="2"/>
    </row>
    <row r="1411" spans="4:14" ht="15" customHeight="1" x14ac:dyDescent="0.25">
      <c r="D1411" s="13">
        <v>45323</v>
      </c>
      <c r="E1411">
        <v>44.69</v>
      </c>
      <c r="F1411" s="3">
        <v>55.4</v>
      </c>
      <c r="G1411" s="8">
        <f>E1411*F1411</f>
        <v>2475.826</v>
      </c>
      <c r="H1411" s="3" t="s">
        <v>34</v>
      </c>
      <c r="I1411" s="3" t="s">
        <v>35</v>
      </c>
      <c r="J1411" s="3">
        <f>K1401</f>
        <v>8734</v>
      </c>
      <c r="K1411" s="3">
        <f t="shared" ref="K1411:K1450" si="119">J1411+L1411</f>
        <v>8746</v>
      </c>
      <c r="L1411" s="3">
        <v>12</v>
      </c>
      <c r="M1411" s="3">
        <f>(E1411+M1401)-N1411</f>
        <v>45.399999999999949</v>
      </c>
      <c r="N1411" s="3">
        <v>1.25</v>
      </c>
    </row>
    <row r="1412" spans="4:14" ht="15" customHeight="1" x14ac:dyDescent="0.25">
      <c r="H1412" s="3" t="s">
        <v>35</v>
      </c>
      <c r="I1412" s="3" t="s">
        <v>34</v>
      </c>
      <c r="J1412" s="3">
        <f t="shared" ref="J1412:J1450" si="120">K1411</f>
        <v>8746</v>
      </c>
      <c r="K1412" s="3">
        <f t="shared" si="119"/>
        <v>8758</v>
      </c>
      <c r="L1412" s="3">
        <v>12</v>
      </c>
      <c r="M1412" s="3">
        <f t="shared" ref="M1412:M1450" si="121">(E1412+M1411)-N1412</f>
        <v>44.149999999999949</v>
      </c>
      <c r="N1412" s="3">
        <v>1.25</v>
      </c>
    </row>
    <row r="1413" spans="4:14" ht="15" customHeight="1" x14ac:dyDescent="0.25">
      <c r="D1413" s="13">
        <v>45324</v>
      </c>
      <c r="H1413" s="3" t="s">
        <v>34</v>
      </c>
      <c r="I1413" s="3" t="s">
        <v>59</v>
      </c>
      <c r="J1413" s="3">
        <f t="shared" si="120"/>
        <v>8758</v>
      </c>
      <c r="K1413" s="3">
        <f t="shared" si="119"/>
        <v>8785</v>
      </c>
      <c r="L1413" s="3">
        <v>27</v>
      </c>
      <c r="M1413" s="3">
        <f t="shared" si="121"/>
        <v>40.949999999999946</v>
      </c>
      <c r="N1413" s="3">
        <v>3.2</v>
      </c>
    </row>
    <row r="1414" spans="4:14" ht="15" customHeight="1" x14ac:dyDescent="0.25">
      <c r="H1414" s="3" t="s">
        <v>59</v>
      </c>
      <c r="I1414" s="3" t="s">
        <v>34</v>
      </c>
      <c r="J1414" s="3">
        <f t="shared" si="120"/>
        <v>8785</v>
      </c>
      <c r="K1414" s="3">
        <f t="shared" si="119"/>
        <v>8812</v>
      </c>
      <c r="L1414" s="3">
        <v>27</v>
      </c>
      <c r="M1414" s="3">
        <f t="shared" si="121"/>
        <v>37.749999999999943</v>
      </c>
      <c r="N1414" s="3">
        <v>3.2</v>
      </c>
    </row>
    <row r="1415" spans="4:14" ht="15" customHeight="1" x14ac:dyDescent="0.25">
      <c r="D1415" s="13">
        <v>45327</v>
      </c>
      <c r="H1415" s="3" t="s">
        <v>34</v>
      </c>
      <c r="I1415" s="3" t="s">
        <v>54</v>
      </c>
      <c r="J1415" s="3">
        <f t="shared" si="120"/>
        <v>8812</v>
      </c>
      <c r="K1415" s="3">
        <f t="shared" si="119"/>
        <v>8839</v>
      </c>
      <c r="L1415" s="3">
        <v>27</v>
      </c>
      <c r="M1415" s="3">
        <f t="shared" si="121"/>
        <v>34.54999999999994</v>
      </c>
      <c r="N1415" s="3">
        <v>3.2</v>
      </c>
    </row>
    <row r="1416" spans="4:14" ht="15" customHeight="1" x14ac:dyDescent="0.25">
      <c r="H1416" s="3" t="s">
        <v>54</v>
      </c>
      <c r="I1416" s="3" t="s">
        <v>34</v>
      </c>
      <c r="J1416" s="3">
        <f t="shared" si="120"/>
        <v>8839</v>
      </c>
      <c r="K1416" s="3">
        <f t="shared" si="119"/>
        <v>8866</v>
      </c>
      <c r="L1416" s="3">
        <v>27</v>
      </c>
      <c r="M1416" s="3">
        <f t="shared" si="121"/>
        <v>31.349999999999941</v>
      </c>
      <c r="N1416" s="3">
        <v>3.2</v>
      </c>
    </row>
    <row r="1417" spans="4:14" ht="15" customHeight="1" x14ac:dyDescent="0.25">
      <c r="D1417" s="13">
        <v>45328</v>
      </c>
      <c r="H1417" s="3" t="s">
        <v>34</v>
      </c>
      <c r="I1417" s="3" t="s">
        <v>43</v>
      </c>
      <c r="J1417" s="3">
        <f t="shared" si="120"/>
        <v>8866</v>
      </c>
      <c r="K1417" s="3">
        <f t="shared" si="119"/>
        <v>8878</v>
      </c>
      <c r="L1417" s="3">
        <v>12</v>
      </c>
      <c r="M1417" s="3">
        <f t="shared" si="121"/>
        <v>30.099999999999941</v>
      </c>
      <c r="N1417" s="3">
        <v>1.25</v>
      </c>
    </row>
    <row r="1418" spans="4:14" ht="15" customHeight="1" x14ac:dyDescent="0.25">
      <c r="H1418" s="3" t="s">
        <v>43</v>
      </c>
      <c r="I1418" s="3" t="s">
        <v>34</v>
      </c>
      <c r="J1418" s="3">
        <f t="shared" si="120"/>
        <v>8878</v>
      </c>
      <c r="K1418" s="3">
        <f t="shared" si="119"/>
        <v>8890</v>
      </c>
      <c r="L1418" s="3">
        <v>12</v>
      </c>
      <c r="M1418" s="3">
        <f t="shared" si="121"/>
        <v>28.849999999999941</v>
      </c>
      <c r="N1418" s="3">
        <v>1.25</v>
      </c>
    </row>
    <row r="1419" spans="4:14" ht="15" customHeight="1" x14ac:dyDescent="0.25">
      <c r="D1419" s="13">
        <v>45329</v>
      </c>
      <c r="H1419" s="3" t="s">
        <v>34</v>
      </c>
      <c r="I1419" s="3" t="s">
        <v>49</v>
      </c>
      <c r="J1419" s="3">
        <f t="shared" si="120"/>
        <v>8890</v>
      </c>
      <c r="K1419" s="3">
        <f t="shared" si="119"/>
        <v>8917</v>
      </c>
      <c r="L1419" s="3">
        <v>27</v>
      </c>
      <c r="M1419" s="3">
        <f t="shared" si="121"/>
        <v>25.649999999999942</v>
      </c>
      <c r="N1419" s="3">
        <v>3.2</v>
      </c>
    </row>
    <row r="1420" spans="4:14" ht="15" customHeight="1" x14ac:dyDescent="0.25">
      <c r="H1420" s="3" t="s">
        <v>49</v>
      </c>
      <c r="I1420" s="3" t="s">
        <v>34</v>
      </c>
      <c r="J1420" s="3">
        <f t="shared" si="120"/>
        <v>8917</v>
      </c>
      <c r="K1420" s="3">
        <f t="shared" si="119"/>
        <v>8944</v>
      </c>
      <c r="L1420" s="3">
        <v>27</v>
      </c>
      <c r="M1420" s="3">
        <f t="shared" si="121"/>
        <v>22.449999999999942</v>
      </c>
      <c r="N1420" s="3">
        <v>3.2</v>
      </c>
    </row>
    <row r="1421" spans="4:14" ht="15" customHeight="1" x14ac:dyDescent="0.25">
      <c r="D1421" s="13">
        <v>45330</v>
      </c>
      <c r="H1421" s="3" t="s">
        <v>34</v>
      </c>
      <c r="I1421" s="3" t="s">
        <v>35</v>
      </c>
      <c r="J1421" s="3">
        <f t="shared" si="120"/>
        <v>8944</v>
      </c>
      <c r="K1421" s="3">
        <f t="shared" si="119"/>
        <v>8956</v>
      </c>
      <c r="L1421" s="3">
        <v>12</v>
      </c>
      <c r="M1421" s="3">
        <f t="shared" si="121"/>
        <v>21.199999999999942</v>
      </c>
      <c r="N1421" s="3">
        <v>1.25</v>
      </c>
    </row>
    <row r="1422" spans="4:14" ht="15" customHeight="1" x14ac:dyDescent="0.25">
      <c r="H1422" s="3" t="s">
        <v>35</v>
      </c>
      <c r="I1422" s="3" t="s">
        <v>34</v>
      </c>
      <c r="J1422" s="3">
        <f t="shared" si="120"/>
        <v>8956</v>
      </c>
      <c r="K1422" s="3">
        <f t="shared" si="119"/>
        <v>8968</v>
      </c>
      <c r="L1422" s="3">
        <v>12</v>
      </c>
      <c r="M1422" s="3">
        <f t="shared" si="121"/>
        <v>19.949999999999942</v>
      </c>
      <c r="N1422" s="3">
        <v>1.25</v>
      </c>
    </row>
    <row r="1423" spans="4:14" ht="15" customHeight="1" x14ac:dyDescent="0.25">
      <c r="D1423" s="13">
        <v>45331</v>
      </c>
      <c r="H1423" s="3" t="s">
        <v>34</v>
      </c>
      <c r="I1423" s="3" t="s">
        <v>54</v>
      </c>
      <c r="J1423" s="3">
        <f t="shared" si="120"/>
        <v>8968</v>
      </c>
      <c r="K1423" s="3">
        <f t="shared" si="119"/>
        <v>8995</v>
      </c>
      <c r="L1423" s="3">
        <v>27</v>
      </c>
      <c r="M1423" s="3">
        <f t="shared" si="121"/>
        <v>16.749999999999943</v>
      </c>
      <c r="N1423" s="3">
        <v>3.2</v>
      </c>
    </row>
    <row r="1424" spans="4:14" ht="15" customHeight="1" x14ac:dyDescent="0.25">
      <c r="H1424" s="3" t="s">
        <v>54</v>
      </c>
      <c r="I1424" s="3" t="s">
        <v>34</v>
      </c>
      <c r="J1424" s="3">
        <f t="shared" si="120"/>
        <v>8995</v>
      </c>
      <c r="K1424" s="3">
        <f t="shared" si="119"/>
        <v>9022</v>
      </c>
      <c r="L1424" s="3">
        <v>27</v>
      </c>
      <c r="M1424" s="3">
        <f t="shared" si="121"/>
        <v>13.549999999999944</v>
      </c>
      <c r="N1424" s="3">
        <v>3.2</v>
      </c>
    </row>
    <row r="1425" spans="4:14" ht="15" customHeight="1" x14ac:dyDescent="0.25">
      <c r="D1425" s="13">
        <v>45334</v>
      </c>
      <c r="H1425" s="3" t="s">
        <v>34</v>
      </c>
      <c r="I1425" s="3" t="s">
        <v>35</v>
      </c>
      <c r="J1425" s="3">
        <f t="shared" si="120"/>
        <v>9022</v>
      </c>
      <c r="K1425" s="3">
        <f t="shared" si="119"/>
        <v>9034</v>
      </c>
      <c r="L1425" s="3">
        <v>12</v>
      </c>
      <c r="M1425" s="3">
        <f t="shared" si="121"/>
        <v>12.299999999999944</v>
      </c>
      <c r="N1425" s="3">
        <v>1.25</v>
      </c>
    </row>
    <row r="1426" spans="4:14" ht="15" customHeight="1" x14ac:dyDescent="0.25">
      <c r="D1426" s="13"/>
      <c r="H1426" s="3" t="s">
        <v>35</v>
      </c>
      <c r="I1426" s="3" t="s">
        <v>34</v>
      </c>
      <c r="J1426" s="3">
        <f t="shared" si="120"/>
        <v>9034</v>
      </c>
      <c r="K1426" s="3">
        <f t="shared" si="119"/>
        <v>9046</v>
      </c>
      <c r="L1426" s="3">
        <v>12</v>
      </c>
      <c r="M1426" s="3">
        <f t="shared" si="121"/>
        <v>11.049999999999944</v>
      </c>
      <c r="N1426" s="3">
        <v>1.25</v>
      </c>
    </row>
    <row r="1427" spans="4:14" ht="15" customHeight="1" x14ac:dyDescent="0.25">
      <c r="D1427" s="13">
        <v>45335</v>
      </c>
      <c r="H1427" s="3" t="s">
        <v>34</v>
      </c>
      <c r="I1427" s="3" t="s">
        <v>54</v>
      </c>
      <c r="J1427" s="3">
        <f t="shared" si="120"/>
        <v>9046</v>
      </c>
      <c r="K1427" s="3">
        <f t="shared" si="119"/>
        <v>9073</v>
      </c>
      <c r="L1427" s="3">
        <v>27</v>
      </c>
      <c r="M1427" s="3">
        <f t="shared" si="121"/>
        <v>7.8499999999999437</v>
      </c>
      <c r="N1427" s="3">
        <v>3.2</v>
      </c>
    </row>
    <row r="1428" spans="4:14" ht="15" customHeight="1" x14ac:dyDescent="0.25">
      <c r="D1428" s="13"/>
      <c r="H1428" s="3" t="s">
        <v>54</v>
      </c>
      <c r="I1428" s="3" t="s">
        <v>34</v>
      </c>
      <c r="J1428" s="3">
        <f t="shared" si="120"/>
        <v>9073</v>
      </c>
      <c r="K1428" s="3">
        <f t="shared" si="119"/>
        <v>9100</v>
      </c>
      <c r="L1428" s="3">
        <v>27</v>
      </c>
      <c r="M1428" s="3">
        <f t="shared" si="121"/>
        <v>4.6499999999999435</v>
      </c>
      <c r="N1428" s="3">
        <v>3.2</v>
      </c>
    </row>
    <row r="1429" spans="4:14" ht="15" customHeight="1" x14ac:dyDescent="0.25">
      <c r="D1429" s="13">
        <v>45336</v>
      </c>
      <c r="H1429" s="3" t="s">
        <v>34</v>
      </c>
      <c r="I1429" s="3" t="s">
        <v>43</v>
      </c>
      <c r="J1429" s="3">
        <f t="shared" si="120"/>
        <v>9100</v>
      </c>
      <c r="K1429" s="3">
        <f t="shared" si="119"/>
        <v>9112</v>
      </c>
      <c r="L1429" s="3">
        <v>12</v>
      </c>
      <c r="M1429" s="3">
        <f t="shared" si="121"/>
        <v>3.3999999999999435</v>
      </c>
      <c r="N1429" s="3">
        <v>1.25</v>
      </c>
    </row>
    <row r="1430" spans="4:14" ht="15" customHeight="1" x14ac:dyDescent="0.25">
      <c r="D1430" s="13"/>
      <c r="H1430" s="3" t="s">
        <v>43</v>
      </c>
      <c r="I1430" s="3" t="s">
        <v>34</v>
      </c>
      <c r="J1430" s="3">
        <f t="shared" si="120"/>
        <v>9112</v>
      </c>
      <c r="K1430" s="3">
        <f t="shared" si="119"/>
        <v>9124</v>
      </c>
      <c r="L1430" s="3">
        <v>12</v>
      </c>
      <c r="M1430" s="3">
        <f t="shared" si="121"/>
        <v>2.1499999999999435</v>
      </c>
      <c r="N1430" s="3">
        <v>1.25</v>
      </c>
    </row>
    <row r="1431" spans="4:14" ht="15" customHeight="1" x14ac:dyDescent="0.25">
      <c r="D1431" s="13">
        <v>45337</v>
      </c>
      <c r="E1431">
        <v>48.46</v>
      </c>
      <c r="F1431" s="3">
        <v>55.75</v>
      </c>
      <c r="G1431" s="8">
        <f>E1431*F1431</f>
        <v>2701.645</v>
      </c>
      <c r="H1431" s="3" t="s">
        <v>34</v>
      </c>
      <c r="I1431" s="3" t="s">
        <v>65</v>
      </c>
      <c r="J1431" s="3">
        <f t="shared" si="120"/>
        <v>9124</v>
      </c>
      <c r="K1431" s="3">
        <f t="shared" si="119"/>
        <v>9204</v>
      </c>
      <c r="L1431" s="3">
        <v>80</v>
      </c>
      <c r="M1431" s="3">
        <f t="shared" si="121"/>
        <v>41.609999999999943</v>
      </c>
      <c r="N1431" s="3">
        <v>9</v>
      </c>
    </row>
    <row r="1432" spans="4:14" ht="15" customHeight="1" x14ac:dyDescent="0.25">
      <c r="D1432" s="13"/>
      <c r="H1432" s="3" t="s">
        <v>65</v>
      </c>
      <c r="I1432" s="3" t="s">
        <v>34</v>
      </c>
      <c r="J1432" s="3">
        <f t="shared" si="120"/>
        <v>9204</v>
      </c>
      <c r="K1432" s="3">
        <f t="shared" si="119"/>
        <v>9284</v>
      </c>
      <c r="L1432" s="3">
        <v>80</v>
      </c>
      <c r="M1432" s="3">
        <f t="shared" si="121"/>
        <v>32.609999999999943</v>
      </c>
      <c r="N1432" s="3">
        <v>9</v>
      </c>
    </row>
    <row r="1433" spans="4:14" ht="15" customHeight="1" x14ac:dyDescent="0.25">
      <c r="D1433" s="13">
        <v>45338</v>
      </c>
      <c r="H1433" s="3" t="s">
        <v>34</v>
      </c>
      <c r="I1433" s="3" t="s">
        <v>49</v>
      </c>
      <c r="J1433" s="3">
        <f t="shared" si="120"/>
        <v>9284</v>
      </c>
      <c r="K1433" s="3">
        <f t="shared" si="119"/>
        <v>9311</v>
      </c>
      <c r="L1433" s="3">
        <v>27</v>
      </c>
      <c r="M1433" s="3">
        <f t="shared" si="121"/>
        <v>29.409999999999943</v>
      </c>
      <c r="N1433" s="3">
        <v>3.2</v>
      </c>
    </row>
    <row r="1434" spans="4:14" ht="15" customHeight="1" x14ac:dyDescent="0.25">
      <c r="D1434" s="13"/>
      <c r="H1434" s="3" t="s">
        <v>49</v>
      </c>
      <c r="I1434" s="3" t="s">
        <v>34</v>
      </c>
      <c r="J1434" s="3">
        <f t="shared" si="120"/>
        <v>9311</v>
      </c>
      <c r="K1434" s="3">
        <f t="shared" si="119"/>
        <v>9338</v>
      </c>
      <c r="L1434" s="3">
        <v>27</v>
      </c>
      <c r="M1434" s="3">
        <f t="shared" si="121"/>
        <v>26.209999999999944</v>
      </c>
      <c r="N1434" s="3">
        <v>3.2</v>
      </c>
    </row>
    <row r="1435" spans="4:14" ht="15" customHeight="1" x14ac:dyDescent="0.25">
      <c r="D1435" s="13">
        <v>45341</v>
      </c>
      <c r="H1435" s="3" t="s">
        <v>34</v>
      </c>
      <c r="I1435" s="3" t="s">
        <v>54</v>
      </c>
      <c r="J1435" s="3">
        <f t="shared" si="120"/>
        <v>9338</v>
      </c>
      <c r="K1435" s="3">
        <f t="shared" si="119"/>
        <v>9365</v>
      </c>
      <c r="L1435" s="3">
        <v>27</v>
      </c>
      <c r="M1435" s="3">
        <f t="shared" si="121"/>
        <v>23.009999999999945</v>
      </c>
      <c r="N1435" s="3">
        <v>3.2</v>
      </c>
    </row>
    <row r="1436" spans="4:14" ht="15" customHeight="1" x14ac:dyDescent="0.25">
      <c r="H1436" s="3" t="s">
        <v>54</v>
      </c>
      <c r="I1436" s="3" t="s">
        <v>34</v>
      </c>
      <c r="J1436" s="3">
        <f t="shared" si="120"/>
        <v>9365</v>
      </c>
      <c r="K1436" s="3">
        <f t="shared" si="119"/>
        <v>9392</v>
      </c>
      <c r="L1436" s="3">
        <v>27</v>
      </c>
      <c r="M1436" s="3">
        <f t="shared" si="121"/>
        <v>19.809999999999945</v>
      </c>
      <c r="N1436" s="3">
        <v>3.2</v>
      </c>
    </row>
    <row r="1437" spans="4:14" ht="15" customHeight="1" x14ac:dyDescent="0.25">
      <c r="D1437" s="13">
        <v>45342</v>
      </c>
      <c r="H1437" s="3" t="s">
        <v>34</v>
      </c>
      <c r="I1437" s="3" t="s">
        <v>43</v>
      </c>
      <c r="J1437" s="3">
        <f t="shared" si="120"/>
        <v>9392</v>
      </c>
      <c r="K1437" s="3">
        <f t="shared" si="119"/>
        <v>9404</v>
      </c>
      <c r="L1437" s="3">
        <v>12</v>
      </c>
      <c r="M1437" s="3">
        <f t="shared" si="121"/>
        <v>18.559999999999945</v>
      </c>
      <c r="N1437" s="3">
        <v>1.25</v>
      </c>
    </row>
    <row r="1438" spans="4:14" ht="15" customHeight="1" x14ac:dyDescent="0.25">
      <c r="H1438" s="3" t="s">
        <v>43</v>
      </c>
      <c r="I1438" s="3" t="s">
        <v>34</v>
      </c>
      <c r="J1438" s="3">
        <f t="shared" si="120"/>
        <v>9404</v>
      </c>
      <c r="K1438" s="3">
        <f t="shared" si="119"/>
        <v>9416</v>
      </c>
      <c r="L1438" s="3">
        <v>12</v>
      </c>
      <c r="M1438" s="3">
        <f t="shared" si="121"/>
        <v>17.309999999999945</v>
      </c>
      <c r="N1438" s="3">
        <v>1.25</v>
      </c>
    </row>
    <row r="1439" spans="4:14" ht="15" customHeight="1" x14ac:dyDescent="0.25">
      <c r="D1439" s="13">
        <v>45343</v>
      </c>
      <c r="H1439" s="3" t="s">
        <v>34</v>
      </c>
      <c r="I1439" s="3" t="s">
        <v>54</v>
      </c>
      <c r="J1439" s="3">
        <f t="shared" si="120"/>
        <v>9416</v>
      </c>
      <c r="K1439" s="3">
        <f t="shared" si="119"/>
        <v>9443</v>
      </c>
      <c r="L1439" s="3">
        <v>27</v>
      </c>
      <c r="M1439" s="3">
        <f t="shared" si="121"/>
        <v>14.109999999999946</v>
      </c>
      <c r="N1439" s="3">
        <v>3.2</v>
      </c>
    </row>
    <row r="1440" spans="4:14" ht="15" customHeight="1" x14ac:dyDescent="0.25">
      <c r="H1440" s="3" t="s">
        <v>54</v>
      </c>
      <c r="I1440" s="3" t="s">
        <v>34</v>
      </c>
      <c r="J1440" s="3">
        <f t="shared" si="120"/>
        <v>9443</v>
      </c>
      <c r="K1440" s="3">
        <f t="shared" si="119"/>
        <v>9470</v>
      </c>
      <c r="L1440" s="3">
        <v>27</v>
      </c>
      <c r="M1440" s="3">
        <f t="shared" si="121"/>
        <v>10.909999999999947</v>
      </c>
      <c r="N1440" s="3">
        <v>3.2</v>
      </c>
    </row>
    <row r="1441" spans="4:14" ht="15" customHeight="1" x14ac:dyDescent="0.25">
      <c r="D1441" s="13">
        <v>45344</v>
      </c>
      <c r="H1441" s="3" t="s">
        <v>34</v>
      </c>
      <c r="I1441" s="3" t="s">
        <v>35</v>
      </c>
      <c r="J1441" s="3">
        <f t="shared" si="120"/>
        <v>9470</v>
      </c>
      <c r="K1441" s="3">
        <f t="shared" si="119"/>
        <v>9482</v>
      </c>
      <c r="L1441" s="3">
        <v>12</v>
      </c>
      <c r="M1441" s="3">
        <f t="shared" si="121"/>
        <v>9.6599999999999469</v>
      </c>
      <c r="N1441" s="3">
        <v>1.25</v>
      </c>
    </row>
    <row r="1442" spans="4:14" ht="15" customHeight="1" x14ac:dyDescent="0.25">
      <c r="D1442" s="13"/>
      <c r="H1442" s="3" t="s">
        <v>35</v>
      </c>
      <c r="I1442" s="3" t="s">
        <v>34</v>
      </c>
      <c r="J1442" s="3">
        <f t="shared" si="120"/>
        <v>9482</v>
      </c>
      <c r="K1442" s="3">
        <f t="shared" si="119"/>
        <v>9494</v>
      </c>
      <c r="L1442" s="3">
        <v>12</v>
      </c>
      <c r="M1442" s="3">
        <f t="shared" si="121"/>
        <v>8.4099999999999469</v>
      </c>
      <c r="N1442" s="3">
        <v>1.25</v>
      </c>
    </row>
    <row r="1443" spans="4:14" ht="15" customHeight="1" x14ac:dyDescent="0.25">
      <c r="D1443" s="13">
        <v>45348</v>
      </c>
      <c r="H1443" s="3" t="s">
        <v>34</v>
      </c>
      <c r="I1443" s="3" t="s">
        <v>61</v>
      </c>
      <c r="J1443" s="3">
        <f t="shared" si="120"/>
        <v>9494</v>
      </c>
      <c r="K1443" s="3">
        <f t="shared" si="119"/>
        <v>9500</v>
      </c>
      <c r="L1443" s="3">
        <v>6</v>
      </c>
      <c r="M1443" s="3">
        <f t="shared" si="121"/>
        <v>7.7099999999999467</v>
      </c>
      <c r="N1443" s="3">
        <v>0.7</v>
      </c>
    </row>
    <row r="1444" spans="4:14" ht="15" customHeight="1" x14ac:dyDescent="0.25">
      <c r="D1444" s="13"/>
      <c r="H1444" s="3" t="s">
        <v>61</v>
      </c>
      <c r="I1444" s="3" t="s">
        <v>34</v>
      </c>
      <c r="J1444" s="3">
        <f t="shared" si="120"/>
        <v>9500</v>
      </c>
      <c r="K1444" s="3">
        <f t="shared" si="119"/>
        <v>9506</v>
      </c>
      <c r="L1444" s="3">
        <v>6</v>
      </c>
      <c r="M1444" s="3">
        <f t="shared" si="121"/>
        <v>7.0099999999999465</v>
      </c>
      <c r="N1444" s="3">
        <v>0.7</v>
      </c>
    </row>
    <row r="1445" spans="4:14" ht="15" customHeight="1" x14ac:dyDescent="0.25">
      <c r="D1445" s="13">
        <v>45349</v>
      </c>
      <c r="H1445" s="3" t="s">
        <v>34</v>
      </c>
      <c r="I1445" s="3" t="s">
        <v>49</v>
      </c>
      <c r="J1445" s="3">
        <f t="shared" si="120"/>
        <v>9506</v>
      </c>
      <c r="K1445" s="3">
        <f t="shared" si="119"/>
        <v>9533</v>
      </c>
      <c r="L1445" s="3">
        <v>27</v>
      </c>
      <c r="M1445" s="3">
        <f t="shared" si="121"/>
        <v>3.8099999999999463</v>
      </c>
      <c r="N1445" s="3">
        <v>3.2</v>
      </c>
    </row>
    <row r="1446" spans="4:14" ht="15" customHeight="1" x14ac:dyDescent="0.25">
      <c r="D1446" s="13"/>
      <c r="H1446" s="3" t="s">
        <v>49</v>
      </c>
      <c r="I1446" s="3" t="s">
        <v>34</v>
      </c>
      <c r="J1446" s="3">
        <f t="shared" si="120"/>
        <v>9533</v>
      </c>
      <c r="K1446" s="3">
        <f t="shared" si="119"/>
        <v>9560</v>
      </c>
      <c r="L1446" s="3">
        <v>27</v>
      </c>
      <c r="M1446" s="3">
        <f t="shared" si="121"/>
        <v>0.60999999999994614</v>
      </c>
      <c r="N1446" s="3">
        <v>3.2</v>
      </c>
    </row>
    <row r="1447" spans="4:14" ht="15" customHeight="1" x14ac:dyDescent="0.25">
      <c r="D1447" s="13">
        <v>45350</v>
      </c>
      <c r="E1447">
        <v>47.61</v>
      </c>
      <c r="F1447" s="3">
        <v>55.4</v>
      </c>
      <c r="G1447" s="8">
        <f>E1447*F1447</f>
        <v>2637.5940000000001</v>
      </c>
      <c r="H1447" s="3" t="s">
        <v>34</v>
      </c>
      <c r="I1447" s="3" t="s">
        <v>44</v>
      </c>
      <c r="J1447" s="3">
        <f t="shared" si="120"/>
        <v>9560</v>
      </c>
      <c r="K1447" s="3">
        <f t="shared" si="119"/>
        <v>9600</v>
      </c>
      <c r="L1447" s="3">
        <v>40</v>
      </c>
      <c r="M1447" s="3">
        <f t="shared" si="121"/>
        <v>43.419999999999945</v>
      </c>
      <c r="N1447" s="3">
        <v>4.8</v>
      </c>
    </row>
    <row r="1448" spans="4:14" ht="15" customHeight="1" x14ac:dyDescent="0.25">
      <c r="D1448" s="13"/>
      <c r="H1448" s="3" t="s">
        <v>44</v>
      </c>
      <c r="I1448" s="3" t="s">
        <v>34</v>
      </c>
      <c r="J1448" s="3">
        <f t="shared" si="120"/>
        <v>9600</v>
      </c>
      <c r="K1448" s="3">
        <f t="shared" si="119"/>
        <v>9640</v>
      </c>
      <c r="L1448" s="3">
        <v>40</v>
      </c>
      <c r="M1448" s="3">
        <f t="shared" si="121"/>
        <v>38.619999999999948</v>
      </c>
      <c r="N1448" s="3">
        <v>4.8</v>
      </c>
    </row>
    <row r="1449" spans="4:14" ht="15" customHeight="1" x14ac:dyDescent="0.25">
      <c r="D1449" s="13">
        <v>45351</v>
      </c>
      <c r="H1449" s="3" t="s">
        <v>34</v>
      </c>
      <c r="I1449" s="3" t="s">
        <v>65</v>
      </c>
      <c r="J1449" s="3">
        <f t="shared" si="120"/>
        <v>9640</v>
      </c>
      <c r="K1449" s="3">
        <f t="shared" si="119"/>
        <v>9720</v>
      </c>
      <c r="L1449" s="3">
        <v>80</v>
      </c>
      <c r="M1449" s="3">
        <f t="shared" si="121"/>
        <v>29.619999999999948</v>
      </c>
      <c r="N1449" s="3">
        <v>9</v>
      </c>
    </row>
    <row r="1450" spans="4:14" ht="15" customHeight="1" x14ac:dyDescent="0.25">
      <c r="D1450" s="13"/>
      <c r="H1450" s="3" t="s">
        <v>65</v>
      </c>
      <c r="I1450" s="3" t="s">
        <v>34</v>
      </c>
      <c r="J1450" s="3">
        <f t="shared" si="120"/>
        <v>9720</v>
      </c>
      <c r="K1450" s="3">
        <f t="shared" si="119"/>
        <v>9800</v>
      </c>
      <c r="L1450" s="3">
        <v>80</v>
      </c>
      <c r="M1450" s="3">
        <f t="shared" si="121"/>
        <v>20.619999999999948</v>
      </c>
      <c r="N1450" s="3">
        <v>9</v>
      </c>
    </row>
    <row r="1451" spans="4:14" ht="15" customHeight="1" x14ac:dyDescent="0.25">
      <c r="D1451" s="13"/>
    </row>
    <row r="1452" spans="4:14" ht="15" customHeight="1" x14ac:dyDescent="0.25">
      <c r="D1452" s="2" t="s">
        <v>76</v>
      </c>
      <c r="E1452" s="2"/>
      <c r="F1452" s="2"/>
      <c r="G1452" s="2"/>
    </row>
    <row r="1453" spans="4:14" ht="15" customHeight="1" x14ac:dyDescent="0.25">
      <c r="D1453" s="13">
        <v>45352</v>
      </c>
      <c r="H1453" s="3" t="s">
        <v>34</v>
      </c>
      <c r="I1453" s="3" t="s">
        <v>44</v>
      </c>
      <c r="J1453" s="3">
        <f>K1450</f>
        <v>9800</v>
      </c>
      <c r="K1453" s="3">
        <f t="shared" ref="K1453:K1492" si="122">J1453+L1453</f>
        <v>9840</v>
      </c>
      <c r="L1453" s="3">
        <v>40</v>
      </c>
      <c r="M1453" s="3">
        <f>(E1453+M1450)-N1453</f>
        <v>15.819999999999947</v>
      </c>
      <c r="N1453" s="3">
        <v>4.8</v>
      </c>
    </row>
    <row r="1454" spans="4:14" ht="15" customHeight="1" x14ac:dyDescent="0.25">
      <c r="D1454" s="13"/>
      <c r="H1454" s="3" t="s">
        <v>44</v>
      </c>
      <c r="I1454" s="3" t="s">
        <v>34</v>
      </c>
      <c r="J1454" s="3">
        <f t="shared" ref="J1454:J1492" si="123">K1453</f>
        <v>9840</v>
      </c>
      <c r="K1454" s="3">
        <f t="shared" si="122"/>
        <v>9880</v>
      </c>
      <c r="L1454" s="3">
        <v>40</v>
      </c>
      <c r="M1454" s="3">
        <f t="shared" ref="M1454:M1492" si="124">(E1454+M1453)-N1454</f>
        <v>11.019999999999946</v>
      </c>
      <c r="N1454" s="3">
        <v>4.8</v>
      </c>
    </row>
    <row r="1455" spans="4:14" ht="15" customHeight="1" x14ac:dyDescent="0.25">
      <c r="D1455" s="13">
        <v>45355</v>
      </c>
      <c r="H1455" s="3" t="s">
        <v>34</v>
      </c>
      <c r="I1455" s="3" t="s">
        <v>54</v>
      </c>
      <c r="J1455" s="3">
        <f t="shared" si="123"/>
        <v>9880</v>
      </c>
      <c r="K1455" s="3">
        <f t="shared" si="122"/>
        <v>9907</v>
      </c>
      <c r="L1455" s="3">
        <v>27</v>
      </c>
      <c r="M1455" s="3">
        <f t="shared" si="124"/>
        <v>7.8199999999999461</v>
      </c>
      <c r="N1455" s="3">
        <v>3.2</v>
      </c>
    </row>
    <row r="1456" spans="4:14" ht="15" customHeight="1" x14ac:dyDescent="0.25">
      <c r="D1456" s="13"/>
      <c r="H1456" s="3" t="s">
        <v>54</v>
      </c>
      <c r="I1456" s="3" t="s">
        <v>34</v>
      </c>
      <c r="J1456" s="3">
        <f t="shared" si="123"/>
        <v>9907</v>
      </c>
      <c r="K1456" s="3">
        <f t="shared" si="122"/>
        <v>9934</v>
      </c>
      <c r="L1456" s="3">
        <v>27</v>
      </c>
      <c r="M1456" s="3">
        <f t="shared" si="124"/>
        <v>4.6199999999999459</v>
      </c>
      <c r="N1456" s="3">
        <v>3.2</v>
      </c>
    </row>
    <row r="1457" spans="4:14" ht="15" customHeight="1" x14ac:dyDescent="0.25">
      <c r="D1457" s="13">
        <v>45356</v>
      </c>
      <c r="H1457" s="3" t="s">
        <v>34</v>
      </c>
      <c r="I1457" s="3" t="s">
        <v>61</v>
      </c>
      <c r="J1457" s="3">
        <f t="shared" si="123"/>
        <v>9934</v>
      </c>
      <c r="K1457" s="3">
        <f t="shared" si="122"/>
        <v>9940</v>
      </c>
      <c r="L1457" s="3">
        <v>6</v>
      </c>
      <c r="M1457" s="3">
        <f t="shared" si="124"/>
        <v>3.9199999999999458</v>
      </c>
      <c r="N1457" s="3">
        <v>0.7</v>
      </c>
    </row>
    <row r="1458" spans="4:14" ht="15" customHeight="1" x14ac:dyDescent="0.25">
      <c r="D1458" s="13"/>
      <c r="H1458" s="3" t="s">
        <v>61</v>
      </c>
      <c r="I1458" s="3" t="s">
        <v>34</v>
      </c>
      <c r="J1458" s="3">
        <f t="shared" si="123"/>
        <v>9940</v>
      </c>
      <c r="K1458" s="3">
        <f t="shared" si="122"/>
        <v>9946</v>
      </c>
      <c r="L1458" s="3">
        <v>6</v>
      </c>
      <c r="M1458" s="3">
        <f t="shared" si="124"/>
        <v>3.2199999999999456</v>
      </c>
      <c r="N1458" s="3">
        <v>0.7</v>
      </c>
    </row>
    <row r="1459" spans="4:14" ht="15" customHeight="1" x14ac:dyDescent="0.25">
      <c r="D1459" s="13">
        <v>45357</v>
      </c>
      <c r="H1459" s="3" t="s">
        <v>34</v>
      </c>
      <c r="I1459" s="3" t="s">
        <v>35</v>
      </c>
      <c r="J1459" s="3">
        <f t="shared" si="123"/>
        <v>9946</v>
      </c>
      <c r="K1459" s="3">
        <f t="shared" si="122"/>
        <v>9958</v>
      </c>
      <c r="L1459" s="3">
        <v>12</v>
      </c>
      <c r="M1459" s="3">
        <f t="shared" si="124"/>
        <v>1.9699999999999456</v>
      </c>
      <c r="N1459" s="3">
        <v>1.25</v>
      </c>
    </row>
    <row r="1460" spans="4:14" ht="15" customHeight="1" x14ac:dyDescent="0.25">
      <c r="D1460" s="13"/>
      <c r="H1460" s="3" t="s">
        <v>35</v>
      </c>
      <c r="I1460" s="3" t="s">
        <v>34</v>
      </c>
      <c r="J1460" s="3">
        <f t="shared" si="123"/>
        <v>9958</v>
      </c>
      <c r="K1460" s="3">
        <f t="shared" si="122"/>
        <v>9970</v>
      </c>
      <c r="L1460" s="3">
        <v>12</v>
      </c>
      <c r="M1460" s="3">
        <f t="shared" si="124"/>
        <v>0.71999999999994557</v>
      </c>
      <c r="N1460" s="3">
        <v>1.25</v>
      </c>
    </row>
    <row r="1461" spans="4:14" ht="15" customHeight="1" x14ac:dyDescent="0.25">
      <c r="D1461" s="13">
        <v>45358</v>
      </c>
      <c r="E1461">
        <v>27.19</v>
      </c>
      <c r="F1461" s="3">
        <v>55.75</v>
      </c>
      <c r="G1461" s="8">
        <f>E1461*F1461</f>
        <v>1515.8425</v>
      </c>
      <c r="H1461" s="3" t="s">
        <v>34</v>
      </c>
      <c r="I1461" s="3" t="s">
        <v>65</v>
      </c>
      <c r="J1461" s="3">
        <f t="shared" si="123"/>
        <v>9970</v>
      </c>
      <c r="K1461" s="3">
        <f t="shared" si="122"/>
        <v>10050</v>
      </c>
      <c r="L1461" s="3">
        <v>80</v>
      </c>
      <c r="M1461" s="3">
        <f t="shared" si="124"/>
        <v>18.909999999999947</v>
      </c>
      <c r="N1461" s="3">
        <v>9</v>
      </c>
    </row>
    <row r="1462" spans="4:14" ht="15" customHeight="1" x14ac:dyDescent="0.25">
      <c r="D1462" s="13"/>
      <c r="G1462" s="8"/>
      <c r="H1462" s="3" t="s">
        <v>65</v>
      </c>
      <c r="I1462" s="3" t="s">
        <v>34</v>
      </c>
      <c r="J1462" s="3">
        <f t="shared" si="123"/>
        <v>10050</v>
      </c>
      <c r="K1462" s="3">
        <f t="shared" si="122"/>
        <v>10130</v>
      </c>
      <c r="L1462" s="3">
        <v>80</v>
      </c>
      <c r="M1462" s="3">
        <f t="shared" si="124"/>
        <v>9.9099999999999469</v>
      </c>
      <c r="N1462" s="3">
        <v>9</v>
      </c>
    </row>
    <row r="1463" spans="4:14" ht="15" customHeight="1" x14ac:dyDescent="0.25">
      <c r="D1463" s="13">
        <v>45362</v>
      </c>
      <c r="H1463" s="3" t="s">
        <v>34</v>
      </c>
      <c r="I1463" s="3" t="s">
        <v>54</v>
      </c>
      <c r="J1463" s="3">
        <f t="shared" si="123"/>
        <v>10130</v>
      </c>
      <c r="K1463" s="3">
        <f t="shared" si="122"/>
        <v>10157</v>
      </c>
      <c r="L1463" s="3">
        <v>27</v>
      </c>
      <c r="M1463" s="3">
        <f t="shared" si="124"/>
        <v>6.7099999999999467</v>
      </c>
      <c r="N1463" s="3">
        <v>3.2</v>
      </c>
    </row>
    <row r="1464" spans="4:14" ht="15" customHeight="1" x14ac:dyDescent="0.25">
      <c r="D1464" s="13"/>
      <c r="H1464" s="3" t="s">
        <v>54</v>
      </c>
      <c r="I1464" s="3" t="s">
        <v>34</v>
      </c>
      <c r="J1464" s="3">
        <f t="shared" si="123"/>
        <v>10157</v>
      </c>
      <c r="K1464" s="3">
        <f t="shared" si="122"/>
        <v>10184</v>
      </c>
      <c r="L1464" s="3">
        <v>27</v>
      </c>
      <c r="M1464" s="3">
        <f t="shared" si="124"/>
        <v>3.5099999999999465</v>
      </c>
      <c r="N1464" s="3">
        <v>3.2</v>
      </c>
    </row>
    <row r="1465" spans="4:14" ht="15" customHeight="1" x14ac:dyDescent="0.25">
      <c r="D1465" s="13">
        <v>45363</v>
      </c>
      <c r="H1465" s="3" t="s">
        <v>34</v>
      </c>
      <c r="I1465" s="3" t="s">
        <v>35</v>
      </c>
      <c r="J1465" s="3">
        <f t="shared" si="123"/>
        <v>10184</v>
      </c>
      <c r="K1465" s="3">
        <f t="shared" si="122"/>
        <v>10196</v>
      </c>
      <c r="L1465" s="3">
        <v>12</v>
      </c>
      <c r="M1465" s="3">
        <f t="shared" si="124"/>
        <v>2.2599999999999465</v>
      </c>
      <c r="N1465" s="3">
        <v>1.25</v>
      </c>
    </row>
    <row r="1466" spans="4:14" ht="15" customHeight="1" x14ac:dyDescent="0.25">
      <c r="D1466" s="13"/>
      <c r="H1466" s="3" t="s">
        <v>35</v>
      </c>
      <c r="I1466" s="3" t="s">
        <v>34</v>
      </c>
      <c r="J1466" s="3">
        <f t="shared" si="123"/>
        <v>10196</v>
      </c>
      <c r="K1466" s="3">
        <f t="shared" si="122"/>
        <v>10208</v>
      </c>
      <c r="L1466" s="3">
        <v>12</v>
      </c>
      <c r="M1466" s="3">
        <f t="shared" si="124"/>
        <v>1.0099999999999465</v>
      </c>
      <c r="N1466" s="3">
        <v>1.25</v>
      </c>
    </row>
    <row r="1467" spans="4:14" ht="15" customHeight="1" x14ac:dyDescent="0.25">
      <c r="D1467" s="13">
        <v>45364</v>
      </c>
      <c r="E1467">
        <v>46.05</v>
      </c>
      <c r="F1467" s="3">
        <v>55.75</v>
      </c>
      <c r="G1467" s="8">
        <f>E1467*F1467</f>
        <v>2567.2874999999999</v>
      </c>
      <c r="H1467" s="3" t="s">
        <v>34</v>
      </c>
      <c r="I1467" s="3" t="s">
        <v>65</v>
      </c>
      <c r="J1467" s="3">
        <f t="shared" si="123"/>
        <v>10208</v>
      </c>
      <c r="K1467" s="3">
        <f t="shared" si="122"/>
        <v>10288</v>
      </c>
      <c r="L1467" s="3">
        <v>80</v>
      </c>
      <c r="M1467" s="3">
        <f t="shared" si="124"/>
        <v>38.059999999999945</v>
      </c>
      <c r="N1467" s="3">
        <v>9</v>
      </c>
    </row>
    <row r="1468" spans="4:14" ht="15" customHeight="1" x14ac:dyDescent="0.25">
      <c r="D1468" s="13"/>
      <c r="G1468" s="8"/>
      <c r="H1468" s="3" t="s">
        <v>65</v>
      </c>
      <c r="I1468" s="3" t="s">
        <v>34</v>
      </c>
      <c r="J1468" s="3">
        <f t="shared" si="123"/>
        <v>10288</v>
      </c>
      <c r="K1468" s="3">
        <f t="shared" si="122"/>
        <v>10368</v>
      </c>
      <c r="L1468" s="3">
        <v>80</v>
      </c>
      <c r="M1468" s="3">
        <f t="shared" si="124"/>
        <v>29.059999999999945</v>
      </c>
      <c r="N1468" s="3">
        <v>9</v>
      </c>
    </row>
    <row r="1469" spans="4:14" ht="15" customHeight="1" x14ac:dyDescent="0.25">
      <c r="D1469" s="13">
        <v>45365</v>
      </c>
      <c r="H1469" s="3" t="s">
        <v>34</v>
      </c>
      <c r="I1469" s="3" t="s">
        <v>49</v>
      </c>
      <c r="J1469" s="3">
        <f t="shared" si="123"/>
        <v>10368</v>
      </c>
      <c r="K1469" s="3">
        <f t="shared" si="122"/>
        <v>10395</v>
      </c>
      <c r="L1469" s="3">
        <v>27</v>
      </c>
      <c r="M1469" s="3">
        <f t="shared" si="124"/>
        <v>25.859999999999946</v>
      </c>
      <c r="N1469" s="3">
        <v>3.2</v>
      </c>
    </row>
    <row r="1470" spans="4:14" ht="15" customHeight="1" x14ac:dyDescent="0.25">
      <c r="D1470" s="13"/>
      <c r="H1470" s="3" t="s">
        <v>49</v>
      </c>
      <c r="I1470" s="3" t="s">
        <v>34</v>
      </c>
      <c r="J1470" s="3">
        <f t="shared" si="123"/>
        <v>10395</v>
      </c>
      <c r="K1470" s="3">
        <f t="shared" si="122"/>
        <v>10422</v>
      </c>
      <c r="L1470" s="3">
        <v>27</v>
      </c>
      <c r="M1470" s="3">
        <f t="shared" si="124"/>
        <v>22.659999999999947</v>
      </c>
      <c r="N1470" s="3">
        <v>3.2</v>
      </c>
    </row>
    <row r="1471" spans="4:14" ht="15" customHeight="1" x14ac:dyDescent="0.25">
      <c r="D1471" s="13">
        <v>45366</v>
      </c>
      <c r="H1471" s="3" t="s">
        <v>34</v>
      </c>
      <c r="I1471" s="3" t="s">
        <v>54</v>
      </c>
      <c r="J1471" s="3">
        <f t="shared" si="123"/>
        <v>10422</v>
      </c>
      <c r="K1471" s="3">
        <f t="shared" si="122"/>
        <v>10449</v>
      </c>
      <c r="L1471" s="3">
        <v>27</v>
      </c>
      <c r="M1471" s="3">
        <f t="shared" si="124"/>
        <v>19.459999999999948</v>
      </c>
      <c r="N1471" s="3">
        <v>3.2</v>
      </c>
    </row>
    <row r="1472" spans="4:14" ht="15" customHeight="1" x14ac:dyDescent="0.25">
      <c r="D1472" s="13"/>
      <c r="H1472" s="3" t="s">
        <v>54</v>
      </c>
      <c r="I1472" s="3" t="s">
        <v>34</v>
      </c>
      <c r="J1472" s="3">
        <f t="shared" si="123"/>
        <v>10449</v>
      </c>
      <c r="K1472" s="3">
        <f t="shared" si="122"/>
        <v>10476</v>
      </c>
      <c r="L1472" s="3">
        <v>27</v>
      </c>
      <c r="M1472" s="3">
        <f t="shared" si="124"/>
        <v>16.259999999999948</v>
      </c>
      <c r="N1472" s="3">
        <v>3.2</v>
      </c>
    </row>
    <row r="1473" spans="4:14" ht="15" customHeight="1" x14ac:dyDescent="0.25">
      <c r="D1473" s="13">
        <v>45369</v>
      </c>
      <c r="H1473" s="3" t="s">
        <v>34</v>
      </c>
      <c r="I1473" s="3" t="s">
        <v>35</v>
      </c>
      <c r="J1473" s="3">
        <f t="shared" si="123"/>
        <v>10476</v>
      </c>
      <c r="K1473" s="3">
        <f t="shared" si="122"/>
        <v>10488</v>
      </c>
      <c r="L1473" s="3">
        <v>12</v>
      </c>
      <c r="M1473" s="3">
        <f t="shared" si="124"/>
        <v>15.009999999999948</v>
      </c>
      <c r="N1473" s="3">
        <v>1.25</v>
      </c>
    </row>
    <row r="1474" spans="4:14" ht="15" customHeight="1" x14ac:dyDescent="0.25">
      <c r="D1474" s="13"/>
      <c r="H1474" s="3" t="s">
        <v>35</v>
      </c>
      <c r="I1474" s="3" t="s">
        <v>34</v>
      </c>
      <c r="J1474" s="3">
        <f t="shared" si="123"/>
        <v>10488</v>
      </c>
      <c r="K1474" s="3">
        <f t="shared" si="122"/>
        <v>10500</v>
      </c>
      <c r="L1474" s="3">
        <v>12</v>
      </c>
      <c r="M1474" s="3">
        <f t="shared" si="124"/>
        <v>13.759999999999948</v>
      </c>
      <c r="N1474" s="3">
        <v>1.25</v>
      </c>
    </row>
    <row r="1475" spans="4:14" ht="15" customHeight="1" x14ac:dyDescent="0.25">
      <c r="D1475" s="13">
        <v>45370</v>
      </c>
      <c r="H1475" s="3" t="s">
        <v>34</v>
      </c>
      <c r="I1475" s="3" t="s">
        <v>43</v>
      </c>
      <c r="J1475" s="3">
        <f t="shared" si="123"/>
        <v>10500</v>
      </c>
      <c r="K1475" s="3">
        <f t="shared" si="122"/>
        <v>10512</v>
      </c>
      <c r="L1475" s="3">
        <v>12</v>
      </c>
      <c r="M1475" s="3">
        <f t="shared" si="124"/>
        <v>12.509999999999948</v>
      </c>
      <c r="N1475" s="3">
        <v>1.25</v>
      </c>
    </row>
    <row r="1476" spans="4:14" ht="15" customHeight="1" x14ac:dyDescent="0.25">
      <c r="D1476" s="13"/>
      <c r="H1476" s="3" t="s">
        <v>43</v>
      </c>
      <c r="I1476" s="3" t="s">
        <v>34</v>
      </c>
      <c r="J1476" s="3">
        <f t="shared" si="123"/>
        <v>10512</v>
      </c>
      <c r="K1476" s="3">
        <f t="shared" si="122"/>
        <v>10524</v>
      </c>
      <c r="L1476" s="3">
        <v>12</v>
      </c>
      <c r="M1476" s="3">
        <f t="shared" si="124"/>
        <v>11.259999999999948</v>
      </c>
      <c r="N1476" s="3">
        <v>1.25</v>
      </c>
    </row>
    <row r="1477" spans="4:14" ht="15" customHeight="1" x14ac:dyDescent="0.25">
      <c r="D1477" s="13">
        <v>45371</v>
      </c>
      <c r="H1477" s="3" t="s">
        <v>34</v>
      </c>
      <c r="I1477" s="3" t="s">
        <v>59</v>
      </c>
      <c r="J1477" s="3">
        <f t="shared" si="123"/>
        <v>10524</v>
      </c>
      <c r="K1477" s="3">
        <f t="shared" si="122"/>
        <v>10551</v>
      </c>
      <c r="L1477" s="3">
        <v>27</v>
      </c>
      <c r="M1477" s="3">
        <f t="shared" si="124"/>
        <v>8.059999999999949</v>
      </c>
      <c r="N1477" s="3">
        <v>3.2</v>
      </c>
    </row>
    <row r="1478" spans="4:14" ht="15" customHeight="1" x14ac:dyDescent="0.25">
      <c r="D1478" s="13"/>
      <c r="H1478" s="3" t="s">
        <v>59</v>
      </c>
      <c r="I1478" s="3" t="s">
        <v>34</v>
      </c>
      <c r="J1478" s="3">
        <f t="shared" si="123"/>
        <v>10551</v>
      </c>
      <c r="K1478" s="3">
        <f t="shared" si="122"/>
        <v>10578</v>
      </c>
      <c r="L1478" s="3">
        <v>27</v>
      </c>
      <c r="M1478" s="3">
        <f t="shared" si="124"/>
        <v>4.8599999999999488</v>
      </c>
      <c r="N1478" s="3">
        <v>3.2</v>
      </c>
    </row>
    <row r="1479" spans="4:14" ht="15" customHeight="1" x14ac:dyDescent="0.25">
      <c r="D1479" s="13">
        <v>45372</v>
      </c>
      <c r="H1479" s="3" t="s">
        <v>34</v>
      </c>
      <c r="I1479" s="3" t="s">
        <v>35</v>
      </c>
      <c r="J1479" s="3">
        <f t="shared" si="123"/>
        <v>10578</v>
      </c>
      <c r="K1479" s="3">
        <f t="shared" si="122"/>
        <v>10590</v>
      </c>
      <c r="L1479" s="3">
        <v>12</v>
      </c>
      <c r="M1479" s="3">
        <f t="shared" si="124"/>
        <v>3.6099999999999488</v>
      </c>
      <c r="N1479" s="3">
        <v>1.25</v>
      </c>
    </row>
    <row r="1480" spans="4:14" ht="15" customHeight="1" x14ac:dyDescent="0.25">
      <c r="D1480" s="13"/>
      <c r="H1480" s="3" t="s">
        <v>35</v>
      </c>
      <c r="I1480" s="3" t="s">
        <v>34</v>
      </c>
      <c r="J1480" s="3">
        <f t="shared" si="123"/>
        <v>10590</v>
      </c>
      <c r="K1480" s="3">
        <f t="shared" si="122"/>
        <v>10602</v>
      </c>
      <c r="L1480" s="3">
        <v>12</v>
      </c>
      <c r="M1480" s="3">
        <f t="shared" si="124"/>
        <v>2.3599999999999488</v>
      </c>
      <c r="N1480" s="3">
        <v>1.25</v>
      </c>
    </row>
    <row r="1481" spans="4:14" ht="15" customHeight="1" x14ac:dyDescent="0.25">
      <c r="D1481" s="13">
        <v>45373</v>
      </c>
      <c r="E1481">
        <v>46.92</v>
      </c>
      <c r="F1481" s="3">
        <v>55.4</v>
      </c>
      <c r="G1481" s="8">
        <f>E1481*F1481</f>
        <v>2599.3679999999999</v>
      </c>
      <c r="H1481" s="3" t="s">
        <v>34</v>
      </c>
      <c r="I1481" s="3" t="s">
        <v>43</v>
      </c>
      <c r="J1481" s="3">
        <f t="shared" si="123"/>
        <v>10602</v>
      </c>
      <c r="K1481" s="3">
        <f t="shared" si="122"/>
        <v>10614</v>
      </c>
      <c r="L1481" s="3">
        <v>12</v>
      </c>
      <c r="M1481" s="3">
        <f t="shared" si="124"/>
        <v>48.029999999999951</v>
      </c>
      <c r="N1481" s="3">
        <v>1.25</v>
      </c>
    </row>
    <row r="1482" spans="4:14" ht="15" customHeight="1" x14ac:dyDescent="0.25">
      <c r="D1482" s="13"/>
      <c r="G1482" s="8"/>
      <c r="H1482" s="3" t="s">
        <v>43</v>
      </c>
      <c r="I1482" s="3" t="s">
        <v>34</v>
      </c>
      <c r="J1482" s="3">
        <f t="shared" si="123"/>
        <v>10614</v>
      </c>
      <c r="K1482" s="3">
        <f t="shared" si="122"/>
        <v>10626</v>
      </c>
      <c r="L1482" s="3">
        <v>12</v>
      </c>
      <c r="M1482" s="3">
        <f t="shared" si="124"/>
        <v>46.779999999999951</v>
      </c>
      <c r="N1482" s="3">
        <v>1.25</v>
      </c>
    </row>
    <row r="1483" spans="4:14" ht="15" customHeight="1" x14ac:dyDescent="0.25">
      <c r="D1483" s="13">
        <v>45376</v>
      </c>
      <c r="H1483" s="3" t="s">
        <v>34</v>
      </c>
      <c r="I1483" s="3" t="s">
        <v>49</v>
      </c>
      <c r="J1483" s="3">
        <f t="shared" si="123"/>
        <v>10626</v>
      </c>
      <c r="K1483" s="3">
        <f t="shared" si="122"/>
        <v>10653</v>
      </c>
      <c r="L1483" s="3">
        <v>27</v>
      </c>
      <c r="M1483" s="3">
        <f t="shared" si="124"/>
        <v>43.579999999999949</v>
      </c>
      <c r="N1483" s="3">
        <v>3.2</v>
      </c>
    </row>
    <row r="1484" spans="4:14" ht="15" customHeight="1" x14ac:dyDescent="0.25">
      <c r="D1484" s="13"/>
      <c r="H1484" s="3" t="s">
        <v>49</v>
      </c>
      <c r="I1484" s="3" t="s">
        <v>34</v>
      </c>
      <c r="J1484" s="3">
        <f t="shared" si="123"/>
        <v>10653</v>
      </c>
      <c r="K1484" s="3">
        <f t="shared" si="122"/>
        <v>10680</v>
      </c>
      <c r="L1484" s="3">
        <v>27</v>
      </c>
      <c r="M1484" s="3">
        <f t="shared" si="124"/>
        <v>40.379999999999946</v>
      </c>
      <c r="N1484" s="3">
        <v>3.2</v>
      </c>
    </row>
    <row r="1485" spans="4:14" ht="15" customHeight="1" x14ac:dyDescent="0.25">
      <c r="D1485" s="13">
        <v>45377</v>
      </c>
      <c r="H1485" s="3" t="s">
        <v>34</v>
      </c>
      <c r="I1485" s="3" t="s">
        <v>65</v>
      </c>
      <c r="J1485" s="3">
        <f t="shared" si="123"/>
        <v>10680</v>
      </c>
      <c r="K1485" s="3">
        <f t="shared" si="122"/>
        <v>10760</v>
      </c>
      <c r="L1485" s="3">
        <v>80</v>
      </c>
      <c r="M1485" s="3">
        <f t="shared" si="124"/>
        <v>31.379999999999946</v>
      </c>
      <c r="N1485" s="3">
        <v>9</v>
      </c>
    </row>
    <row r="1486" spans="4:14" ht="15" customHeight="1" x14ac:dyDescent="0.25">
      <c r="D1486" s="13"/>
      <c r="H1486" s="3" t="s">
        <v>65</v>
      </c>
      <c r="I1486" s="3" t="s">
        <v>34</v>
      </c>
      <c r="J1486" s="3">
        <f t="shared" si="123"/>
        <v>10760</v>
      </c>
      <c r="K1486" s="3">
        <f t="shared" si="122"/>
        <v>10840</v>
      </c>
      <c r="L1486" s="3">
        <v>80</v>
      </c>
      <c r="M1486" s="3">
        <f t="shared" si="124"/>
        <v>22.379999999999946</v>
      </c>
      <c r="N1486" s="3">
        <v>9</v>
      </c>
    </row>
    <row r="1487" spans="4:14" ht="15" customHeight="1" x14ac:dyDescent="0.25">
      <c r="D1487" s="13">
        <v>45378</v>
      </c>
      <c r="H1487" s="3" t="s">
        <v>34</v>
      </c>
      <c r="I1487" s="3" t="s">
        <v>54</v>
      </c>
      <c r="J1487" s="3">
        <f t="shared" si="123"/>
        <v>10840</v>
      </c>
      <c r="K1487" s="3">
        <f t="shared" si="122"/>
        <v>10867</v>
      </c>
      <c r="L1487" s="3">
        <v>27</v>
      </c>
      <c r="M1487" s="3">
        <f t="shared" si="124"/>
        <v>19.179999999999946</v>
      </c>
      <c r="N1487" s="3">
        <v>3.2</v>
      </c>
    </row>
    <row r="1488" spans="4:14" ht="15" customHeight="1" x14ac:dyDescent="0.25">
      <c r="D1488" s="13"/>
      <c r="H1488" s="3" t="s">
        <v>54</v>
      </c>
      <c r="I1488" s="3" t="s">
        <v>34</v>
      </c>
      <c r="J1488" s="3">
        <f t="shared" si="123"/>
        <v>10867</v>
      </c>
      <c r="K1488" s="3">
        <f t="shared" si="122"/>
        <v>10894</v>
      </c>
      <c r="L1488" s="3">
        <v>27</v>
      </c>
      <c r="M1488" s="3">
        <f t="shared" si="124"/>
        <v>15.979999999999947</v>
      </c>
      <c r="N1488" s="3">
        <v>3.2</v>
      </c>
    </row>
    <row r="1489" spans="4:14" ht="15" customHeight="1" x14ac:dyDescent="0.25">
      <c r="D1489" s="13">
        <v>45379</v>
      </c>
      <c r="H1489" s="3" t="s">
        <v>34</v>
      </c>
      <c r="I1489" s="3" t="s">
        <v>44</v>
      </c>
      <c r="J1489" s="3">
        <f t="shared" si="123"/>
        <v>10894</v>
      </c>
      <c r="K1489" s="3">
        <f t="shared" si="122"/>
        <v>10934</v>
      </c>
      <c r="L1489" s="3">
        <v>40</v>
      </c>
      <c r="M1489" s="3">
        <f t="shared" si="124"/>
        <v>11.179999999999946</v>
      </c>
      <c r="N1489" s="3">
        <v>4.8</v>
      </c>
    </row>
    <row r="1490" spans="4:14" ht="15" customHeight="1" x14ac:dyDescent="0.25">
      <c r="D1490" s="13"/>
      <c r="H1490" s="3" t="s">
        <v>44</v>
      </c>
      <c r="I1490" s="3" t="s">
        <v>34</v>
      </c>
      <c r="J1490" s="3">
        <f t="shared" si="123"/>
        <v>10934</v>
      </c>
      <c r="K1490" s="3">
        <f t="shared" si="122"/>
        <v>10974</v>
      </c>
      <c r="L1490" s="3">
        <v>40</v>
      </c>
      <c r="M1490" s="3">
        <f t="shared" si="124"/>
        <v>6.3799999999999466</v>
      </c>
      <c r="N1490" s="3">
        <v>4.8</v>
      </c>
    </row>
    <row r="1491" spans="4:14" ht="15" customHeight="1" x14ac:dyDescent="0.25">
      <c r="D1491" s="13">
        <v>45380</v>
      </c>
      <c r="H1491" s="3" t="s">
        <v>34</v>
      </c>
      <c r="I1491" s="3" t="s">
        <v>35</v>
      </c>
      <c r="J1491" s="3">
        <f t="shared" si="123"/>
        <v>10974</v>
      </c>
      <c r="K1491" s="3">
        <f t="shared" si="122"/>
        <v>10986</v>
      </c>
      <c r="L1491" s="3">
        <v>12</v>
      </c>
      <c r="M1491" s="3">
        <f t="shared" si="124"/>
        <v>5.1299999999999466</v>
      </c>
      <c r="N1491" s="3">
        <v>1.25</v>
      </c>
    </row>
    <row r="1492" spans="4:14" ht="15" customHeight="1" x14ac:dyDescent="0.25">
      <c r="D1492" s="13"/>
      <c r="H1492" s="3" t="s">
        <v>35</v>
      </c>
      <c r="I1492" s="3" t="s">
        <v>34</v>
      </c>
      <c r="J1492" s="3">
        <f t="shared" si="123"/>
        <v>10986</v>
      </c>
      <c r="K1492" s="3">
        <f t="shared" si="122"/>
        <v>10998</v>
      </c>
      <c r="L1492" s="3">
        <v>12</v>
      </c>
      <c r="M1492" s="3">
        <f t="shared" si="124"/>
        <v>3.8799999999999466</v>
      </c>
      <c r="N1492" s="3">
        <v>1.25</v>
      </c>
    </row>
    <row r="1493" spans="4:14" ht="15" customHeight="1" x14ac:dyDescent="0.25">
      <c r="D1493" s="13"/>
    </row>
    <row r="1494" spans="4:14" ht="15" customHeight="1" x14ac:dyDescent="0.25">
      <c r="D1494" s="2" t="s">
        <v>77</v>
      </c>
      <c r="E1494" s="2"/>
      <c r="F1494" s="2"/>
      <c r="G1494" s="2"/>
    </row>
    <row r="1495" spans="4:14" ht="15" customHeight="1" x14ac:dyDescent="0.25">
      <c r="D1495" s="13">
        <v>45383</v>
      </c>
      <c r="H1495" s="3" t="s">
        <v>34</v>
      </c>
      <c r="I1495" s="3" t="s">
        <v>61</v>
      </c>
      <c r="J1495" s="3">
        <f>K1492</f>
        <v>10998</v>
      </c>
      <c r="K1495" s="3">
        <f t="shared" ref="K1495:K1538" si="125">J1495+L1495</f>
        <v>11004</v>
      </c>
      <c r="L1495" s="3">
        <v>6</v>
      </c>
      <c r="M1495" s="3">
        <f>(E1495+M1492)-N1495</f>
        <v>3.1799999999999464</v>
      </c>
      <c r="N1495" s="3">
        <v>0.7</v>
      </c>
    </row>
    <row r="1496" spans="4:14" ht="15" customHeight="1" x14ac:dyDescent="0.25">
      <c r="H1496" s="3" t="s">
        <v>61</v>
      </c>
      <c r="I1496" s="3" t="s">
        <v>34</v>
      </c>
      <c r="J1496" s="3">
        <f t="shared" ref="J1496:J1538" si="126">K1495</f>
        <v>11004</v>
      </c>
      <c r="K1496" s="3">
        <f t="shared" si="125"/>
        <v>11010</v>
      </c>
      <c r="L1496" s="3">
        <v>6</v>
      </c>
      <c r="M1496" s="3">
        <f t="shared" ref="M1496:M1538" si="127">(E1496+M1495)-N1496</f>
        <v>2.4799999999999462</v>
      </c>
      <c r="N1496" s="3">
        <v>0.7</v>
      </c>
    </row>
    <row r="1497" spans="4:14" ht="15" customHeight="1" x14ac:dyDescent="0.25">
      <c r="D1497" s="13">
        <v>45384</v>
      </c>
      <c r="H1497" s="3" t="s">
        <v>34</v>
      </c>
      <c r="I1497" s="3" t="s">
        <v>61</v>
      </c>
      <c r="J1497" s="3">
        <f t="shared" si="126"/>
        <v>11010</v>
      </c>
      <c r="K1497" s="3">
        <f t="shared" si="125"/>
        <v>11016</v>
      </c>
      <c r="L1497" s="3">
        <v>6</v>
      </c>
      <c r="M1497" s="3">
        <f t="shared" si="127"/>
        <v>1.7799999999999463</v>
      </c>
      <c r="N1497" s="3">
        <v>0.7</v>
      </c>
    </row>
    <row r="1498" spans="4:14" ht="15" customHeight="1" x14ac:dyDescent="0.25">
      <c r="D1498" s="13"/>
      <c r="H1498" s="3" t="s">
        <v>61</v>
      </c>
      <c r="I1498" s="3" t="s">
        <v>34</v>
      </c>
      <c r="J1498" s="3">
        <f t="shared" si="126"/>
        <v>11016</v>
      </c>
      <c r="K1498" s="3">
        <f t="shared" si="125"/>
        <v>11022</v>
      </c>
      <c r="L1498" s="3">
        <v>6</v>
      </c>
      <c r="M1498" s="3">
        <f t="shared" si="127"/>
        <v>1.0799999999999463</v>
      </c>
      <c r="N1498" s="3">
        <v>0.7</v>
      </c>
    </row>
    <row r="1499" spans="4:14" ht="15" customHeight="1" x14ac:dyDescent="0.25">
      <c r="D1499" s="13">
        <v>45385</v>
      </c>
      <c r="E1499">
        <v>52.2</v>
      </c>
      <c r="F1499" s="3">
        <v>55.6</v>
      </c>
      <c r="G1499" s="8">
        <f>E1499*F1499</f>
        <v>2902.32</v>
      </c>
      <c r="H1499" s="3" t="s">
        <v>34</v>
      </c>
      <c r="I1499" s="3" t="s">
        <v>43</v>
      </c>
      <c r="J1499" s="3">
        <f t="shared" si="126"/>
        <v>11022</v>
      </c>
      <c r="K1499" s="3">
        <f t="shared" si="125"/>
        <v>11034</v>
      </c>
      <c r="L1499" s="3">
        <v>12</v>
      </c>
      <c r="M1499" s="3">
        <f t="shared" si="127"/>
        <v>52.029999999999951</v>
      </c>
      <c r="N1499" s="3">
        <v>1.25</v>
      </c>
    </row>
    <row r="1500" spans="4:14" ht="15" customHeight="1" x14ac:dyDescent="0.25">
      <c r="D1500" s="13"/>
      <c r="H1500" s="3" t="s">
        <v>43</v>
      </c>
      <c r="I1500" s="3" t="s">
        <v>34</v>
      </c>
      <c r="J1500" s="3">
        <f t="shared" si="126"/>
        <v>11034</v>
      </c>
      <c r="K1500" s="3">
        <f t="shared" si="125"/>
        <v>11046</v>
      </c>
      <c r="L1500" s="3">
        <v>12</v>
      </c>
      <c r="M1500" s="3">
        <f t="shared" si="127"/>
        <v>50.779999999999951</v>
      </c>
      <c r="N1500" s="3">
        <v>1.25</v>
      </c>
    </row>
    <row r="1501" spans="4:14" ht="15" customHeight="1" x14ac:dyDescent="0.25">
      <c r="D1501" s="13">
        <v>45386</v>
      </c>
      <c r="H1501" s="3" t="s">
        <v>34</v>
      </c>
      <c r="I1501" s="3" t="s">
        <v>49</v>
      </c>
      <c r="J1501" s="3">
        <f t="shared" si="126"/>
        <v>11046</v>
      </c>
      <c r="K1501" s="3">
        <f t="shared" si="125"/>
        <v>11073</v>
      </c>
      <c r="L1501" s="3">
        <v>27</v>
      </c>
      <c r="M1501" s="3">
        <f t="shared" si="127"/>
        <v>47.579999999999949</v>
      </c>
      <c r="N1501" s="3">
        <v>3.2</v>
      </c>
    </row>
    <row r="1502" spans="4:14" ht="15" customHeight="1" x14ac:dyDescent="0.25">
      <c r="D1502" s="13"/>
      <c r="H1502" s="3" t="s">
        <v>49</v>
      </c>
      <c r="I1502" s="3" t="s">
        <v>34</v>
      </c>
      <c r="J1502" s="3">
        <f t="shared" si="126"/>
        <v>11073</v>
      </c>
      <c r="K1502" s="3">
        <f t="shared" si="125"/>
        <v>11100</v>
      </c>
      <c r="L1502" s="3">
        <v>27</v>
      </c>
      <c r="M1502" s="3">
        <f t="shared" si="127"/>
        <v>44.379999999999946</v>
      </c>
      <c r="N1502" s="3">
        <v>3.2</v>
      </c>
    </row>
    <row r="1503" spans="4:14" ht="15" customHeight="1" x14ac:dyDescent="0.25">
      <c r="D1503" s="13">
        <v>45387</v>
      </c>
      <c r="H1503" s="3" t="s">
        <v>34</v>
      </c>
      <c r="I1503" s="3" t="s">
        <v>65</v>
      </c>
      <c r="J1503" s="3">
        <f t="shared" si="126"/>
        <v>11100</v>
      </c>
      <c r="K1503" s="3">
        <f t="shared" si="125"/>
        <v>11180</v>
      </c>
      <c r="L1503" s="3">
        <v>80</v>
      </c>
      <c r="M1503" s="3">
        <f t="shared" si="127"/>
        <v>35.379999999999946</v>
      </c>
      <c r="N1503" s="3">
        <v>9</v>
      </c>
    </row>
    <row r="1504" spans="4:14" ht="15" customHeight="1" x14ac:dyDescent="0.25">
      <c r="D1504" s="13"/>
      <c r="H1504" s="3" t="s">
        <v>65</v>
      </c>
      <c r="I1504" s="3" t="s">
        <v>34</v>
      </c>
      <c r="J1504" s="3">
        <f t="shared" si="126"/>
        <v>11180</v>
      </c>
      <c r="K1504" s="3">
        <f t="shared" si="125"/>
        <v>11260</v>
      </c>
      <c r="L1504" s="3">
        <v>80</v>
      </c>
      <c r="M1504" s="3">
        <f t="shared" si="127"/>
        <v>26.379999999999946</v>
      </c>
      <c r="N1504" s="3">
        <v>9</v>
      </c>
    </row>
    <row r="1505" spans="4:14" ht="15" customHeight="1" x14ac:dyDescent="0.25">
      <c r="D1505" s="13">
        <v>45390</v>
      </c>
      <c r="H1505" s="3" t="s">
        <v>34</v>
      </c>
      <c r="I1505" s="3" t="s">
        <v>35</v>
      </c>
      <c r="J1505" s="3">
        <f t="shared" si="126"/>
        <v>11260</v>
      </c>
      <c r="K1505" s="3">
        <f t="shared" si="125"/>
        <v>11272</v>
      </c>
      <c r="L1505" s="3">
        <v>12</v>
      </c>
      <c r="M1505" s="3">
        <f t="shared" si="127"/>
        <v>25.129999999999946</v>
      </c>
      <c r="N1505" s="3">
        <v>1.25</v>
      </c>
    </row>
    <row r="1506" spans="4:14" ht="15" customHeight="1" x14ac:dyDescent="0.25">
      <c r="D1506" s="13"/>
      <c r="H1506" s="3" t="s">
        <v>35</v>
      </c>
      <c r="I1506" s="3" t="s">
        <v>34</v>
      </c>
      <c r="J1506" s="3">
        <f t="shared" si="126"/>
        <v>11272</v>
      </c>
      <c r="K1506" s="3">
        <f t="shared" si="125"/>
        <v>11284</v>
      </c>
      <c r="L1506" s="3">
        <v>12</v>
      </c>
      <c r="M1506" s="3">
        <f t="shared" si="127"/>
        <v>23.879999999999946</v>
      </c>
      <c r="N1506" s="3">
        <v>1.25</v>
      </c>
    </row>
    <row r="1507" spans="4:14" ht="15" customHeight="1" x14ac:dyDescent="0.25">
      <c r="D1507" s="13">
        <v>45391</v>
      </c>
      <c r="H1507" s="3" t="s">
        <v>34</v>
      </c>
      <c r="I1507" s="3" t="s">
        <v>43</v>
      </c>
      <c r="J1507" s="3">
        <f t="shared" si="126"/>
        <v>11284</v>
      </c>
      <c r="K1507" s="3">
        <f t="shared" si="125"/>
        <v>11296</v>
      </c>
      <c r="L1507" s="3">
        <v>12</v>
      </c>
      <c r="M1507" s="3">
        <f t="shared" si="127"/>
        <v>22.629999999999946</v>
      </c>
      <c r="N1507" s="3">
        <v>1.25</v>
      </c>
    </row>
    <row r="1508" spans="4:14" ht="15" customHeight="1" x14ac:dyDescent="0.25">
      <c r="D1508" s="13"/>
      <c r="H1508" s="3" t="s">
        <v>43</v>
      </c>
      <c r="I1508" s="3" t="s">
        <v>34</v>
      </c>
      <c r="J1508" s="3">
        <f t="shared" si="126"/>
        <v>11296</v>
      </c>
      <c r="K1508" s="3">
        <f t="shared" si="125"/>
        <v>11308</v>
      </c>
      <c r="L1508" s="3">
        <v>12</v>
      </c>
      <c r="M1508" s="3">
        <f t="shared" si="127"/>
        <v>21.379999999999946</v>
      </c>
      <c r="N1508" s="3">
        <v>1.25</v>
      </c>
    </row>
    <row r="1509" spans="4:14" ht="15" customHeight="1" x14ac:dyDescent="0.25">
      <c r="D1509" s="13">
        <v>45392</v>
      </c>
      <c r="H1509" s="3" t="s">
        <v>34</v>
      </c>
      <c r="I1509" s="3" t="s">
        <v>54</v>
      </c>
      <c r="J1509" s="3">
        <f t="shared" si="126"/>
        <v>11308</v>
      </c>
      <c r="K1509" s="3">
        <f t="shared" si="125"/>
        <v>11335</v>
      </c>
      <c r="L1509" s="3">
        <v>27</v>
      </c>
      <c r="M1509" s="3">
        <f t="shared" si="127"/>
        <v>18.179999999999946</v>
      </c>
      <c r="N1509" s="3">
        <v>3.2</v>
      </c>
    </row>
    <row r="1510" spans="4:14" ht="15" customHeight="1" x14ac:dyDescent="0.25">
      <c r="D1510" s="13"/>
      <c r="H1510" s="3" t="s">
        <v>54</v>
      </c>
      <c r="I1510" s="3" t="s">
        <v>34</v>
      </c>
      <c r="J1510" s="3">
        <f t="shared" si="126"/>
        <v>11335</v>
      </c>
      <c r="K1510" s="3">
        <f t="shared" si="125"/>
        <v>11362</v>
      </c>
      <c r="L1510" s="3">
        <v>27</v>
      </c>
      <c r="M1510" s="3">
        <f t="shared" si="127"/>
        <v>14.979999999999947</v>
      </c>
      <c r="N1510" s="3">
        <v>3.2</v>
      </c>
    </row>
    <row r="1511" spans="4:14" ht="15" customHeight="1" x14ac:dyDescent="0.25">
      <c r="D1511" s="13">
        <v>45393</v>
      </c>
      <c r="H1511" s="3" t="s">
        <v>34</v>
      </c>
      <c r="I1511" s="3" t="s">
        <v>54</v>
      </c>
      <c r="J1511" s="3">
        <f t="shared" si="126"/>
        <v>11362</v>
      </c>
      <c r="K1511" s="3">
        <f t="shared" si="125"/>
        <v>11389</v>
      </c>
      <c r="L1511" s="3">
        <v>27</v>
      </c>
      <c r="M1511" s="3">
        <f t="shared" si="127"/>
        <v>11.779999999999948</v>
      </c>
      <c r="N1511" s="3">
        <v>3.2</v>
      </c>
    </row>
    <row r="1512" spans="4:14" ht="15" customHeight="1" x14ac:dyDescent="0.25">
      <c r="D1512" s="13"/>
      <c r="H1512" s="3" t="s">
        <v>54</v>
      </c>
      <c r="I1512" s="3" t="s">
        <v>34</v>
      </c>
      <c r="J1512" s="3">
        <f t="shared" si="126"/>
        <v>11389</v>
      </c>
      <c r="K1512" s="3">
        <f t="shared" si="125"/>
        <v>11416</v>
      </c>
      <c r="L1512" s="3">
        <v>27</v>
      </c>
      <c r="M1512" s="3">
        <f t="shared" si="127"/>
        <v>8.5799999999999486</v>
      </c>
      <c r="N1512" s="3">
        <v>3.2</v>
      </c>
    </row>
    <row r="1513" spans="4:14" ht="15" customHeight="1" x14ac:dyDescent="0.25">
      <c r="D1513" s="13">
        <v>45394</v>
      </c>
      <c r="E1513">
        <v>35.99</v>
      </c>
      <c r="F1513" s="3">
        <v>56.15</v>
      </c>
      <c r="G1513" s="8">
        <f>E1513*F1513</f>
        <v>2020.8385000000001</v>
      </c>
      <c r="H1513" s="3" t="s">
        <v>34</v>
      </c>
      <c r="I1513" s="3" t="s">
        <v>65</v>
      </c>
      <c r="J1513" s="3">
        <f t="shared" si="126"/>
        <v>11416</v>
      </c>
      <c r="K1513" s="3">
        <f t="shared" si="125"/>
        <v>11496</v>
      </c>
      <c r="L1513" s="3">
        <v>80</v>
      </c>
      <c r="M1513" s="3">
        <f t="shared" si="127"/>
        <v>35.569999999999951</v>
      </c>
      <c r="N1513" s="3">
        <v>9</v>
      </c>
    </row>
    <row r="1514" spans="4:14" ht="15" customHeight="1" x14ac:dyDescent="0.25">
      <c r="D1514" s="13"/>
      <c r="G1514" s="8"/>
      <c r="H1514" s="3" t="s">
        <v>65</v>
      </c>
      <c r="I1514" s="3" t="s">
        <v>34</v>
      </c>
      <c r="J1514" s="3">
        <f t="shared" si="126"/>
        <v>11496</v>
      </c>
      <c r="K1514" s="3">
        <f t="shared" si="125"/>
        <v>11576</v>
      </c>
      <c r="L1514" s="3">
        <v>80</v>
      </c>
      <c r="M1514" s="3">
        <f t="shared" si="127"/>
        <v>26.569999999999951</v>
      </c>
      <c r="N1514" s="3">
        <v>9</v>
      </c>
    </row>
    <row r="1515" spans="4:14" ht="15" customHeight="1" x14ac:dyDescent="0.25">
      <c r="D1515" s="13">
        <v>45397</v>
      </c>
      <c r="H1515" s="3" t="s">
        <v>34</v>
      </c>
      <c r="I1515" s="3" t="s">
        <v>54</v>
      </c>
      <c r="J1515" s="3">
        <f t="shared" si="126"/>
        <v>11576</v>
      </c>
      <c r="K1515" s="3">
        <f t="shared" si="125"/>
        <v>11603</v>
      </c>
      <c r="L1515" s="3">
        <v>27</v>
      </c>
      <c r="M1515" s="3">
        <f t="shared" si="127"/>
        <v>23.369999999999951</v>
      </c>
      <c r="N1515" s="3">
        <v>3.2</v>
      </c>
    </row>
    <row r="1516" spans="4:14" ht="15" customHeight="1" x14ac:dyDescent="0.25">
      <c r="D1516" s="13"/>
      <c r="H1516" s="3" t="s">
        <v>54</v>
      </c>
      <c r="I1516" s="3" t="s">
        <v>34</v>
      </c>
      <c r="J1516" s="3">
        <f t="shared" si="126"/>
        <v>11603</v>
      </c>
      <c r="K1516" s="3">
        <f t="shared" si="125"/>
        <v>11630</v>
      </c>
      <c r="L1516" s="3">
        <v>27</v>
      </c>
      <c r="M1516" s="3">
        <f t="shared" si="127"/>
        <v>20.169999999999952</v>
      </c>
      <c r="N1516" s="3">
        <v>3.2</v>
      </c>
    </row>
    <row r="1517" spans="4:14" ht="15" customHeight="1" x14ac:dyDescent="0.25">
      <c r="D1517" s="13">
        <v>45398</v>
      </c>
      <c r="H1517" s="3" t="s">
        <v>34</v>
      </c>
      <c r="I1517" s="3" t="s">
        <v>54</v>
      </c>
      <c r="J1517" s="3">
        <f t="shared" si="126"/>
        <v>11630</v>
      </c>
      <c r="K1517" s="3">
        <f t="shared" si="125"/>
        <v>11657</v>
      </c>
      <c r="L1517" s="3">
        <v>27</v>
      </c>
      <c r="M1517" s="3">
        <f t="shared" si="127"/>
        <v>16.969999999999953</v>
      </c>
      <c r="N1517" s="3">
        <v>3.2</v>
      </c>
    </row>
    <row r="1518" spans="4:14" ht="15" customHeight="1" x14ac:dyDescent="0.25">
      <c r="D1518" s="13"/>
      <c r="H1518" s="3" t="s">
        <v>54</v>
      </c>
      <c r="I1518" s="3" t="s">
        <v>34</v>
      </c>
      <c r="J1518" s="3">
        <f t="shared" si="126"/>
        <v>11657</v>
      </c>
      <c r="K1518" s="3">
        <f t="shared" si="125"/>
        <v>11684</v>
      </c>
      <c r="L1518" s="3">
        <v>27</v>
      </c>
      <c r="M1518" s="3">
        <f t="shared" si="127"/>
        <v>13.769999999999953</v>
      </c>
      <c r="N1518" s="3">
        <v>3.2</v>
      </c>
    </row>
    <row r="1519" spans="4:14" ht="15" customHeight="1" x14ac:dyDescent="0.25">
      <c r="D1519" s="13">
        <v>45399</v>
      </c>
      <c r="H1519" s="3" t="s">
        <v>34</v>
      </c>
      <c r="I1519" s="3" t="s">
        <v>35</v>
      </c>
      <c r="J1519" s="3">
        <f t="shared" si="126"/>
        <v>11684</v>
      </c>
      <c r="K1519" s="3">
        <f t="shared" si="125"/>
        <v>11696</v>
      </c>
      <c r="L1519" s="3">
        <v>12</v>
      </c>
      <c r="M1519" s="3">
        <f t="shared" si="127"/>
        <v>12.519999999999953</v>
      </c>
      <c r="N1519" s="3">
        <v>1.25</v>
      </c>
    </row>
    <row r="1520" spans="4:14" ht="15" customHeight="1" x14ac:dyDescent="0.25">
      <c r="D1520" s="13"/>
      <c r="H1520" s="3" t="s">
        <v>35</v>
      </c>
      <c r="I1520" s="3" t="s">
        <v>34</v>
      </c>
      <c r="J1520" s="3">
        <f t="shared" si="126"/>
        <v>11696</v>
      </c>
      <c r="K1520" s="3">
        <f t="shared" si="125"/>
        <v>11708</v>
      </c>
      <c r="L1520" s="3">
        <v>12</v>
      </c>
      <c r="M1520" s="3">
        <f t="shared" si="127"/>
        <v>11.269999999999953</v>
      </c>
      <c r="N1520" s="3">
        <v>1.25</v>
      </c>
    </row>
    <row r="1521" spans="4:14" ht="15" customHeight="1" x14ac:dyDescent="0.25">
      <c r="D1521" s="13">
        <v>45400</v>
      </c>
      <c r="H1521" s="3" t="s">
        <v>34</v>
      </c>
      <c r="I1521" s="3" t="s">
        <v>35</v>
      </c>
      <c r="J1521" s="3">
        <f t="shared" si="126"/>
        <v>11708</v>
      </c>
      <c r="K1521" s="3">
        <f t="shared" si="125"/>
        <v>11720</v>
      </c>
      <c r="L1521" s="3">
        <v>12</v>
      </c>
      <c r="M1521" s="3">
        <f t="shared" si="127"/>
        <v>10.019999999999953</v>
      </c>
      <c r="N1521" s="3">
        <v>1.25</v>
      </c>
    </row>
    <row r="1522" spans="4:14" ht="15" customHeight="1" x14ac:dyDescent="0.25">
      <c r="D1522" s="13"/>
      <c r="H1522" s="3" t="s">
        <v>35</v>
      </c>
      <c r="I1522" s="3" t="s">
        <v>34</v>
      </c>
      <c r="J1522" s="3">
        <f t="shared" si="126"/>
        <v>11720</v>
      </c>
      <c r="K1522" s="3">
        <f t="shared" si="125"/>
        <v>11732</v>
      </c>
      <c r="L1522" s="3">
        <v>12</v>
      </c>
      <c r="M1522" s="3">
        <f t="shared" si="127"/>
        <v>8.7699999999999534</v>
      </c>
      <c r="N1522" s="3">
        <v>1.25</v>
      </c>
    </row>
    <row r="1523" spans="4:14" ht="15" customHeight="1" x14ac:dyDescent="0.25">
      <c r="D1523" s="13">
        <v>45401</v>
      </c>
      <c r="H1523" s="3" t="s">
        <v>34</v>
      </c>
      <c r="I1523" s="3" t="s">
        <v>35</v>
      </c>
      <c r="J1523" s="3">
        <f t="shared" si="126"/>
        <v>11732</v>
      </c>
      <c r="K1523" s="3">
        <f t="shared" si="125"/>
        <v>11744</v>
      </c>
      <c r="L1523" s="3">
        <v>12</v>
      </c>
      <c r="M1523" s="3">
        <f t="shared" si="127"/>
        <v>7.5199999999999534</v>
      </c>
      <c r="N1523" s="3">
        <v>1.25</v>
      </c>
    </row>
    <row r="1524" spans="4:14" ht="15" customHeight="1" x14ac:dyDescent="0.25">
      <c r="D1524" s="13"/>
      <c r="H1524" s="3" t="s">
        <v>35</v>
      </c>
      <c r="I1524" s="3" t="s">
        <v>34</v>
      </c>
      <c r="J1524" s="3">
        <f t="shared" si="126"/>
        <v>11744</v>
      </c>
      <c r="K1524" s="3">
        <f t="shared" si="125"/>
        <v>11756</v>
      </c>
      <c r="L1524" s="3">
        <v>12</v>
      </c>
      <c r="M1524" s="3">
        <f t="shared" si="127"/>
        <v>6.2699999999999534</v>
      </c>
      <c r="N1524" s="3">
        <v>1.25</v>
      </c>
    </row>
    <row r="1525" spans="4:14" ht="15" customHeight="1" x14ac:dyDescent="0.25">
      <c r="D1525" s="13">
        <v>45404</v>
      </c>
      <c r="H1525" s="3" t="s">
        <v>34</v>
      </c>
      <c r="I1525" s="3" t="s">
        <v>35</v>
      </c>
      <c r="J1525" s="3">
        <f t="shared" si="126"/>
        <v>11756</v>
      </c>
      <c r="K1525" s="3">
        <f t="shared" si="125"/>
        <v>11768</v>
      </c>
      <c r="L1525" s="3">
        <v>12</v>
      </c>
      <c r="M1525" s="3">
        <f t="shared" si="127"/>
        <v>5.0199999999999534</v>
      </c>
      <c r="N1525" s="3">
        <v>1.25</v>
      </c>
    </row>
    <row r="1526" spans="4:14" ht="15" customHeight="1" x14ac:dyDescent="0.25">
      <c r="D1526" s="13"/>
      <c r="H1526" s="3" t="s">
        <v>35</v>
      </c>
      <c r="I1526" s="3" t="s">
        <v>34</v>
      </c>
      <c r="J1526" s="3">
        <f t="shared" si="126"/>
        <v>11768</v>
      </c>
      <c r="K1526" s="3">
        <f t="shared" si="125"/>
        <v>11780</v>
      </c>
      <c r="L1526" s="3">
        <v>12</v>
      </c>
      <c r="M1526" s="3">
        <f t="shared" si="127"/>
        <v>3.7699999999999534</v>
      </c>
      <c r="N1526" s="3">
        <v>1.25</v>
      </c>
    </row>
    <row r="1527" spans="4:14" ht="15" customHeight="1" x14ac:dyDescent="0.25">
      <c r="D1527" s="13">
        <v>45405</v>
      </c>
      <c r="H1527" s="3" t="s">
        <v>34</v>
      </c>
      <c r="I1527" s="3" t="s">
        <v>61</v>
      </c>
      <c r="J1527" s="3">
        <f t="shared" si="126"/>
        <v>11780</v>
      </c>
      <c r="K1527" s="3">
        <f t="shared" si="125"/>
        <v>11786</v>
      </c>
      <c r="L1527" s="3">
        <v>6</v>
      </c>
      <c r="M1527" s="3">
        <f t="shared" si="127"/>
        <v>3.0699999999999532</v>
      </c>
      <c r="N1527" s="3">
        <v>0.7</v>
      </c>
    </row>
    <row r="1528" spans="4:14" ht="15" customHeight="1" x14ac:dyDescent="0.25">
      <c r="D1528" s="13"/>
      <c r="H1528" s="3" t="s">
        <v>61</v>
      </c>
      <c r="I1528" s="3" t="s">
        <v>34</v>
      </c>
      <c r="J1528" s="3">
        <f t="shared" si="126"/>
        <v>11786</v>
      </c>
      <c r="K1528" s="3">
        <f t="shared" si="125"/>
        <v>11792</v>
      </c>
      <c r="L1528" s="3">
        <v>6</v>
      </c>
      <c r="M1528" s="3">
        <f t="shared" si="127"/>
        <v>2.369999999999953</v>
      </c>
      <c r="N1528" s="3">
        <v>0.7</v>
      </c>
    </row>
    <row r="1529" spans="4:14" ht="15" customHeight="1" x14ac:dyDescent="0.25">
      <c r="D1529" s="13">
        <v>45406</v>
      </c>
      <c r="H1529" s="3" t="s">
        <v>34</v>
      </c>
      <c r="I1529" s="3" t="s">
        <v>61</v>
      </c>
      <c r="J1529" s="3">
        <f t="shared" si="126"/>
        <v>11792</v>
      </c>
      <c r="K1529" s="3">
        <f t="shared" si="125"/>
        <v>11798</v>
      </c>
      <c r="L1529" s="3">
        <v>6</v>
      </c>
      <c r="M1529" s="3">
        <f t="shared" si="127"/>
        <v>1.6699999999999531</v>
      </c>
      <c r="N1529" s="3">
        <v>0.7</v>
      </c>
    </row>
    <row r="1530" spans="4:14" ht="15" customHeight="1" x14ac:dyDescent="0.25">
      <c r="D1530" s="13"/>
      <c r="H1530" s="3" t="s">
        <v>61</v>
      </c>
      <c r="I1530" s="3" t="s">
        <v>34</v>
      </c>
      <c r="J1530" s="3">
        <f t="shared" si="126"/>
        <v>11798</v>
      </c>
      <c r="K1530" s="3">
        <f t="shared" si="125"/>
        <v>11804</v>
      </c>
      <c r="L1530" s="3">
        <v>6</v>
      </c>
      <c r="M1530" s="3">
        <f t="shared" si="127"/>
        <v>0.96999999999995312</v>
      </c>
      <c r="N1530" s="3">
        <v>0.7</v>
      </c>
    </row>
    <row r="1531" spans="4:14" ht="15" customHeight="1" x14ac:dyDescent="0.25">
      <c r="D1531" s="13">
        <v>45407</v>
      </c>
      <c r="E1531">
        <v>46.16</v>
      </c>
      <c r="F1531" s="3">
        <v>56.45</v>
      </c>
      <c r="G1531" s="8">
        <f>E1531*F1531</f>
        <v>2605.732</v>
      </c>
      <c r="H1531" s="3" t="s">
        <v>34</v>
      </c>
      <c r="I1531" s="3" t="s">
        <v>54</v>
      </c>
      <c r="J1531" s="3">
        <f t="shared" si="126"/>
        <v>11804</v>
      </c>
      <c r="K1531" s="3">
        <f t="shared" si="125"/>
        <v>11831</v>
      </c>
      <c r="L1531" s="3">
        <v>27</v>
      </c>
      <c r="M1531" s="3">
        <f t="shared" si="127"/>
        <v>43.92999999999995</v>
      </c>
      <c r="N1531" s="3">
        <v>3.2</v>
      </c>
    </row>
    <row r="1532" spans="4:14" ht="15" customHeight="1" x14ac:dyDescent="0.25">
      <c r="D1532" s="13"/>
      <c r="G1532" s="8"/>
      <c r="H1532" s="3" t="s">
        <v>54</v>
      </c>
      <c r="I1532" s="3" t="s">
        <v>34</v>
      </c>
      <c r="J1532" s="3">
        <f t="shared" si="126"/>
        <v>11831</v>
      </c>
      <c r="K1532" s="3">
        <f t="shared" si="125"/>
        <v>11858</v>
      </c>
      <c r="L1532" s="3">
        <v>27</v>
      </c>
      <c r="M1532" s="3">
        <f t="shared" si="127"/>
        <v>40.729999999999947</v>
      </c>
      <c r="N1532" s="3">
        <v>3.2</v>
      </c>
    </row>
    <row r="1533" spans="4:14" ht="15" customHeight="1" x14ac:dyDescent="0.25">
      <c r="D1533" s="13">
        <v>45408</v>
      </c>
      <c r="H1533" s="3" t="s">
        <v>34</v>
      </c>
      <c r="I1533" s="3" t="s">
        <v>65</v>
      </c>
      <c r="J1533" s="3">
        <f t="shared" si="126"/>
        <v>11858</v>
      </c>
      <c r="K1533" s="3">
        <f t="shared" si="125"/>
        <v>11938</v>
      </c>
      <c r="L1533" s="3">
        <v>80</v>
      </c>
      <c r="M1533" s="3">
        <f t="shared" si="127"/>
        <v>31.729999999999947</v>
      </c>
      <c r="N1533" s="3">
        <v>9</v>
      </c>
    </row>
    <row r="1534" spans="4:14" ht="15" customHeight="1" x14ac:dyDescent="0.25">
      <c r="D1534" s="13"/>
      <c r="H1534" s="3" t="s">
        <v>65</v>
      </c>
      <c r="I1534" s="3" t="s">
        <v>34</v>
      </c>
      <c r="J1534" s="3">
        <f t="shared" si="126"/>
        <v>11938</v>
      </c>
      <c r="K1534" s="3">
        <f t="shared" si="125"/>
        <v>12018</v>
      </c>
      <c r="L1534" s="3">
        <v>80</v>
      </c>
      <c r="M1534" s="3">
        <f t="shared" si="127"/>
        <v>22.729999999999947</v>
      </c>
      <c r="N1534" s="3">
        <v>9</v>
      </c>
    </row>
    <row r="1535" spans="4:14" ht="15" customHeight="1" x14ac:dyDescent="0.25">
      <c r="D1535" s="13">
        <v>45409</v>
      </c>
      <c r="H1535" s="3" t="s">
        <v>34</v>
      </c>
      <c r="I1535" s="3" t="s">
        <v>59</v>
      </c>
      <c r="J1535" s="3">
        <f t="shared" si="126"/>
        <v>12018</v>
      </c>
      <c r="K1535" s="3">
        <f t="shared" si="125"/>
        <v>12045</v>
      </c>
      <c r="L1535" s="3">
        <v>27</v>
      </c>
      <c r="M1535" s="3">
        <f t="shared" si="127"/>
        <v>19.529999999999948</v>
      </c>
      <c r="N1535" s="3">
        <v>3.2</v>
      </c>
    </row>
    <row r="1536" spans="4:14" ht="15" customHeight="1" x14ac:dyDescent="0.25">
      <c r="D1536" s="13"/>
      <c r="H1536" s="3" t="s">
        <v>59</v>
      </c>
      <c r="I1536" s="3" t="s">
        <v>34</v>
      </c>
      <c r="J1536" s="3">
        <f t="shared" si="126"/>
        <v>12045</v>
      </c>
      <c r="K1536" s="3">
        <f t="shared" si="125"/>
        <v>12072</v>
      </c>
      <c r="L1536" s="3">
        <v>27</v>
      </c>
      <c r="M1536" s="3">
        <f t="shared" si="127"/>
        <v>16.329999999999949</v>
      </c>
      <c r="N1536" s="3">
        <v>3.2</v>
      </c>
    </row>
    <row r="1537" spans="4:14" ht="15" customHeight="1" x14ac:dyDescent="0.25">
      <c r="D1537" s="13">
        <v>45412</v>
      </c>
      <c r="H1537" s="3" t="s">
        <v>34</v>
      </c>
      <c r="I1537" s="3" t="s">
        <v>32</v>
      </c>
      <c r="J1537" s="3">
        <f t="shared" si="126"/>
        <v>12072</v>
      </c>
      <c r="K1537" s="3">
        <f t="shared" si="125"/>
        <v>12097</v>
      </c>
      <c r="L1537" s="3">
        <v>25</v>
      </c>
      <c r="M1537" s="3">
        <f t="shared" si="127"/>
        <v>13.329999999999949</v>
      </c>
      <c r="N1537" s="3">
        <v>3</v>
      </c>
    </row>
    <row r="1538" spans="4:14" ht="15" customHeight="1" x14ac:dyDescent="0.25">
      <c r="H1538" s="3" t="s">
        <v>32</v>
      </c>
      <c r="I1538" s="3" t="s">
        <v>34</v>
      </c>
      <c r="J1538" s="3">
        <f t="shared" si="126"/>
        <v>12097</v>
      </c>
      <c r="K1538" s="3">
        <f t="shared" si="125"/>
        <v>12122</v>
      </c>
      <c r="L1538" s="3">
        <v>25</v>
      </c>
      <c r="M1538" s="3">
        <f t="shared" si="127"/>
        <v>10.329999999999949</v>
      </c>
      <c r="N1538" s="3">
        <v>3</v>
      </c>
    </row>
    <row r="1540" spans="4:14" ht="15" customHeight="1" x14ac:dyDescent="0.25">
      <c r="D1540" s="2" t="s">
        <v>78</v>
      </c>
      <c r="E1540" s="2"/>
      <c r="F1540" s="2"/>
      <c r="G1540" s="2"/>
    </row>
    <row r="1541" spans="4:14" ht="15" customHeight="1" x14ac:dyDescent="0.25">
      <c r="D1541" s="13">
        <v>45414</v>
      </c>
      <c r="H1541" s="3" t="s">
        <v>34</v>
      </c>
      <c r="I1541" s="3" t="s">
        <v>59</v>
      </c>
      <c r="J1541" s="3">
        <f>K1538</f>
        <v>12122</v>
      </c>
      <c r="K1541" s="3">
        <f t="shared" ref="K1541:K1580" si="128">J1541+L1541</f>
        <v>12149</v>
      </c>
      <c r="L1541" s="3">
        <v>27</v>
      </c>
      <c r="M1541" s="3">
        <f>(E1541+M1538)-N1541</f>
        <v>7.1299999999999484</v>
      </c>
      <c r="N1541" s="3">
        <v>3.2</v>
      </c>
    </row>
    <row r="1542" spans="4:14" ht="15" customHeight="1" x14ac:dyDescent="0.25">
      <c r="D1542" s="13"/>
      <c r="H1542" s="3" t="s">
        <v>59</v>
      </c>
      <c r="I1542" s="3" t="s">
        <v>34</v>
      </c>
      <c r="J1542" s="3">
        <f t="shared" ref="J1542:J1580" si="129">K1541</f>
        <v>12149</v>
      </c>
      <c r="K1542" s="3">
        <f t="shared" si="128"/>
        <v>12176</v>
      </c>
      <c r="L1542" s="3">
        <v>27</v>
      </c>
      <c r="M1542" s="3">
        <f t="shared" ref="M1542:M1580" si="130">(E1542+M1541)-N1542</f>
        <v>3.9299999999999482</v>
      </c>
      <c r="N1542" s="3">
        <v>3.2</v>
      </c>
    </row>
    <row r="1543" spans="4:14" ht="15" customHeight="1" x14ac:dyDescent="0.25">
      <c r="D1543" s="13">
        <v>45415</v>
      </c>
      <c r="E1543">
        <v>44.06</v>
      </c>
      <c r="F1543" s="3">
        <v>56.1</v>
      </c>
      <c r="G1543" s="8">
        <f>E1543*F1543</f>
        <v>2471.7660000000001</v>
      </c>
      <c r="H1543" s="3" t="s">
        <v>34</v>
      </c>
      <c r="I1543" s="3" t="s">
        <v>54</v>
      </c>
      <c r="J1543" s="3">
        <f t="shared" si="129"/>
        <v>12176</v>
      </c>
      <c r="K1543" s="3">
        <f t="shared" si="128"/>
        <v>12203</v>
      </c>
      <c r="L1543" s="3">
        <v>27</v>
      </c>
      <c r="M1543" s="3">
        <f t="shared" si="130"/>
        <v>44.789999999999949</v>
      </c>
      <c r="N1543" s="3">
        <v>3.2</v>
      </c>
    </row>
    <row r="1544" spans="4:14" ht="15" customHeight="1" x14ac:dyDescent="0.25">
      <c r="D1544" s="13"/>
      <c r="H1544" s="3" t="s">
        <v>54</v>
      </c>
      <c r="I1544" s="3" t="s">
        <v>34</v>
      </c>
      <c r="J1544" s="3">
        <f t="shared" si="129"/>
        <v>12203</v>
      </c>
      <c r="K1544" s="3">
        <f t="shared" si="128"/>
        <v>12230</v>
      </c>
      <c r="L1544" s="3">
        <v>27</v>
      </c>
      <c r="M1544" s="3">
        <f t="shared" si="130"/>
        <v>41.589999999999947</v>
      </c>
      <c r="N1544" s="3">
        <v>3.2</v>
      </c>
    </row>
    <row r="1545" spans="4:14" ht="15" customHeight="1" x14ac:dyDescent="0.25">
      <c r="D1545" s="13">
        <v>45418</v>
      </c>
      <c r="H1545" s="3" t="s">
        <v>34</v>
      </c>
      <c r="I1545" s="3" t="s">
        <v>65</v>
      </c>
      <c r="J1545" s="3">
        <f t="shared" si="129"/>
        <v>12230</v>
      </c>
      <c r="K1545" s="3">
        <f t="shared" si="128"/>
        <v>12310</v>
      </c>
      <c r="L1545" s="3">
        <v>80</v>
      </c>
      <c r="M1545" s="3">
        <f t="shared" si="130"/>
        <v>32.589999999999947</v>
      </c>
      <c r="N1545" s="3">
        <v>9</v>
      </c>
    </row>
    <row r="1546" spans="4:14" ht="15" customHeight="1" x14ac:dyDescent="0.25">
      <c r="D1546" s="13"/>
      <c r="H1546" s="3" t="s">
        <v>65</v>
      </c>
      <c r="I1546" s="3" t="s">
        <v>34</v>
      </c>
      <c r="J1546" s="3">
        <f t="shared" si="129"/>
        <v>12310</v>
      </c>
      <c r="K1546" s="3">
        <f t="shared" si="128"/>
        <v>12390</v>
      </c>
      <c r="L1546" s="3">
        <v>80</v>
      </c>
      <c r="M1546" s="3">
        <f t="shared" si="130"/>
        <v>23.589999999999947</v>
      </c>
      <c r="N1546" s="3">
        <v>9</v>
      </c>
    </row>
    <row r="1547" spans="4:14" ht="15" customHeight="1" x14ac:dyDescent="0.25">
      <c r="D1547" s="13">
        <v>45419</v>
      </c>
      <c r="H1547" s="3" t="s">
        <v>34</v>
      </c>
      <c r="I1547" s="3" t="s">
        <v>35</v>
      </c>
      <c r="J1547" s="3">
        <f t="shared" si="129"/>
        <v>12390</v>
      </c>
      <c r="K1547" s="3">
        <f t="shared" si="128"/>
        <v>12402</v>
      </c>
      <c r="L1547" s="3">
        <v>12</v>
      </c>
      <c r="M1547" s="3">
        <f t="shared" si="130"/>
        <v>22.339999999999947</v>
      </c>
      <c r="N1547" s="3">
        <v>1.25</v>
      </c>
    </row>
    <row r="1548" spans="4:14" ht="15" customHeight="1" x14ac:dyDescent="0.25">
      <c r="D1548" s="13"/>
      <c r="H1548" s="3" t="s">
        <v>35</v>
      </c>
      <c r="I1548" s="3" t="s">
        <v>34</v>
      </c>
      <c r="J1548" s="3">
        <f t="shared" si="129"/>
        <v>12402</v>
      </c>
      <c r="K1548" s="3">
        <f t="shared" si="128"/>
        <v>12414</v>
      </c>
      <c r="L1548" s="3">
        <v>12</v>
      </c>
      <c r="M1548" s="3">
        <f t="shared" si="130"/>
        <v>21.089999999999947</v>
      </c>
      <c r="N1548" s="3">
        <v>1.25</v>
      </c>
    </row>
    <row r="1549" spans="4:14" ht="15" customHeight="1" x14ac:dyDescent="0.25">
      <c r="D1549" s="13">
        <v>45420</v>
      </c>
      <c r="H1549" s="3" t="s">
        <v>34</v>
      </c>
      <c r="I1549" s="3" t="s">
        <v>35</v>
      </c>
      <c r="J1549" s="3">
        <f t="shared" si="129"/>
        <v>12414</v>
      </c>
      <c r="K1549" s="3">
        <f t="shared" si="128"/>
        <v>12426</v>
      </c>
      <c r="L1549" s="3">
        <v>12</v>
      </c>
      <c r="M1549" s="3">
        <f t="shared" si="130"/>
        <v>19.839999999999947</v>
      </c>
      <c r="N1549" s="3">
        <v>1.25</v>
      </c>
    </row>
    <row r="1550" spans="4:14" ht="15" customHeight="1" x14ac:dyDescent="0.25">
      <c r="D1550" s="13"/>
      <c r="H1550" s="3" t="s">
        <v>35</v>
      </c>
      <c r="I1550" s="3" t="s">
        <v>34</v>
      </c>
      <c r="J1550" s="3">
        <f t="shared" si="129"/>
        <v>12426</v>
      </c>
      <c r="K1550" s="3">
        <f t="shared" si="128"/>
        <v>12438</v>
      </c>
      <c r="L1550" s="3">
        <v>12</v>
      </c>
      <c r="M1550" s="3">
        <f t="shared" si="130"/>
        <v>18.589999999999947</v>
      </c>
      <c r="N1550" s="3">
        <v>1.25</v>
      </c>
    </row>
    <row r="1551" spans="4:14" ht="15" customHeight="1" x14ac:dyDescent="0.25">
      <c r="D1551" s="13">
        <v>45425</v>
      </c>
      <c r="H1551" s="3" t="s">
        <v>34</v>
      </c>
      <c r="I1551" s="3" t="s">
        <v>35</v>
      </c>
      <c r="J1551" s="3">
        <f t="shared" si="129"/>
        <v>12438</v>
      </c>
      <c r="K1551" s="3">
        <f t="shared" si="128"/>
        <v>12450</v>
      </c>
      <c r="L1551" s="3">
        <v>12</v>
      </c>
      <c r="M1551" s="3">
        <f t="shared" si="130"/>
        <v>17.339999999999947</v>
      </c>
      <c r="N1551" s="3">
        <v>1.25</v>
      </c>
    </row>
    <row r="1552" spans="4:14" ht="15" customHeight="1" x14ac:dyDescent="0.25">
      <c r="D1552" s="13"/>
      <c r="H1552" s="3" t="s">
        <v>35</v>
      </c>
      <c r="I1552" s="3" t="s">
        <v>34</v>
      </c>
      <c r="J1552" s="3">
        <f t="shared" si="129"/>
        <v>12450</v>
      </c>
      <c r="K1552" s="3">
        <f t="shared" si="128"/>
        <v>12462</v>
      </c>
      <c r="L1552" s="3">
        <v>12</v>
      </c>
      <c r="M1552" s="3">
        <f t="shared" si="130"/>
        <v>16.089999999999947</v>
      </c>
      <c r="N1552" s="3">
        <v>1.25</v>
      </c>
    </row>
    <row r="1553" spans="4:14" ht="15" customHeight="1" x14ac:dyDescent="0.25">
      <c r="D1553" s="13">
        <v>45426</v>
      </c>
      <c r="H1553" s="3" t="s">
        <v>34</v>
      </c>
      <c r="I1553" s="3" t="s">
        <v>49</v>
      </c>
      <c r="J1553" s="3">
        <f t="shared" si="129"/>
        <v>12462</v>
      </c>
      <c r="K1553" s="3">
        <f t="shared" si="128"/>
        <v>12489</v>
      </c>
      <c r="L1553" s="3">
        <v>27</v>
      </c>
      <c r="M1553" s="3">
        <f t="shared" si="130"/>
        <v>12.889999999999947</v>
      </c>
      <c r="N1553" s="3">
        <v>3.2</v>
      </c>
    </row>
    <row r="1554" spans="4:14" ht="15" customHeight="1" x14ac:dyDescent="0.25">
      <c r="D1554" s="13"/>
      <c r="H1554" s="3" t="s">
        <v>49</v>
      </c>
      <c r="I1554" s="3" t="s">
        <v>34</v>
      </c>
      <c r="J1554" s="3">
        <f t="shared" si="129"/>
        <v>12489</v>
      </c>
      <c r="K1554" s="3">
        <f t="shared" si="128"/>
        <v>12516</v>
      </c>
      <c r="L1554" s="3">
        <v>27</v>
      </c>
      <c r="M1554" s="3">
        <f t="shared" si="130"/>
        <v>9.689999999999948</v>
      </c>
      <c r="N1554" s="3">
        <v>3.2</v>
      </c>
    </row>
    <row r="1555" spans="4:14" ht="15" customHeight="1" x14ac:dyDescent="0.25">
      <c r="D1555" s="13">
        <v>45427</v>
      </c>
      <c r="E1555">
        <v>44.22</v>
      </c>
      <c r="F1555" s="3">
        <v>57.2</v>
      </c>
      <c r="G1555" s="8">
        <f>E1555*F1555</f>
        <v>2529.384</v>
      </c>
      <c r="H1555" s="3" t="s">
        <v>34</v>
      </c>
      <c r="I1555" s="3" t="s">
        <v>49</v>
      </c>
      <c r="J1555" s="3">
        <f t="shared" si="129"/>
        <v>12516</v>
      </c>
      <c r="K1555" s="3">
        <f t="shared" si="128"/>
        <v>12543</v>
      </c>
      <c r="L1555" s="3">
        <v>27</v>
      </c>
      <c r="M1555" s="3">
        <f t="shared" si="130"/>
        <v>50.709999999999944</v>
      </c>
      <c r="N1555" s="3">
        <v>3.2</v>
      </c>
    </row>
    <row r="1556" spans="4:14" ht="15" customHeight="1" x14ac:dyDescent="0.25">
      <c r="D1556" s="13"/>
      <c r="H1556" s="3" t="s">
        <v>49</v>
      </c>
      <c r="I1556" s="3" t="s">
        <v>34</v>
      </c>
      <c r="J1556" s="3">
        <f t="shared" si="129"/>
        <v>12543</v>
      </c>
      <c r="K1556" s="3">
        <f t="shared" si="128"/>
        <v>12570</v>
      </c>
      <c r="L1556" s="3">
        <v>27</v>
      </c>
      <c r="M1556" s="3">
        <f t="shared" si="130"/>
        <v>47.509999999999941</v>
      </c>
      <c r="N1556" s="3">
        <v>3.2</v>
      </c>
    </row>
    <row r="1557" spans="4:14" ht="15" customHeight="1" x14ac:dyDescent="0.25">
      <c r="D1557" s="13">
        <v>45428</v>
      </c>
      <c r="H1557" s="3" t="s">
        <v>34</v>
      </c>
      <c r="I1557" s="3" t="s">
        <v>54</v>
      </c>
      <c r="J1557" s="3">
        <f t="shared" si="129"/>
        <v>12570</v>
      </c>
      <c r="K1557" s="3">
        <f t="shared" si="128"/>
        <v>12597</v>
      </c>
      <c r="L1557" s="3">
        <v>27</v>
      </c>
      <c r="M1557" s="3">
        <f t="shared" si="130"/>
        <v>44.309999999999938</v>
      </c>
      <c r="N1557" s="3">
        <v>3.2</v>
      </c>
    </row>
    <row r="1558" spans="4:14" ht="15" customHeight="1" x14ac:dyDescent="0.25">
      <c r="D1558" s="13"/>
      <c r="H1558" s="3" t="s">
        <v>54</v>
      </c>
      <c r="I1558" s="3" t="s">
        <v>34</v>
      </c>
      <c r="J1558" s="3">
        <f t="shared" si="129"/>
        <v>12597</v>
      </c>
      <c r="K1558" s="3">
        <f t="shared" si="128"/>
        <v>12624</v>
      </c>
      <c r="L1558" s="3">
        <v>27</v>
      </c>
      <c r="M1558" s="3">
        <f t="shared" si="130"/>
        <v>41.109999999999935</v>
      </c>
      <c r="N1558" s="3">
        <v>3.2</v>
      </c>
    </row>
    <row r="1559" spans="4:14" ht="15" customHeight="1" x14ac:dyDescent="0.25">
      <c r="D1559" s="13">
        <v>45429</v>
      </c>
      <c r="H1559" s="3" t="s">
        <v>34</v>
      </c>
      <c r="I1559" s="3" t="s">
        <v>54</v>
      </c>
      <c r="J1559" s="3">
        <f t="shared" si="129"/>
        <v>12624</v>
      </c>
      <c r="K1559" s="3">
        <f t="shared" si="128"/>
        <v>12651</v>
      </c>
      <c r="L1559" s="3">
        <v>27</v>
      </c>
      <c r="M1559" s="3">
        <f t="shared" si="130"/>
        <v>37.909999999999933</v>
      </c>
      <c r="N1559" s="3">
        <v>3.2</v>
      </c>
    </row>
    <row r="1560" spans="4:14" ht="15" customHeight="1" x14ac:dyDescent="0.25">
      <c r="D1560" s="13"/>
      <c r="H1560" s="3" t="s">
        <v>54</v>
      </c>
      <c r="I1560" s="3" t="s">
        <v>34</v>
      </c>
      <c r="J1560" s="3">
        <f t="shared" si="129"/>
        <v>12651</v>
      </c>
      <c r="K1560" s="3">
        <f t="shared" si="128"/>
        <v>12678</v>
      </c>
      <c r="L1560" s="3">
        <v>27</v>
      </c>
      <c r="M1560" s="3">
        <f t="shared" si="130"/>
        <v>34.70999999999993</v>
      </c>
      <c r="N1560" s="3">
        <v>3.2</v>
      </c>
    </row>
    <row r="1561" spans="4:14" ht="15" customHeight="1" x14ac:dyDescent="0.25">
      <c r="D1561" s="13">
        <v>45432</v>
      </c>
      <c r="H1561" s="3" t="s">
        <v>34</v>
      </c>
      <c r="I1561" s="3" t="s">
        <v>54</v>
      </c>
      <c r="J1561" s="3">
        <f t="shared" si="129"/>
        <v>12678</v>
      </c>
      <c r="K1561" s="3">
        <f t="shared" si="128"/>
        <v>12705</v>
      </c>
      <c r="L1561" s="3">
        <v>27</v>
      </c>
      <c r="M1561" s="3">
        <f t="shared" si="130"/>
        <v>31.509999999999931</v>
      </c>
      <c r="N1561" s="3">
        <v>3.2</v>
      </c>
    </row>
    <row r="1562" spans="4:14" ht="15" customHeight="1" x14ac:dyDescent="0.25">
      <c r="D1562" s="13"/>
      <c r="H1562" s="3" t="s">
        <v>54</v>
      </c>
      <c r="I1562" s="3" t="s">
        <v>34</v>
      </c>
      <c r="J1562" s="3">
        <f t="shared" si="129"/>
        <v>12705</v>
      </c>
      <c r="K1562" s="3">
        <f t="shared" si="128"/>
        <v>12732</v>
      </c>
      <c r="L1562" s="3">
        <v>27</v>
      </c>
      <c r="M1562" s="3">
        <f t="shared" si="130"/>
        <v>28.309999999999931</v>
      </c>
      <c r="N1562" s="3">
        <v>3.2</v>
      </c>
    </row>
    <row r="1563" spans="4:14" ht="15" customHeight="1" x14ac:dyDescent="0.25">
      <c r="D1563" s="13">
        <v>45433</v>
      </c>
      <c r="H1563" s="3" t="s">
        <v>34</v>
      </c>
      <c r="I1563" s="3" t="s">
        <v>32</v>
      </c>
      <c r="J1563" s="3">
        <f t="shared" si="129"/>
        <v>12732</v>
      </c>
      <c r="K1563" s="3">
        <f t="shared" si="128"/>
        <v>12757</v>
      </c>
      <c r="L1563" s="3">
        <v>25</v>
      </c>
      <c r="M1563" s="3">
        <f t="shared" si="130"/>
        <v>25.309999999999931</v>
      </c>
      <c r="N1563" s="3">
        <v>3</v>
      </c>
    </row>
    <row r="1564" spans="4:14" ht="15" customHeight="1" x14ac:dyDescent="0.25">
      <c r="D1564" s="13"/>
      <c r="H1564" s="3" t="s">
        <v>32</v>
      </c>
      <c r="I1564" s="3" t="s">
        <v>34</v>
      </c>
      <c r="J1564" s="3">
        <f t="shared" si="129"/>
        <v>12757</v>
      </c>
      <c r="K1564" s="3">
        <f t="shared" si="128"/>
        <v>12782</v>
      </c>
      <c r="L1564" s="3">
        <v>25</v>
      </c>
      <c r="M1564" s="3">
        <f t="shared" si="130"/>
        <v>22.309999999999931</v>
      </c>
      <c r="N1564" s="3">
        <v>3</v>
      </c>
    </row>
    <row r="1565" spans="4:14" ht="15" customHeight="1" x14ac:dyDescent="0.25">
      <c r="D1565" s="13">
        <v>45434</v>
      </c>
      <c r="H1565" s="3" t="s">
        <v>34</v>
      </c>
      <c r="I1565" s="3" t="s">
        <v>65</v>
      </c>
      <c r="J1565" s="3">
        <f t="shared" si="129"/>
        <v>12782</v>
      </c>
      <c r="K1565" s="3">
        <f t="shared" si="128"/>
        <v>12862</v>
      </c>
      <c r="L1565" s="3">
        <v>80</v>
      </c>
      <c r="M1565" s="3">
        <f t="shared" si="130"/>
        <v>13.309999999999931</v>
      </c>
      <c r="N1565" s="3">
        <v>9</v>
      </c>
    </row>
    <row r="1566" spans="4:14" ht="15" customHeight="1" x14ac:dyDescent="0.25">
      <c r="D1566" s="13"/>
      <c r="H1566" s="3" t="s">
        <v>65</v>
      </c>
      <c r="I1566" s="3" t="s">
        <v>34</v>
      </c>
      <c r="J1566" s="3">
        <f t="shared" si="129"/>
        <v>12862</v>
      </c>
      <c r="K1566" s="3">
        <f t="shared" si="128"/>
        <v>12942</v>
      </c>
      <c r="L1566" s="3">
        <v>80</v>
      </c>
      <c r="M1566" s="3">
        <f t="shared" si="130"/>
        <v>4.3099999999999312</v>
      </c>
      <c r="N1566" s="3">
        <v>9</v>
      </c>
    </row>
    <row r="1567" spans="4:14" ht="15" customHeight="1" x14ac:dyDescent="0.25">
      <c r="D1567" s="13">
        <v>45435</v>
      </c>
      <c r="H1567" s="3" t="s">
        <v>34</v>
      </c>
      <c r="I1567" s="3" t="s">
        <v>35</v>
      </c>
      <c r="J1567" s="3">
        <f t="shared" si="129"/>
        <v>12942</v>
      </c>
      <c r="K1567" s="3">
        <f t="shared" si="128"/>
        <v>12954</v>
      </c>
      <c r="L1567" s="3">
        <v>12</v>
      </c>
      <c r="M1567" s="3">
        <f t="shared" si="130"/>
        <v>3.0599999999999312</v>
      </c>
      <c r="N1567" s="3">
        <v>1.25</v>
      </c>
    </row>
    <row r="1568" spans="4:14" ht="15" customHeight="1" x14ac:dyDescent="0.25">
      <c r="D1568" s="13"/>
      <c r="H1568" s="3" t="s">
        <v>35</v>
      </c>
      <c r="I1568" s="3" t="s">
        <v>34</v>
      </c>
      <c r="J1568" s="3">
        <f t="shared" si="129"/>
        <v>12954</v>
      </c>
      <c r="K1568" s="3">
        <f t="shared" si="128"/>
        <v>12966</v>
      </c>
      <c r="L1568" s="3">
        <v>12</v>
      </c>
      <c r="M1568" s="3">
        <f t="shared" si="130"/>
        <v>1.8099999999999312</v>
      </c>
      <c r="N1568" s="3">
        <v>1.25</v>
      </c>
    </row>
    <row r="1569" spans="4:14" ht="15" customHeight="1" x14ac:dyDescent="0.25">
      <c r="D1569" s="13">
        <v>45436</v>
      </c>
      <c r="E1569">
        <v>37.1</v>
      </c>
      <c r="F1569" s="3">
        <v>56.4</v>
      </c>
      <c r="G1569" s="8">
        <f>E1569*F1569</f>
        <v>2092.44</v>
      </c>
      <c r="H1569" s="3" t="s">
        <v>34</v>
      </c>
      <c r="I1569" s="3" t="s">
        <v>54</v>
      </c>
      <c r="J1569" s="3">
        <f t="shared" si="129"/>
        <v>12966</v>
      </c>
      <c r="K1569" s="3">
        <f t="shared" si="128"/>
        <v>12993</v>
      </c>
      <c r="L1569" s="3">
        <v>27</v>
      </c>
      <c r="M1569" s="3">
        <f t="shared" si="130"/>
        <v>35.70999999999993</v>
      </c>
      <c r="N1569" s="3">
        <v>3.2</v>
      </c>
    </row>
    <row r="1570" spans="4:14" ht="15" customHeight="1" x14ac:dyDescent="0.25">
      <c r="D1570" s="13"/>
      <c r="H1570" s="3" t="s">
        <v>54</v>
      </c>
      <c r="I1570" s="3" t="s">
        <v>34</v>
      </c>
      <c r="J1570" s="3">
        <f t="shared" si="129"/>
        <v>12993</v>
      </c>
      <c r="K1570" s="3">
        <f t="shared" si="128"/>
        <v>13020</v>
      </c>
      <c r="L1570" s="3">
        <v>27</v>
      </c>
      <c r="M1570" s="3">
        <f t="shared" si="130"/>
        <v>32.509999999999927</v>
      </c>
      <c r="N1570" s="3">
        <v>3.2</v>
      </c>
    </row>
    <row r="1571" spans="4:14" ht="15" customHeight="1" x14ac:dyDescent="0.25">
      <c r="D1571" s="13">
        <v>45439</v>
      </c>
      <c r="H1571" s="3" t="s">
        <v>34</v>
      </c>
      <c r="I1571" s="3" t="s">
        <v>54</v>
      </c>
      <c r="J1571" s="3">
        <f t="shared" si="129"/>
        <v>13020</v>
      </c>
      <c r="K1571" s="3">
        <f t="shared" si="128"/>
        <v>13047</v>
      </c>
      <c r="L1571" s="3">
        <v>27</v>
      </c>
      <c r="M1571" s="3">
        <f t="shared" si="130"/>
        <v>29.309999999999928</v>
      </c>
      <c r="N1571" s="3">
        <v>3.2</v>
      </c>
    </row>
    <row r="1572" spans="4:14" ht="15" customHeight="1" x14ac:dyDescent="0.25">
      <c r="D1572" s="13"/>
      <c r="H1572" s="3" t="s">
        <v>54</v>
      </c>
      <c r="I1572" s="3" t="s">
        <v>34</v>
      </c>
      <c r="J1572" s="3">
        <f t="shared" si="129"/>
        <v>13047</v>
      </c>
      <c r="K1572" s="3">
        <f t="shared" si="128"/>
        <v>13074</v>
      </c>
      <c r="L1572" s="3">
        <v>27</v>
      </c>
      <c r="M1572" s="3">
        <f t="shared" si="130"/>
        <v>26.109999999999928</v>
      </c>
      <c r="N1572" s="3">
        <v>3.2</v>
      </c>
    </row>
    <row r="1573" spans="4:14" ht="15" customHeight="1" x14ac:dyDescent="0.25">
      <c r="D1573" s="13">
        <v>45440</v>
      </c>
      <c r="H1573" s="3" t="s">
        <v>34</v>
      </c>
      <c r="I1573" s="3" t="s">
        <v>54</v>
      </c>
      <c r="J1573" s="3">
        <f t="shared" si="129"/>
        <v>13074</v>
      </c>
      <c r="K1573" s="3">
        <f t="shared" si="128"/>
        <v>13101</v>
      </c>
      <c r="L1573" s="3">
        <v>27</v>
      </c>
      <c r="M1573" s="3">
        <f t="shared" si="130"/>
        <v>22.909999999999929</v>
      </c>
      <c r="N1573" s="3">
        <v>3.2</v>
      </c>
    </row>
    <row r="1574" spans="4:14" ht="15" customHeight="1" x14ac:dyDescent="0.25">
      <c r="D1574" s="13"/>
      <c r="H1574" s="3" t="s">
        <v>54</v>
      </c>
      <c r="I1574" s="3" t="s">
        <v>34</v>
      </c>
      <c r="J1574" s="3">
        <f t="shared" si="129"/>
        <v>13101</v>
      </c>
      <c r="K1574" s="3">
        <f t="shared" si="128"/>
        <v>13128</v>
      </c>
      <c r="L1574" s="3">
        <v>27</v>
      </c>
      <c r="M1574" s="3">
        <f t="shared" si="130"/>
        <v>19.70999999999993</v>
      </c>
      <c r="N1574" s="3">
        <v>3.2</v>
      </c>
    </row>
    <row r="1575" spans="4:14" ht="15" customHeight="1" x14ac:dyDescent="0.25">
      <c r="D1575" s="13">
        <v>45441</v>
      </c>
      <c r="H1575" s="3" t="s">
        <v>34</v>
      </c>
      <c r="I1575" s="3" t="s">
        <v>54</v>
      </c>
      <c r="J1575" s="3">
        <f t="shared" si="129"/>
        <v>13128</v>
      </c>
      <c r="K1575" s="3">
        <f t="shared" si="128"/>
        <v>13155</v>
      </c>
      <c r="L1575" s="3">
        <v>27</v>
      </c>
      <c r="M1575" s="3">
        <f t="shared" si="130"/>
        <v>16.509999999999931</v>
      </c>
      <c r="N1575" s="3">
        <v>3.2</v>
      </c>
    </row>
    <row r="1576" spans="4:14" ht="15" customHeight="1" x14ac:dyDescent="0.25">
      <c r="D1576" s="13"/>
      <c r="H1576" s="3" t="s">
        <v>54</v>
      </c>
      <c r="I1576" s="3" t="s">
        <v>34</v>
      </c>
      <c r="J1576" s="3">
        <f t="shared" si="129"/>
        <v>13155</v>
      </c>
      <c r="K1576" s="3">
        <f t="shared" si="128"/>
        <v>13182</v>
      </c>
      <c r="L1576" s="3">
        <v>27</v>
      </c>
      <c r="M1576" s="3">
        <f t="shared" si="130"/>
        <v>13.309999999999931</v>
      </c>
      <c r="N1576" s="3">
        <v>3.2</v>
      </c>
    </row>
    <row r="1577" spans="4:14" ht="15" customHeight="1" x14ac:dyDescent="0.25">
      <c r="D1577" s="13">
        <v>45442</v>
      </c>
      <c r="H1577" s="3" t="s">
        <v>34</v>
      </c>
      <c r="I1577" s="3" t="s">
        <v>35</v>
      </c>
      <c r="J1577" s="3">
        <f t="shared" si="129"/>
        <v>13182</v>
      </c>
      <c r="K1577" s="3">
        <f t="shared" si="128"/>
        <v>13194</v>
      </c>
      <c r="L1577" s="3">
        <v>12</v>
      </c>
      <c r="M1577" s="3">
        <f t="shared" si="130"/>
        <v>12.059999999999931</v>
      </c>
      <c r="N1577" s="3">
        <v>1.25</v>
      </c>
    </row>
    <row r="1578" spans="4:14" ht="15" customHeight="1" x14ac:dyDescent="0.25">
      <c r="D1578" s="13"/>
      <c r="H1578" s="3" t="s">
        <v>35</v>
      </c>
      <c r="I1578" s="3" t="s">
        <v>34</v>
      </c>
      <c r="J1578" s="3">
        <f t="shared" si="129"/>
        <v>13194</v>
      </c>
      <c r="K1578" s="3">
        <f t="shared" si="128"/>
        <v>13206</v>
      </c>
      <c r="L1578" s="3">
        <v>12</v>
      </c>
      <c r="M1578" s="3">
        <f t="shared" si="130"/>
        <v>10.809999999999931</v>
      </c>
      <c r="N1578" s="3">
        <v>1.25</v>
      </c>
    </row>
    <row r="1579" spans="4:14" ht="15" customHeight="1" x14ac:dyDescent="0.25">
      <c r="D1579" s="13">
        <v>45443</v>
      </c>
      <c r="H1579" s="3" t="s">
        <v>34</v>
      </c>
      <c r="I1579" s="3" t="s">
        <v>35</v>
      </c>
      <c r="J1579" s="3">
        <f t="shared" si="129"/>
        <v>13206</v>
      </c>
      <c r="K1579" s="3">
        <f t="shared" si="128"/>
        <v>13218</v>
      </c>
      <c r="L1579" s="3">
        <v>12</v>
      </c>
      <c r="M1579" s="3">
        <f t="shared" si="130"/>
        <v>9.5599999999999312</v>
      </c>
      <c r="N1579" s="3">
        <v>1.25</v>
      </c>
    </row>
    <row r="1580" spans="4:14" ht="15" customHeight="1" x14ac:dyDescent="0.25">
      <c r="H1580" s="3" t="s">
        <v>35</v>
      </c>
      <c r="I1580" s="3" t="s">
        <v>34</v>
      </c>
      <c r="J1580" s="3">
        <f t="shared" si="129"/>
        <v>13218</v>
      </c>
      <c r="K1580" s="3">
        <f t="shared" si="128"/>
        <v>13230</v>
      </c>
      <c r="L1580" s="3">
        <v>12</v>
      </c>
      <c r="M1580" s="3">
        <f t="shared" si="130"/>
        <v>8.3099999999999312</v>
      </c>
      <c r="N1580" s="3">
        <v>1.25</v>
      </c>
    </row>
    <row r="1582" spans="4:14" ht="15" customHeight="1" x14ac:dyDescent="0.25">
      <c r="D1582" s="2" t="s">
        <v>79</v>
      </c>
      <c r="E1582" s="2"/>
      <c r="F1582" s="2"/>
      <c r="G1582" s="2"/>
    </row>
    <row r="1583" spans="4:14" ht="15" customHeight="1" x14ac:dyDescent="0.25">
      <c r="D1583" s="13">
        <v>45446</v>
      </c>
      <c r="H1583" s="3" t="s">
        <v>34</v>
      </c>
      <c r="I1583" s="3" t="s">
        <v>54</v>
      </c>
      <c r="J1583" s="3">
        <f>K1580</f>
        <v>13230</v>
      </c>
      <c r="K1583" s="3">
        <f t="shared" ref="K1583:K1614" si="131">J1583+L1583</f>
        <v>13257</v>
      </c>
      <c r="L1583" s="3">
        <v>27</v>
      </c>
      <c r="M1583" s="3">
        <f>(E1583+M1580)-N1583</f>
        <v>5.109999999999931</v>
      </c>
      <c r="N1583" s="3">
        <v>3.2</v>
      </c>
    </row>
    <row r="1584" spans="4:14" ht="15" customHeight="1" x14ac:dyDescent="0.25">
      <c r="D1584" s="13"/>
      <c r="H1584" s="3" t="s">
        <v>54</v>
      </c>
      <c r="I1584" s="3" t="s">
        <v>34</v>
      </c>
      <c r="J1584" s="3">
        <f t="shared" ref="J1584:J1614" si="132">K1583</f>
        <v>13257</v>
      </c>
      <c r="K1584" s="3">
        <f t="shared" si="131"/>
        <v>13284</v>
      </c>
      <c r="L1584" s="3">
        <v>27</v>
      </c>
      <c r="M1584" s="3">
        <f t="shared" ref="M1584:M1614" si="133">(E1584+M1583)-N1584</f>
        <v>1.9099999999999309</v>
      </c>
      <c r="N1584" s="3">
        <v>3.2</v>
      </c>
    </row>
    <row r="1585" spans="4:14" ht="15" customHeight="1" x14ac:dyDescent="0.25">
      <c r="D1585" s="13">
        <v>45454</v>
      </c>
      <c r="E1585">
        <v>49.09</v>
      </c>
      <c r="F1585" s="3">
        <v>56.8</v>
      </c>
      <c r="G1585" s="8">
        <f>E1585*F1585</f>
        <v>2788.3119999999999</v>
      </c>
      <c r="H1585" s="3" t="s">
        <v>34</v>
      </c>
      <c r="I1585" s="3" t="s">
        <v>65</v>
      </c>
      <c r="J1585" s="3">
        <f t="shared" si="132"/>
        <v>13284</v>
      </c>
      <c r="K1585" s="3">
        <f t="shared" si="131"/>
        <v>13364</v>
      </c>
      <c r="L1585" s="3">
        <v>80</v>
      </c>
      <c r="M1585" s="3">
        <f t="shared" si="133"/>
        <v>41.999999999999936</v>
      </c>
      <c r="N1585" s="3">
        <v>9</v>
      </c>
    </row>
    <row r="1586" spans="4:14" ht="15" customHeight="1" x14ac:dyDescent="0.25">
      <c r="D1586" s="13"/>
      <c r="H1586" s="3" t="s">
        <v>65</v>
      </c>
      <c r="I1586" s="3" t="s">
        <v>34</v>
      </c>
      <c r="J1586" s="3">
        <f t="shared" si="132"/>
        <v>13364</v>
      </c>
      <c r="K1586" s="3">
        <f t="shared" si="131"/>
        <v>13444</v>
      </c>
      <c r="L1586" s="3">
        <v>80</v>
      </c>
      <c r="M1586" s="3">
        <f t="shared" si="133"/>
        <v>32.999999999999936</v>
      </c>
      <c r="N1586" s="3">
        <v>9</v>
      </c>
    </row>
    <row r="1587" spans="4:14" ht="15" customHeight="1" x14ac:dyDescent="0.25">
      <c r="D1587" s="13">
        <v>45456</v>
      </c>
      <c r="H1587" s="3" t="s">
        <v>34</v>
      </c>
      <c r="I1587" s="3" t="s">
        <v>65</v>
      </c>
      <c r="J1587" s="3">
        <f t="shared" si="132"/>
        <v>13444</v>
      </c>
      <c r="K1587" s="3">
        <f t="shared" si="131"/>
        <v>13524</v>
      </c>
      <c r="L1587" s="3">
        <v>80</v>
      </c>
      <c r="M1587" s="3">
        <f t="shared" si="133"/>
        <v>23.999999999999936</v>
      </c>
      <c r="N1587" s="3">
        <v>9</v>
      </c>
    </row>
    <row r="1588" spans="4:14" ht="15" customHeight="1" x14ac:dyDescent="0.25">
      <c r="D1588" s="13"/>
      <c r="H1588" s="3" t="s">
        <v>65</v>
      </c>
      <c r="I1588" s="3" t="s">
        <v>34</v>
      </c>
      <c r="J1588" s="3">
        <f t="shared" si="132"/>
        <v>13524</v>
      </c>
      <c r="K1588" s="3">
        <f t="shared" si="131"/>
        <v>13604</v>
      </c>
      <c r="L1588" s="3">
        <v>80</v>
      </c>
      <c r="M1588" s="3">
        <f t="shared" si="133"/>
        <v>14.999999999999936</v>
      </c>
      <c r="N1588" s="3">
        <v>9</v>
      </c>
    </row>
    <row r="1589" spans="4:14" ht="15" customHeight="1" x14ac:dyDescent="0.25">
      <c r="D1589" s="13">
        <v>45457</v>
      </c>
      <c r="E1589">
        <v>32.35</v>
      </c>
      <c r="F1589" s="3">
        <v>57.25</v>
      </c>
      <c r="G1589" s="8">
        <f>E1589*F1589</f>
        <v>1852.0375000000001</v>
      </c>
      <c r="H1589" s="3" t="s">
        <v>34</v>
      </c>
      <c r="I1589" s="3" t="s">
        <v>59</v>
      </c>
      <c r="J1589" s="3">
        <f t="shared" si="132"/>
        <v>13604</v>
      </c>
      <c r="K1589" s="3">
        <f t="shared" si="131"/>
        <v>13631</v>
      </c>
      <c r="L1589" s="3">
        <v>27</v>
      </c>
      <c r="M1589" s="3">
        <f t="shared" si="133"/>
        <v>44.149999999999935</v>
      </c>
      <c r="N1589" s="3">
        <v>3.2</v>
      </c>
    </row>
    <row r="1590" spans="4:14" ht="15" customHeight="1" x14ac:dyDescent="0.25">
      <c r="D1590" s="13"/>
      <c r="H1590" s="3" t="s">
        <v>59</v>
      </c>
      <c r="I1590" s="3" t="s">
        <v>34</v>
      </c>
      <c r="J1590" s="3">
        <f t="shared" si="132"/>
        <v>13631</v>
      </c>
      <c r="K1590" s="3">
        <f t="shared" si="131"/>
        <v>13658</v>
      </c>
      <c r="L1590" s="3">
        <v>27</v>
      </c>
      <c r="M1590" s="3">
        <f t="shared" si="133"/>
        <v>40.949999999999932</v>
      </c>
      <c r="N1590" s="3">
        <v>3.2</v>
      </c>
    </row>
    <row r="1591" spans="4:14" ht="15" customHeight="1" x14ac:dyDescent="0.25">
      <c r="D1591" s="13"/>
      <c r="H1591" s="3" t="s">
        <v>34</v>
      </c>
      <c r="I1591" s="3" t="s">
        <v>65</v>
      </c>
      <c r="J1591" s="3">
        <f t="shared" si="132"/>
        <v>13658</v>
      </c>
      <c r="K1591" s="3">
        <f t="shared" si="131"/>
        <v>13738</v>
      </c>
      <c r="L1591" s="3">
        <v>80</v>
      </c>
      <c r="M1591" s="3">
        <f t="shared" si="133"/>
        <v>31.949999999999932</v>
      </c>
      <c r="N1591" s="3">
        <v>9</v>
      </c>
    </row>
    <row r="1592" spans="4:14" ht="15" customHeight="1" x14ac:dyDescent="0.25">
      <c r="D1592" s="13"/>
      <c r="H1592" s="3" t="s">
        <v>65</v>
      </c>
      <c r="I1592" s="3" t="s">
        <v>34</v>
      </c>
      <c r="J1592" s="3">
        <f t="shared" si="132"/>
        <v>13738</v>
      </c>
      <c r="K1592" s="3">
        <f t="shared" si="131"/>
        <v>13818</v>
      </c>
      <c r="L1592" s="3">
        <v>80</v>
      </c>
      <c r="M1592" s="3">
        <f t="shared" si="133"/>
        <v>22.949999999999932</v>
      </c>
      <c r="N1592" s="3">
        <v>9</v>
      </c>
    </row>
    <row r="1593" spans="4:14" ht="15" customHeight="1" x14ac:dyDescent="0.25">
      <c r="D1593" s="13"/>
      <c r="H1593" s="3" t="s">
        <v>34</v>
      </c>
      <c r="I1593" s="3" t="s">
        <v>44</v>
      </c>
      <c r="J1593" s="3">
        <f t="shared" si="132"/>
        <v>13818</v>
      </c>
      <c r="K1593" s="3">
        <f t="shared" si="131"/>
        <v>13858</v>
      </c>
      <c r="L1593" s="3">
        <v>40</v>
      </c>
      <c r="M1593" s="3">
        <f t="shared" si="133"/>
        <v>18.149999999999931</v>
      </c>
      <c r="N1593" s="3">
        <v>4.8</v>
      </c>
    </row>
    <row r="1594" spans="4:14" ht="15" customHeight="1" x14ac:dyDescent="0.25">
      <c r="D1594" s="13"/>
      <c r="H1594" s="3" t="s">
        <v>44</v>
      </c>
      <c r="I1594" s="3" t="s">
        <v>34</v>
      </c>
      <c r="J1594" s="3">
        <f t="shared" si="132"/>
        <v>13858</v>
      </c>
      <c r="K1594" s="3">
        <f t="shared" si="131"/>
        <v>13898</v>
      </c>
      <c r="L1594" s="3">
        <v>40</v>
      </c>
      <c r="M1594" s="3">
        <f t="shared" si="133"/>
        <v>13.34999999999993</v>
      </c>
      <c r="N1594" s="3">
        <v>4.8</v>
      </c>
    </row>
    <row r="1595" spans="4:14" ht="15" customHeight="1" x14ac:dyDescent="0.25">
      <c r="D1595" s="13">
        <v>45460</v>
      </c>
      <c r="H1595" s="3" t="s">
        <v>34</v>
      </c>
      <c r="I1595" s="3" t="s">
        <v>37</v>
      </c>
      <c r="J1595" s="3">
        <f t="shared" si="132"/>
        <v>13898</v>
      </c>
      <c r="K1595" s="3">
        <f t="shared" si="131"/>
        <v>13938</v>
      </c>
      <c r="L1595" s="3">
        <v>40</v>
      </c>
      <c r="M1595" s="3">
        <f t="shared" si="133"/>
        <v>8.5499999999999297</v>
      </c>
      <c r="N1595" s="3">
        <v>4.8</v>
      </c>
    </row>
    <row r="1596" spans="4:14" ht="15" customHeight="1" x14ac:dyDescent="0.25">
      <c r="D1596" s="13"/>
      <c r="H1596" s="3" t="s">
        <v>37</v>
      </c>
      <c r="I1596" s="3" t="s">
        <v>34</v>
      </c>
      <c r="J1596" s="3">
        <f t="shared" si="132"/>
        <v>13938</v>
      </c>
      <c r="K1596" s="3">
        <f t="shared" si="131"/>
        <v>13978</v>
      </c>
      <c r="L1596" s="3">
        <v>40</v>
      </c>
      <c r="M1596" s="3">
        <f t="shared" si="133"/>
        <v>3.7499999999999298</v>
      </c>
      <c r="N1596" s="3">
        <v>4.8</v>
      </c>
    </row>
    <row r="1597" spans="4:14" ht="15" customHeight="1" x14ac:dyDescent="0.25">
      <c r="D1597" s="13">
        <v>45461</v>
      </c>
      <c r="E1597">
        <v>40.200000000000003</v>
      </c>
      <c r="F1597" s="3">
        <v>57.35</v>
      </c>
      <c r="G1597" s="8">
        <f>E1597*F1597</f>
        <v>2305.4700000000003</v>
      </c>
      <c r="H1597" s="3" t="s">
        <v>34</v>
      </c>
      <c r="I1597" s="3" t="s">
        <v>44</v>
      </c>
      <c r="J1597" s="3">
        <f t="shared" si="132"/>
        <v>13978</v>
      </c>
      <c r="K1597" s="3">
        <f t="shared" si="131"/>
        <v>14018</v>
      </c>
      <c r="L1597" s="3">
        <v>40</v>
      </c>
      <c r="M1597" s="3">
        <f t="shared" si="133"/>
        <v>39.149999999999935</v>
      </c>
      <c r="N1597" s="3">
        <v>4.8</v>
      </c>
    </row>
    <row r="1598" spans="4:14" ht="15" customHeight="1" x14ac:dyDescent="0.25">
      <c r="D1598" s="13"/>
      <c r="H1598" s="3" t="s">
        <v>44</v>
      </c>
      <c r="I1598" s="3" t="s">
        <v>34</v>
      </c>
      <c r="J1598" s="3">
        <f t="shared" si="132"/>
        <v>14018</v>
      </c>
      <c r="K1598" s="3">
        <f t="shared" si="131"/>
        <v>14058</v>
      </c>
      <c r="L1598" s="3">
        <v>40</v>
      </c>
      <c r="M1598" s="3">
        <f t="shared" si="133"/>
        <v>34.349999999999937</v>
      </c>
      <c r="N1598" s="3">
        <v>4.8</v>
      </c>
    </row>
    <row r="1599" spans="4:14" ht="15" customHeight="1" x14ac:dyDescent="0.25">
      <c r="D1599" s="13">
        <v>45462</v>
      </c>
      <c r="H1599" s="3" t="s">
        <v>34</v>
      </c>
      <c r="I1599" s="3" t="s">
        <v>54</v>
      </c>
      <c r="J1599" s="3">
        <f t="shared" si="132"/>
        <v>14058</v>
      </c>
      <c r="K1599" s="3">
        <f t="shared" si="131"/>
        <v>14085</v>
      </c>
      <c r="L1599" s="3">
        <v>27</v>
      </c>
      <c r="M1599" s="3">
        <f t="shared" si="133"/>
        <v>31.149999999999938</v>
      </c>
      <c r="N1599" s="3">
        <v>3.2</v>
      </c>
    </row>
    <row r="1600" spans="4:14" ht="15" customHeight="1" x14ac:dyDescent="0.25">
      <c r="D1600" s="13"/>
      <c r="H1600" s="3" t="s">
        <v>54</v>
      </c>
      <c r="I1600" s="3" t="s">
        <v>34</v>
      </c>
      <c r="J1600" s="3">
        <f t="shared" si="132"/>
        <v>14085</v>
      </c>
      <c r="K1600" s="3">
        <f t="shared" si="131"/>
        <v>14112</v>
      </c>
      <c r="L1600" s="3">
        <v>27</v>
      </c>
      <c r="M1600" s="3">
        <f t="shared" si="133"/>
        <v>27.949999999999939</v>
      </c>
      <c r="N1600" s="3">
        <v>3.2</v>
      </c>
    </row>
    <row r="1601" spans="4:14" ht="15" customHeight="1" x14ac:dyDescent="0.25">
      <c r="D1601" s="13">
        <v>45463</v>
      </c>
      <c r="H1601" s="3" t="s">
        <v>34</v>
      </c>
      <c r="I1601" s="3" t="s">
        <v>54</v>
      </c>
      <c r="J1601" s="3">
        <f t="shared" si="132"/>
        <v>14112</v>
      </c>
      <c r="K1601" s="3">
        <f t="shared" si="131"/>
        <v>14139</v>
      </c>
      <c r="L1601" s="3">
        <v>27</v>
      </c>
      <c r="M1601" s="3">
        <f t="shared" si="133"/>
        <v>24.74999999999994</v>
      </c>
      <c r="N1601" s="3">
        <v>3.2</v>
      </c>
    </row>
    <row r="1602" spans="4:14" ht="15" customHeight="1" x14ac:dyDescent="0.25">
      <c r="D1602" s="13"/>
      <c r="H1602" s="3" t="s">
        <v>54</v>
      </c>
      <c r="I1602" s="3" t="s">
        <v>34</v>
      </c>
      <c r="J1602" s="3">
        <f t="shared" si="132"/>
        <v>14139</v>
      </c>
      <c r="K1602" s="3">
        <f t="shared" si="131"/>
        <v>14166</v>
      </c>
      <c r="L1602" s="3">
        <v>27</v>
      </c>
      <c r="M1602" s="3">
        <f t="shared" si="133"/>
        <v>21.54999999999994</v>
      </c>
      <c r="N1602" s="3">
        <v>3.2</v>
      </c>
    </row>
    <row r="1603" spans="4:14" ht="15" customHeight="1" x14ac:dyDescent="0.25">
      <c r="D1603" s="13">
        <v>45464</v>
      </c>
      <c r="H1603" s="3" t="s">
        <v>34</v>
      </c>
      <c r="I1603" s="3" t="s">
        <v>54</v>
      </c>
      <c r="J1603" s="3">
        <f t="shared" si="132"/>
        <v>14166</v>
      </c>
      <c r="K1603" s="3">
        <f t="shared" si="131"/>
        <v>14193</v>
      </c>
      <c r="L1603" s="3">
        <v>27</v>
      </c>
      <c r="M1603" s="3">
        <f t="shared" si="133"/>
        <v>18.349999999999941</v>
      </c>
      <c r="N1603" s="3">
        <v>3.2</v>
      </c>
    </row>
    <row r="1604" spans="4:14" ht="15" customHeight="1" x14ac:dyDescent="0.25">
      <c r="D1604" s="13"/>
      <c r="H1604" s="3" t="s">
        <v>54</v>
      </c>
      <c r="I1604" s="3" t="s">
        <v>34</v>
      </c>
      <c r="J1604" s="3">
        <f t="shared" si="132"/>
        <v>14193</v>
      </c>
      <c r="K1604" s="3">
        <f t="shared" si="131"/>
        <v>14220</v>
      </c>
      <c r="L1604" s="3">
        <v>27</v>
      </c>
      <c r="M1604" s="3">
        <f t="shared" si="133"/>
        <v>15.149999999999942</v>
      </c>
      <c r="N1604" s="3">
        <v>3.2</v>
      </c>
    </row>
    <row r="1605" spans="4:14" ht="15" customHeight="1" x14ac:dyDescent="0.25">
      <c r="D1605" s="13">
        <v>45467</v>
      </c>
      <c r="H1605" s="3" t="s">
        <v>34</v>
      </c>
      <c r="I1605" s="3" t="s">
        <v>35</v>
      </c>
      <c r="J1605" s="3">
        <f t="shared" si="132"/>
        <v>14220</v>
      </c>
      <c r="K1605" s="3">
        <f t="shared" si="131"/>
        <v>14232</v>
      </c>
      <c r="L1605" s="3">
        <v>12</v>
      </c>
      <c r="M1605" s="3">
        <f t="shared" si="133"/>
        <v>13.899999999999942</v>
      </c>
      <c r="N1605" s="3">
        <v>1.25</v>
      </c>
    </row>
    <row r="1606" spans="4:14" ht="15" customHeight="1" x14ac:dyDescent="0.25">
      <c r="D1606" s="13"/>
      <c r="H1606" s="3" t="s">
        <v>35</v>
      </c>
      <c r="I1606" s="3" t="s">
        <v>34</v>
      </c>
      <c r="J1606" s="3">
        <f t="shared" si="132"/>
        <v>14232</v>
      </c>
      <c r="K1606" s="3">
        <f t="shared" si="131"/>
        <v>14244</v>
      </c>
      <c r="L1606" s="3">
        <v>12</v>
      </c>
      <c r="M1606" s="3">
        <f t="shared" si="133"/>
        <v>12.649999999999942</v>
      </c>
      <c r="N1606" s="3">
        <v>1.25</v>
      </c>
    </row>
    <row r="1607" spans="4:14" ht="15" customHeight="1" x14ac:dyDescent="0.25">
      <c r="D1607" s="13">
        <v>45468</v>
      </c>
      <c r="H1607" s="3" t="s">
        <v>34</v>
      </c>
      <c r="I1607" s="3" t="s">
        <v>35</v>
      </c>
      <c r="J1607" s="3">
        <f t="shared" si="132"/>
        <v>14244</v>
      </c>
      <c r="K1607" s="3">
        <f t="shared" si="131"/>
        <v>14256</v>
      </c>
      <c r="L1607" s="3">
        <v>12</v>
      </c>
      <c r="M1607" s="3">
        <f t="shared" si="133"/>
        <v>11.399999999999942</v>
      </c>
      <c r="N1607" s="3">
        <v>1.25</v>
      </c>
    </row>
    <row r="1608" spans="4:14" ht="15" customHeight="1" x14ac:dyDescent="0.25">
      <c r="D1608" s="13"/>
      <c r="H1608" s="3" t="s">
        <v>35</v>
      </c>
      <c r="I1608" s="3" t="s">
        <v>34</v>
      </c>
      <c r="J1608" s="3">
        <f t="shared" si="132"/>
        <v>14256</v>
      </c>
      <c r="K1608" s="3">
        <f t="shared" si="131"/>
        <v>14268</v>
      </c>
      <c r="L1608" s="3">
        <v>12</v>
      </c>
      <c r="M1608" s="3">
        <f t="shared" si="133"/>
        <v>10.149999999999942</v>
      </c>
      <c r="N1608" s="3">
        <v>1.25</v>
      </c>
    </row>
    <row r="1609" spans="4:14" ht="15" customHeight="1" x14ac:dyDescent="0.25">
      <c r="D1609" s="13">
        <v>45469</v>
      </c>
      <c r="H1609" s="3" t="s">
        <v>34</v>
      </c>
      <c r="I1609" s="3" t="s">
        <v>35</v>
      </c>
      <c r="J1609" s="3">
        <f t="shared" si="132"/>
        <v>14268</v>
      </c>
      <c r="K1609" s="3">
        <f t="shared" si="131"/>
        <v>14280</v>
      </c>
      <c r="L1609" s="3">
        <v>12</v>
      </c>
      <c r="M1609" s="3">
        <f t="shared" si="133"/>
        <v>8.8999999999999417</v>
      </c>
      <c r="N1609" s="3">
        <v>1.25</v>
      </c>
    </row>
    <row r="1610" spans="4:14" ht="15" customHeight="1" x14ac:dyDescent="0.25">
      <c r="D1610" s="13"/>
      <c r="H1610" s="3" t="s">
        <v>35</v>
      </c>
      <c r="I1610" s="3" t="s">
        <v>34</v>
      </c>
      <c r="J1610" s="3">
        <f t="shared" si="132"/>
        <v>14280</v>
      </c>
      <c r="K1610" s="3">
        <f t="shared" si="131"/>
        <v>14292</v>
      </c>
      <c r="L1610" s="3">
        <v>12</v>
      </c>
      <c r="M1610" s="3">
        <f t="shared" si="133"/>
        <v>7.6499999999999417</v>
      </c>
      <c r="N1610" s="3">
        <v>1.25</v>
      </c>
    </row>
    <row r="1611" spans="4:14" ht="15" customHeight="1" x14ac:dyDescent="0.25">
      <c r="D1611" s="13">
        <v>45470</v>
      </c>
      <c r="E1611">
        <v>47.07</v>
      </c>
      <c r="F1611" s="3">
        <v>57.3</v>
      </c>
      <c r="G1611" s="8">
        <f>E1611*F1611</f>
        <v>2697.1109999999999</v>
      </c>
      <c r="H1611" s="3" t="s">
        <v>34</v>
      </c>
      <c r="I1611" s="3" t="s">
        <v>54</v>
      </c>
      <c r="J1611" s="3">
        <f t="shared" si="132"/>
        <v>14292</v>
      </c>
      <c r="K1611" s="3">
        <f t="shared" si="131"/>
        <v>14319</v>
      </c>
      <c r="L1611" s="3">
        <v>27</v>
      </c>
      <c r="M1611" s="3">
        <f t="shared" si="133"/>
        <v>51.519999999999939</v>
      </c>
      <c r="N1611" s="3">
        <v>3.2</v>
      </c>
    </row>
    <row r="1612" spans="4:14" ht="15" customHeight="1" x14ac:dyDescent="0.25">
      <c r="D1612" s="13"/>
      <c r="H1612" s="3" t="s">
        <v>54</v>
      </c>
      <c r="I1612" s="3" t="s">
        <v>34</v>
      </c>
      <c r="J1612" s="3">
        <f t="shared" si="132"/>
        <v>14319</v>
      </c>
      <c r="K1612" s="3">
        <f t="shared" si="131"/>
        <v>14346</v>
      </c>
      <c r="L1612" s="3">
        <v>27</v>
      </c>
      <c r="M1612" s="3">
        <f t="shared" si="133"/>
        <v>48.319999999999936</v>
      </c>
      <c r="N1612" s="3">
        <v>3.2</v>
      </c>
    </row>
    <row r="1613" spans="4:14" ht="15" customHeight="1" x14ac:dyDescent="0.25">
      <c r="D1613" s="13">
        <v>45471</v>
      </c>
      <c r="H1613" s="3" t="s">
        <v>34</v>
      </c>
      <c r="I1613" s="3" t="s">
        <v>54</v>
      </c>
      <c r="J1613" s="3">
        <f t="shared" si="132"/>
        <v>14346</v>
      </c>
      <c r="K1613" s="3">
        <f t="shared" si="131"/>
        <v>14373</v>
      </c>
      <c r="L1613" s="3">
        <v>27</v>
      </c>
      <c r="M1613" s="3">
        <f t="shared" si="133"/>
        <v>45.119999999999933</v>
      </c>
      <c r="N1613" s="3">
        <v>3.2</v>
      </c>
    </row>
    <row r="1614" spans="4:14" ht="15" customHeight="1" x14ac:dyDescent="0.25">
      <c r="D1614" s="13"/>
      <c r="H1614" s="3" t="s">
        <v>54</v>
      </c>
      <c r="I1614" s="3" t="s">
        <v>34</v>
      </c>
      <c r="J1614" s="3">
        <f t="shared" si="132"/>
        <v>14373</v>
      </c>
      <c r="K1614" s="3">
        <f t="shared" si="131"/>
        <v>14400</v>
      </c>
      <c r="L1614" s="3">
        <v>27</v>
      </c>
      <c r="M1614" s="3">
        <f t="shared" si="133"/>
        <v>41.919999999999931</v>
      </c>
      <c r="N1614" s="3">
        <v>3.2</v>
      </c>
    </row>
    <row r="1616" spans="4:14" ht="15" customHeight="1" x14ac:dyDescent="0.25">
      <c r="D1616" s="2" t="s">
        <v>80</v>
      </c>
      <c r="E1616" s="2"/>
      <c r="F1616" s="2"/>
      <c r="G1616" s="2"/>
    </row>
    <row r="1617" spans="4:14" ht="15" customHeight="1" x14ac:dyDescent="0.25">
      <c r="D1617" s="13">
        <v>45474</v>
      </c>
      <c r="H1617" s="3" t="s">
        <v>34</v>
      </c>
      <c r="I1617" s="3" t="s">
        <v>37</v>
      </c>
      <c r="J1617" s="3">
        <f>K1614</f>
        <v>14400</v>
      </c>
      <c r="K1617" s="3">
        <f t="shared" ref="K1617:K1662" si="134">J1617+L1617</f>
        <v>14440</v>
      </c>
      <c r="L1617" s="3">
        <v>40</v>
      </c>
      <c r="M1617" s="3">
        <f>(E1617+M1614)-N1617</f>
        <v>37.119999999999933</v>
      </c>
      <c r="N1617" s="3">
        <v>4.8</v>
      </c>
    </row>
    <row r="1618" spans="4:14" ht="15" customHeight="1" x14ac:dyDescent="0.25">
      <c r="D1618" s="13"/>
      <c r="H1618" s="3" t="s">
        <v>37</v>
      </c>
      <c r="I1618" s="3" t="s">
        <v>34</v>
      </c>
      <c r="J1618" s="3">
        <f t="shared" ref="J1618:J1662" si="135">K1617</f>
        <v>14440</v>
      </c>
      <c r="K1618" s="3">
        <f t="shared" si="134"/>
        <v>14480</v>
      </c>
      <c r="L1618" s="3">
        <v>40</v>
      </c>
      <c r="M1618" s="3">
        <f t="shared" ref="M1618:M1662" si="136">(E1618+M1617)-N1618</f>
        <v>32.319999999999936</v>
      </c>
      <c r="N1618" s="3">
        <v>4.8</v>
      </c>
    </row>
    <row r="1619" spans="4:14" ht="15" customHeight="1" x14ac:dyDescent="0.25">
      <c r="D1619" s="13">
        <v>45475</v>
      </c>
      <c r="H1619" s="3" t="s">
        <v>34</v>
      </c>
      <c r="I1619" s="3" t="s">
        <v>65</v>
      </c>
      <c r="J1619" s="3">
        <f t="shared" si="135"/>
        <v>14480</v>
      </c>
      <c r="K1619" s="3">
        <f t="shared" si="134"/>
        <v>14560</v>
      </c>
      <c r="L1619" s="3">
        <v>80</v>
      </c>
      <c r="M1619" s="3">
        <f t="shared" si="136"/>
        <v>23.319999999999936</v>
      </c>
      <c r="N1619" s="3">
        <v>9</v>
      </c>
    </row>
    <row r="1620" spans="4:14" ht="15" customHeight="1" x14ac:dyDescent="0.25">
      <c r="D1620" s="13"/>
      <c r="H1620" s="3" t="s">
        <v>65</v>
      </c>
      <c r="I1620" s="3" t="s">
        <v>34</v>
      </c>
      <c r="J1620" s="3">
        <f t="shared" si="135"/>
        <v>14560</v>
      </c>
      <c r="K1620" s="3">
        <f t="shared" si="134"/>
        <v>14640</v>
      </c>
      <c r="L1620" s="3">
        <v>80</v>
      </c>
      <c r="M1620" s="3">
        <f t="shared" si="136"/>
        <v>14.319999999999936</v>
      </c>
      <c r="N1620" s="3">
        <v>9</v>
      </c>
    </row>
    <row r="1621" spans="4:14" ht="15" customHeight="1" x14ac:dyDescent="0.25">
      <c r="D1621" s="13">
        <v>45476</v>
      </c>
      <c r="H1621" s="3" t="s">
        <v>34</v>
      </c>
      <c r="I1621" s="3" t="s">
        <v>54</v>
      </c>
      <c r="J1621" s="3">
        <f t="shared" si="135"/>
        <v>14640</v>
      </c>
      <c r="K1621" s="3">
        <f t="shared" si="134"/>
        <v>14667</v>
      </c>
      <c r="L1621" s="3">
        <v>27</v>
      </c>
      <c r="M1621" s="3">
        <f t="shared" si="136"/>
        <v>11.119999999999937</v>
      </c>
      <c r="N1621" s="3">
        <v>3.2</v>
      </c>
    </row>
    <row r="1622" spans="4:14" ht="15" customHeight="1" x14ac:dyDescent="0.25">
      <c r="D1622" s="13"/>
      <c r="H1622" s="3" t="s">
        <v>54</v>
      </c>
      <c r="I1622" s="3" t="s">
        <v>34</v>
      </c>
      <c r="J1622" s="3">
        <f t="shared" si="135"/>
        <v>14667</v>
      </c>
      <c r="K1622" s="3">
        <f t="shared" si="134"/>
        <v>14694</v>
      </c>
      <c r="L1622" s="3">
        <v>27</v>
      </c>
      <c r="M1622" s="3">
        <f t="shared" si="136"/>
        <v>7.9199999999999369</v>
      </c>
      <c r="N1622" s="3">
        <v>3.2</v>
      </c>
    </row>
    <row r="1623" spans="4:14" ht="15" customHeight="1" x14ac:dyDescent="0.25">
      <c r="D1623" s="13">
        <v>45477</v>
      </c>
      <c r="H1623" s="3" t="s">
        <v>34</v>
      </c>
      <c r="I1623" s="3" t="s">
        <v>35</v>
      </c>
      <c r="J1623" s="3">
        <f t="shared" si="135"/>
        <v>14694</v>
      </c>
      <c r="K1623" s="3">
        <f t="shared" si="134"/>
        <v>14706</v>
      </c>
      <c r="L1623" s="3">
        <v>12</v>
      </c>
      <c r="M1623" s="3">
        <f t="shared" si="136"/>
        <v>6.6699999999999369</v>
      </c>
      <c r="N1623" s="3">
        <v>1.25</v>
      </c>
    </row>
    <row r="1624" spans="4:14" ht="15" customHeight="1" x14ac:dyDescent="0.25">
      <c r="D1624" s="13"/>
      <c r="H1624" s="3" t="s">
        <v>35</v>
      </c>
      <c r="I1624" s="3" t="s">
        <v>34</v>
      </c>
      <c r="J1624" s="3">
        <f t="shared" si="135"/>
        <v>14706</v>
      </c>
      <c r="K1624" s="3">
        <f t="shared" si="134"/>
        <v>14718</v>
      </c>
      <c r="L1624" s="3">
        <v>12</v>
      </c>
      <c r="M1624" s="3">
        <f t="shared" si="136"/>
        <v>5.4199999999999369</v>
      </c>
      <c r="N1624" s="3">
        <v>1.25</v>
      </c>
    </row>
    <row r="1625" spans="4:14" ht="15" customHeight="1" x14ac:dyDescent="0.25">
      <c r="D1625" s="13">
        <v>45478</v>
      </c>
      <c r="E1625">
        <v>46.5</v>
      </c>
      <c r="F1625" s="3">
        <v>57.85</v>
      </c>
      <c r="G1625" s="8">
        <f>E1625*F1625</f>
        <v>2690.0250000000001</v>
      </c>
      <c r="H1625" s="3" t="s">
        <v>34</v>
      </c>
      <c r="I1625" s="3" t="s">
        <v>65</v>
      </c>
      <c r="J1625" s="3">
        <f t="shared" si="135"/>
        <v>14718</v>
      </c>
      <c r="K1625" s="3">
        <f t="shared" si="134"/>
        <v>14798</v>
      </c>
      <c r="L1625" s="3">
        <v>80</v>
      </c>
      <c r="M1625" s="3">
        <f t="shared" si="136"/>
        <v>42.919999999999938</v>
      </c>
      <c r="N1625" s="3">
        <v>9</v>
      </c>
    </row>
    <row r="1626" spans="4:14" ht="15" customHeight="1" x14ac:dyDescent="0.25">
      <c r="D1626" s="13"/>
      <c r="H1626" s="3" t="s">
        <v>65</v>
      </c>
      <c r="I1626" s="3" t="s">
        <v>34</v>
      </c>
      <c r="J1626" s="3">
        <f t="shared" si="135"/>
        <v>14798</v>
      </c>
      <c r="K1626" s="3">
        <f t="shared" si="134"/>
        <v>14878</v>
      </c>
      <c r="L1626" s="3">
        <v>80</v>
      </c>
      <c r="M1626" s="3">
        <f t="shared" si="136"/>
        <v>33.919999999999938</v>
      </c>
      <c r="N1626" s="3">
        <v>9</v>
      </c>
    </row>
    <row r="1627" spans="4:14" ht="15" customHeight="1" x14ac:dyDescent="0.25">
      <c r="D1627" s="13">
        <v>45481</v>
      </c>
      <c r="H1627" s="3" t="s">
        <v>34</v>
      </c>
      <c r="I1627" s="3" t="s">
        <v>54</v>
      </c>
      <c r="J1627" s="3">
        <f t="shared" si="135"/>
        <v>14878</v>
      </c>
      <c r="K1627" s="3">
        <f t="shared" si="134"/>
        <v>14905</v>
      </c>
      <c r="L1627" s="3">
        <v>27</v>
      </c>
      <c r="M1627" s="3">
        <f t="shared" si="136"/>
        <v>30.719999999999938</v>
      </c>
      <c r="N1627" s="3">
        <v>3.2</v>
      </c>
    </row>
    <row r="1628" spans="4:14" ht="15" customHeight="1" x14ac:dyDescent="0.25">
      <c r="D1628" s="13"/>
      <c r="H1628" s="3" t="s">
        <v>54</v>
      </c>
      <c r="I1628" s="3" t="s">
        <v>34</v>
      </c>
      <c r="J1628" s="3">
        <f t="shared" si="135"/>
        <v>14905</v>
      </c>
      <c r="K1628" s="3">
        <f t="shared" si="134"/>
        <v>14932</v>
      </c>
      <c r="L1628" s="3">
        <v>27</v>
      </c>
      <c r="M1628" s="3">
        <f t="shared" si="136"/>
        <v>27.519999999999939</v>
      </c>
      <c r="N1628" s="3">
        <v>3.2</v>
      </c>
    </row>
    <row r="1629" spans="4:14" ht="15" customHeight="1" x14ac:dyDescent="0.25">
      <c r="D1629" s="13">
        <v>45482</v>
      </c>
      <c r="H1629" s="3" t="s">
        <v>34</v>
      </c>
      <c r="I1629" s="3" t="s">
        <v>35</v>
      </c>
      <c r="J1629" s="3">
        <f t="shared" si="135"/>
        <v>14932</v>
      </c>
      <c r="K1629" s="3">
        <f t="shared" si="134"/>
        <v>14944</v>
      </c>
      <c r="L1629" s="3">
        <v>12</v>
      </c>
      <c r="M1629" s="3">
        <f t="shared" si="136"/>
        <v>26.269999999999939</v>
      </c>
      <c r="N1629" s="3">
        <v>1.25</v>
      </c>
    </row>
    <row r="1630" spans="4:14" ht="15" customHeight="1" x14ac:dyDescent="0.25">
      <c r="D1630" s="13"/>
      <c r="H1630" s="3" t="s">
        <v>35</v>
      </c>
      <c r="I1630" s="3" t="s">
        <v>34</v>
      </c>
      <c r="J1630" s="3">
        <f t="shared" si="135"/>
        <v>14944</v>
      </c>
      <c r="K1630" s="3">
        <f t="shared" si="134"/>
        <v>14956</v>
      </c>
      <c r="L1630" s="3">
        <v>12</v>
      </c>
      <c r="M1630" s="3">
        <f t="shared" si="136"/>
        <v>25.019999999999939</v>
      </c>
      <c r="N1630" s="3">
        <v>1.25</v>
      </c>
    </row>
    <row r="1631" spans="4:14" ht="15" customHeight="1" x14ac:dyDescent="0.25">
      <c r="D1631" s="13">
        <v>45483</v>
      </c>
      <c r="H1631" s="3" t="s">
        <v>34</v>
      </c>
      <c r="I1631" s="3" t="s">
        <v>54</v>
      </c>
      <c r="J1631" s="3">
        <f t="shared" si="135"/>
        <v>14956</v>
      </c>
      <c r="K1631" s="3">
        <f t="shared" si="134"/>
        <v>14983</v>
      </c>
      <c r="L1631" s="3">
        <v>27</v>
      </c>
      <c r="M1631" s="3">
        <f t="shared" si="136"/>
        <v>21.81999999999994</v>
      </c>
      <c r="N1631" s="3">
        <v>3.2</v>
      </c>
    </row>
    <row r="1632" spans="4:14" ht="15" customHeight="1" x14ac:dyDescent="0.25">
      <c r="D1632" s="13"/>
      <c r="H1632" s="3" t="s">
        <v>54</v>
      </c>
      <c r="I1632" s="3" t="s">
        <v>34</v>
      </c>
      <c r="J1632" s="3">
        <f t="shared" si="135"/>
        <v>14983</v>
      </c>
      <c r="K1632" s="3">
        <f t="shared" si="134"/>
        <v>15010</v>
      </c>
      <c r="L1632" s="3">
        <v>27</v>
      </c>
      <c r="M1632" s="3">
        <f t="shared" si="136"/>
        <v>18.619999999999941</v>
      </c>
      <c r="N1632" s="3">
        <v>3.2</v>
      </c>
    </row>
    <row r="1633" spans="4:14" ht="15" customHeight="1" x14ac:dyDescent="0.25">
      <c r="D1633" s="13">
        <v>45484</v>
      </c>
      <c r="H1633" s="3" t="s">
        <v>34</v>
      </c>
      <c r="I1633" s="3" t="s">
        <v>32</v>
      </c>
      <c r="J1633" s="3">
        <f t="shared" si="135"/>
        <v>15010</v>
      </c>
      <c r="K1633" s="3">
        <f t="shared" si="134"/>
        <v>15035</v>
      </c>
      <c r="L1633" s="3">
        <v>25</v>
      </c>
      <c r="M1633" s="3">
        <f t="shared" si="136"/>
        <v>15.619999999999941</v>
      </c>
      <c r="N1633" s="3">
        <v>3</v>
      </c>
    </row>
    <row r="1634" spans="4:14" ht="15" customHeight="1" x14ac:dyDescent="0.25">
      <c r="D1634" s="13"/>
      <c r="H1634" s="3" t="s">
        <v>32</v>
      </c>
      <c r="I1634" s="3" t="s">
        <v>34</v>
      </c>
      <c r="J1634" s="3">
        <f t="shared" si="135"/>
        <v>15035</v>
      </c>
      <c r="K1634" s="3">
        <f t="shared" si="134"/>
        <v>15060</v>
      </c>
      <c r="L1634" s="3">
        <v>25</v>
      </c>
      <c r="M1634" s="3">
        <f t="shared" si="136"/>
        <v>12.619999999999941</v>
      </c>
      <c r="N1634" s="3">
        <v>3</v>
      </c>
    </row>
    <row r="1635" spans="4:14" ht="15" customHeight="1" x14ac:dyDescent="0.25">
      <c r="D1635" s="13">
        <v>45485</v>
      </c>
      <c r="H1635" s="3" t="s">
        <v>34</v>
      </c>
      <c r="I1635" s="3" t="s">
        <v>44</v>
      </c>
      <c r="J1635" s="3">
        <f t="shared" si="135"/>
        <v>15060</v>
      </c>
      <c r="K1635" s="3">
        <f t="shared" si="134"/>
        <v>15100</v>
      </c>
      <c r="L1635" s="3">
        <v>40</v>
      </c>
      <c r="M1635" s="3">
        <f t="shared" si="136"/>
        <v>7.8199999999999408</v>
      </c>
      <c r="N1635" s="3">
        <v>4.8</v>
      </c>
    </row>
    <row r="1636" spans="4:14" ht="15" customHeight="1" x14ac:dyDescent="0.25">
      <c r="H1636" s="3" t="s">
        <v>44</v>
      </c>
      <c r="I1636" s="3" t="s">
        <v>34</v>
      </c>
      <c r="J1636" s="3">
        <f t="shared" si="135"/>
        <v>15100</v>
      </c>
      <c r="K1636" s="3">
        <f t="shared" si="134"/>
        <v>15140</v>
      </c>
      <c r="L1636" s="3">
        <v>40</v>
      </c>
      <c r="M1636" s="3">
        <f t="shared" si="136"/>
        <v>3.019999999999941</v>
      </c>
      <c r="N1636" s="3">
        <v>4.8</v>
      </c>
    </row>
    <row r="1637" spans="4:14" ht="15" customHeight="1" x14ac:dyDescent="0.25">
      <c r="D1637" s="13">
        <v>45488</v>
      </c>
      <c r="H1637" s="3" t="s">
        <v>34</v>
      </c>
      <c r="I1637" s="3" t="s">
        <v>35</v>
      </c>
      <c r="J1637" s="3">
        <f t="shared" si="135"/>
        <v>15140</v>
      </c>
      <c r="K1637" s="3">
        <f t="shared" si="134"/>
        <v>15152</v>
      </c>
      <c r="L1637" s="3">
        <v>12</v>
      </c>
      <c r="M1637" s="3">
        <f t="shared" si="136"/>
        <v>1.769999999999941</v>
      </c>
      <c r="N1637" s="3">
        <v>1.25</v>
      </c>
    </row>
    <row r="1638" spans="4:14" ht="15" customHeight="1" x14ac:dyDescent="0.25">
      <c r="D1638" s="13"/>
      <c r="H1638" s="3" t="s">
        <v>35</v>
      </c>
      <c r="I1638" s="3" t="s">
        <v>34</v>
      </c>
      <c r="J1638" s="3">
        <f t="shared" si="135"/>
        <v>15152</v>
      </c>
      <c r="K1638" s="3">
        <f t="shared" si="134"/>
        <v>15164</v>
      </c>
      <c r="L1638" s="3">
        <v>12</v>
      </c>
      <c r="M1638" s="3">
        <f t="shared" si="136"/>
        <v>0.51999999999994095</v>
      </c>
      <c r="N1638" s="3">
        <v>1.25</v>
      </c>
    </row>
    <row r="1639" spans="4:14" ht="15" customHeight="1" x14ac:dyDescent="0.25">
      <c r="D1639" s="13">
        <v>45489</v>
      </c>
      <c r="E1639">
        <v>49.96</v>
      </c>
      <c r="F1639" s="3">
        <v>58.35</v>
      </c>
      <c r="G1639" s="8">
        <f>E1639*F1639</f>
        <v>2915.1660000000002</v>
      </c>
      <c r="H1639" s="3" t="s">
        <v>34</v>
      </c>
      <c r="I1639" s="3" t="s">
        <v>65</v>
      </c>
      <c r="J1639" s="3">
        <f t="shared" si="135"/>
        <v>15164</v>
      </c>
      <c r="K1639" s="3">
        <f t="shared" si="134"/>
        <v>15244</v>
      </c>
      <c r="L1639" s="3">
        <v>80</v>
      </c>
      <c r="M1639" s="3">
        <f t="shared" si="136"/>
        <v>41.47999999999994</v>
      </c>
      <c r="N1639" s="3">
        <v>9</v>
      </c>
    </row>
    <row r="1640" spans="4:14" ht="15" customHeight="1" x14ac:dyDescent="0.25">
      <c r="D1640" s="13"/>
      <c r="H1640" s="3" t="s">
        <v>65</v>
      </c>
      <c r="I1640" s="3" t="s">
        <v>34</v>
      </c>
      <c r="J1640" s="3">
        <f t="shared" si="135"/>
        <v>15244</v>
      </c>
      <c r="K1640" s="3">
        <f t="shared" si="134"/>
        <v>15324</v>
      </c>
      <c r="L1640" s="3">
        <v>80</v>
      </c>
      <c r="M1640" s="3">
        <f t="shared" si="136"/>
        <v>32.47999999999994</v>
      </c>
      <c r="N1640" s="3">
        <v>9</v>
      </c>
    </row>
    <row r="1641" spans="4:14" ht="15" customHeight="1" x14ac:dyDescent="0.25">
      <c r="D1641" s="13">
        <v>45490</v>
      </c>
      <c r="H1641" s="3" t="s">
        <v>34</v>
      </c>
      <c r="I1641" s="3" t="s">
        <v>54</v>
      </c>
      <c r="J1641" s="3">
        <f t="shared" si="135"/>
        <v>15324</v>
      </c>
      <c r="K1641" s="3">
        <f t="shared" si="134"/>
        <v>15351</v>
      </c>
      <c r="L1641" s="3">
        <v>27</v>
      </c>
      <c r="M1641" s="3">
        <f t="shared" si="136"/>
        <v>29.279999999999941</v>
      </c>
      <c r="N1641" s="3">
        <v>3.2</v>
      </c>
    </row>
    <row r="1642" spans="4:14" ht="15" customHeight="1" x14ac:dyDescent="0.25">
      <c r="D1642" s="13"/>
      <c r="H1642" s="3" t="s">
        <v>54</v>
      </c>
      <c r="I1642" s="3" t="s">
        <v>34</v>
      </c>
      <c r="J1642" s="3">
        <f t="shared" si="135"/>
        <v>15351</v>
      </c>
      <c r="K1642" s="3">
        <f t="shared" si="134"/>
        <v>15378</v>
      </c>
      <c r="L1642" s="3">
        <v>27</v>
      </c>
      <c r="M1642" s="3">
        <f t="shared" si="136"/>
        <v>26.079999999999941</v>
      </c>
      <c r="N1642" s="3">
        <v>3.2</v>
      </c>
    </row>
    <row r="1643" spans="4:14" ht="15" customHeight="1" x14ac:dyDescent="0.25">
      <c r="D1643" s="13">
        <v>45491</v>
      </c>
      <c r="H1643" s="3" t="s">
        <v>34</v>
      </c>
      <c r="I1643" s="3" t="s">
        <v>43</v>
      </c>
      <c r="J1643" s="3">
        <f t="shared" si="135"/>
        <v>15378</v>
      </c>
      <c r="K1643" s="3">
        <f t="shared" si="134"/>
        <v>15390</v>
      </c>
      <c r="L1643" s="3">
        <v>12</v>
      </c>
      <c r="M1643" s="3">
        <f t="shared" si="136"/>
        <v>24.829999999999941</v>
      </c>
      <c r="N1643" s="3">
        <v>1.25</v>
      </c>
    </row>
    <row r="1644" spans="4:14" ht="15" customHeight="1" x14ac:dyDescent="0.25">
      <c r="D1644" s="13"/>
      <c r="H1644" s="3" t="s">
        <v>43</v>
      </c>
      <c r="I1644" s="3" t="s">
        <v>34</v>
      </c>
      <c r="J1644" s="3">
        <f t="shared" si="135"/>
        <v>15390</v>
      </c>
      <c r="K1644" s="3">
        <f t="shared" si="134"/>
        <v>15402</v>
      </c>
      <c r="L1644" s="3">
        <v>12</v>
      </c>
      <c r="M1644" s="3">
        <f t="shared" si="136"/>
        <v>23.579999999999941</v>
      </c>
      <c r="N1644" s="3">
        <v>1.25</v>
      </c>
    </row>
    <row r="1645" spans="4:14" ht="15" customHeight="1" x14ac:dyDescent="0.25">
      <c r="D1645" s="13">
        <v>45492</v>
      </c>
      <c r="H1645" s="3" t="s">
        <v>34</v>
      </c>
      <c r="I1645" s="3" t="s">
        <v>59</v>
      </c>
      <c r="J1645" s="3">
        <f t="shared" si="135"/>
        <v>15402</v>
      </c>
      <c r="K1645" s="3">
        <f t="shared" si="134"/>
        <v>15429</v>
      </c>
      <c r="L1645" s="3">
        <v>27</v>
      </c>
      <c r="M1645" s="3">
        <f t="shared" si="136"/>
        <v>20.379999999999942</v>
      </c>
      <c r="N1645" s="3">
        <v>3.2</v>
      </c>
    </row>
    <row r="1646" spans="4:14" ht="15" customHeight="1" x14ac:dyDescent="0.25">
      <c r="H1646" s="3" t="s">
        <v>59</v>
      </c>
      <c r="I1646" s="3" t="s">
        <v>34</v>
      </c>
      <c r="J1646" s="3">
        <f t="shared" si="135"/>
        <v>15429</v>
      </c>
      <c r="K1646" s="3">
        <f t="shared" si="134"/>
        <v>15456</v>
      </c>
      <c r="L1646" s="3">
        <v>27</v>
      </c>
      <c r="M1646" s="3">
        <f t="shared" si="136"/>
        <v>17.179999999999943</v>
      </c>
      <c r="N1646" s="3">
        <v>3.2</v>
      </c>
    </row>
    <row r="1647" spans="4:14" ht="15" customHeight="1" x14ac:dyDescent="0.25">
      <c r="D1647" s="13">
        <v>45495</v>
      </c>
      <c r="H1647" s="3" t="s">
        <v>34</v>
      </c>
      <c r="I1647" s="3" t="s">
        <v>49</v>
      </c>
      <c r="J1647" s="3">
        <f t="shared" si="135"/>
        <v>15456</v>
      </c>
      <c r="K1647" s="3">
        <f t="shared" si="134"/>
        <v>15483</v>
      </c>
      <c r="L1647" s="3">
        <v>27</v>
      </c>
      <c r="M1647" s="3">
        <f t="shared" si="136"/>
        <v>13.979999999999944</v>
      </c>
      <c r="N1647" s="3">
        <v>3.2</v>
      </c>
    </row>
    <row r="1648" spans="4:14" ht="15" customHeight="1" x14ac:dyDescent="0.25">
      <c r="D1648" s="13"/>
      <c r="H1648" s="3" t="s">
        <v>49</v>
      </c>
      <c r="I1648" s="3" t="s">
        <v>34</v>
      </c>
      <c r="J1648" s="3">
        <f t="shared" si="135"/>
        <v>15483</v>
      </c>
      <c r="K1648" s="3">
        <f t="shared" si="134"/>
        <v>15510</v>
      </c>
      <c r="L1648" s="3">
        <v>27</v>
      </c>
      <c r="M1648" s="3">
        <f t="shared" si="136"/>
        <v>10.779999999999944</v>
      </c>
      <c r="N1648" s="3">
        <v>3.2</v>
      </c>
    </row>
    <row r="1649" spans="4:14" ht="15" customHeight="1" x14ac:dyDescent="0.25">
      <c r="D1649" s="13">
        <v>45496</v>
      </c>
      <c r="H1649" s="3" t="s">
        <v>34</v>
      </c>
      <c r="I1649" s="3" t="s">
        <v>54</v>
      </c>
      <c r="J1649" s="3">
        <f t="shared" si="135"/>
        <v>15510</v>
      </c>
      <c r="K1649" s="3">
        <f t="shared" si="134"/>
        <v>15537</v>
      </c>
      <c r="L1649" s="3">
        <v>27</v>
      </c>
      <c r="M1649" s="3">
        <f t="shared" si="136"/>
        <v>7.5799999999999441</v>
      </c>
      <c r="N1649" s="3">
        <v>3.2</v>
      </c>
    </row>
    <row r="1650" spans="4:14" ht="15" customHeight="1" x14ac:dyDescent="0.25">
      <c r="D1650" s="13"/>
      <c r="H1650" s="3" t="s">
        <v>54</v>
      </c>
      <c r="I1650" s="3" t="s">
        <v>34</v>
      </c>
      <c r="J1650" s="3">
        <f t="shared" si="135"/>
        <v>15537</v>
      </c>
      <c r="K1650" s="3">
        <f t="shared" si="134"/>
        <v>15564</v>
      </c>
      <c r="L1650" s="3">
        <v>27</v>
      </c>
      <c r="M1650" s="3">
        <f t="shared" si="136"/>
        <v>4.3799999999999439</v>
      </c>
      <c r="N1650" s="3">
        <v>3.2</v>
      </c>
    </row>
    <row r="1651" spans="4:14" ht="15" customHeight="1" x14ac:dyDescent="0.25">
      <c r="D1651" s="13">
        <v>45497</v>
      </c>
      <c r="E1651">
        <v>43.47</v>
      </c>
      <c r="F1651" s="3">
        <v>57.5</v>
      </c>
      <c r="G1651" s="8">
        <f>E1651*F1651</f>
        <v>2499.5250000000001</v>
      </c>
      <c r="H1651" s="3" t="s">
        <v>34</v>
      </c>
      <c r="I1651" s="3" t="s">
        <v>65</v>
      </c>
      <c r="J1651" s="3">
        <f t="shared" si="135"/>
        <v>15564</v>
      </c>
      <c r="K1651" s="3">
        <f t="shared" si="134"/>
        <v>15644</v>
      </c>
      <c r="L1651" s="3">
        <v>80</v>
      </c>
      <c r="M1651" s="3">
        <f t="shared" si="136"/>
        <v>38.849999999999945</v>
      </c>
      <c r="N1651" s="3">
        <v>9</v>
      </c>
    </row>
    <row r="1652" spans="4:14" ht="15" customHeight="1" x14ac:dyDescent="0.25">
      <c r="D1652" s="13"/>
      <c r="H1652" s="3" t="s">
        <v>65</v>
      </c>
      <c r="I1652" s="3" t="s">
        <v>34</v>
      </c>
      <c r="J1652" s="3">
        <f t="shared" si="135"/>
        <v>15644</v>
      </c>
      <c r="K1652" s="3">
        <f t="shared" si="134"/>
        <v>15724</v>
      </c>
      <c r="L1652" s="3">
        <v>80</v>
      </c>
      <c r="M1652" s="3">
        <f t="shared" si="136"/>
        <v>29.849999999999945</v>
      </c>
      <c r="N1652" s="3">
        <v>9</v>
      </c>
    </row>
    <row r="1653" spans="4:14" ht="15" customHeight="1" x14ac:dyDescent="0.25">
      <c r="D1653" s="13">
        <v>45498</v>
      </c>
      <c r="H1653" s="3" t="s">
        <v>34</v>
      </c>
      <c r="I1653" s="3" t="s">
        <v>81</v>
      </c>
      <c r="J1653" s="3">
        <f t="shared" si="135"/>
        <v>15724</v>
      </c>
      <c r="K1653" s="3">
        <f t="shared" si="134"/>
        <v>15748</v>
      </c>
      <c r="L1653" s="3">
        <v>24</v>
      </c>
      <c r="M1653" s="3">
        <f t="shared" si="136"/>
        <v>27.349999999999945</v>
      </c>
      <c r="N1653" s="3">
        <v>2.5</v>
      </c>
    </row>
    <row r="1654" spans="4:14" ht="15" customHeight="1" x14ac:dyDescent="0.25">
      <c r="D1654" s="13"/>
      <c r="H1654" s="3" t="s">
        <v>81</v>
      </c>
      <c r="I1654" s="3" t="s">
        <v>34</v>
      </c>
      <c r="J1654" s="3">
        <f t="shared" si="135"/>
        <v>15748</v>
      </c>
      <c r="K1654" s="3">
        <f t="shared" si="134"/>
        <v>15772</v>
      </c>
      <c r="L1654" s="3">
        <v>24</v>
      </c>
      <c r="M1654" s="3">
        <f t="shared" si="136"/>
        <v>24.849999999999945</v>
      </c>
      <c r="N1654" s="3">
        <v>2.5</v>
      </c>
    </row>
    <row r="1655" spans="4:14" ht="15" customHeight="1" x14ac:dyDescent="0.25">
      <c r="D1655" s="13">
        <v>45499</v>
      </c>
      <c r="H1655" s="3" t="s">
        <v>34</v>
      </c>
      <c r="I1655" s="3" t="s">
        <v>35</v>
      </c>
      <c r="J1655" s="3">
        <f t="shared" si="135"/>
        <v>15772</v>
      </c>
      <c r="K1655" s="3">
        <f t="shared" si="134"/>
        <v>15784</v>
      </c>
      <c r="L1655" s="3">
        <v>12</v>
      </c>
      <c r="M1655" s="3">
        <f t="shared" si="136"/>
        <v>23.599999999999945</v>
      </c>
      <c r="N1655" s="3">
        <v>1.25</v>
      </c>
    </row>
    <row r="1656" spans="4:14" ht="15" customHeight="1" x14ac:dyDescent="0.25">
      <c r="H1656" s="3" t="s">
        <v>35</v>
      </c>
      <c r="I1656" s="3" t="s">
        <v>34</v>
      </c>
      <c r="J1656" s="3">
        <f t="shared" si="135"/>
        <v>15784</v>
      </c>
      <c r="K1656" s="3">
        <f t="shared" si="134"/>
        <v>15796</v>
      </c>
      <c r="L1656" s="3">
        <v>12</v>
      </c>
      <c r="M1656" s="3">
        <f t="shared" si="136"/>
        <v>22.349999999999945</v>
      </c>
      <c r="N1656" s="3">
        <v>1.25</v>
      </c>
    </row>
    <row r="1657" spans="4:14" ht="15" customHeight="1" x14ac:dyDescent="0.25">
      <c r="D1657" s="13">
        <v>45502</v>
      </c>
      <c r="H1657" s="3" t="s">
        <v>34</v>
      </c>
      <c r="I1657" s="3" t="s">
        <v>54</v>
      </c>
      <c r="J1657" s="3">
        <f t="shared" si="135"/>
        <v>15796</v>
      </c>
      <c r="K1657" s="3">
        <f t="shared" si="134"/>
        <v>15823</v>
      </c>
      <c r="L1657" s="3">
        <v>27</v>
      </c>
      <c r="M1657" s="3">
        <f t="shared" si="136"/>
        <v>19.149999999999945</v>
      </c>
      <c r="N1657" s="3">
        <v>3.2</v>
      </c>
    </row>
    <row r="1658" spans="4:14" ht="15" customHeight="1" x14ac:dyDescent="0.25">
      <c r="D1658" s="13"/>
      <c r="H1658" s="3" t="s">
        <v>54</v>
      </c>
      <c r="I1658" s="3" t="s">
        <v>34</v>
      </c>
      <c r="J1658" s="3">
        <f t="shared" si="135"/>
        <v>15823</v>
      </c>
      <c r="K1658" s="3">
        <f t="shared" si="134"/>
        <v>15850</v>
      </c>
      <c r="L1658" s="3">
        <v>27</v>
      </c>
      <c r="M1658" s="3">
        <f t="shared" si="136"/>
        <v>15.949999999999946</v>
      </c>
      <c r="N1658" s="3">
        <v>3.2</v>
      </c>
    </row>
    <row r="1659" spans="4:14" ht="15" customHeight="1" x14ac:dyDescent="0.25">
      <c r="D1659" s="13">
        <v>45503</v>
      </c>
      <c r="H1659" s="3" t="s">
        <v>34</v>
      </c>
      <c r="I1659" s="3" t="s">
        <v>35</v>
      </c>
      <c r="J1659" s="3">
        <f t="shared" si="135"/>
        <v>15850</v>
      </c>
      <c r="K1659" s="3">
        <f t="shared" si="134"/>
        <v>15862</v>
      </c>
      <c r="L1659" s="3">
        <v>12</v>
      </c>
      <c r="M1659" s="3">
        <f t="shared" si="136"/>
        <v>14.699999999999946</v>
      </c>
      <c r="N1659" s="3">
        <v>1.25</v>
      </c>
    </row>
    <row r="1660" spans="4:14" ht="15" customHeight="1" x14ac:dyDescent="0.25">
      <c r="D1660" s="13"/>
      <c r="H1660" s="3" t="s">
        <v>35</v>
      </c>
      <c r="I1660" s="3" t="s">
        <v>34</v>
      </c>
      <c r="J1660" s="3">
        <f t="shared" si="135"/>
        <v>15862</v>
      </c>
      <c r="K1660" s="3">
        <f t="shared" si="134"/>
        <v>15874</v>
      </c>
      <c r="L1660" s="3">
        <v>12</v>
      </c>
      <c r="M1660" s="3">
        <f t="shared" si="136"/>
        <v>13.449999999999946</v>
      </c>
      <c r="N1660" s="3">
        <v>1.25</v>
      </c>
    </row>
    <row r="1661" spans="4:14" ht="15" customHeight="1" x14ac:dyDescent="0.25">
      <c r="D1661" s="13">
        <v>45504</v>
      </c>
      <c r="H1661" s="3" t="s">
        <v>34</v>
      </c>
      <c r="I1661" s="3" t="s">
        <v>49</v>
      </c>
      <c r="J1661" s="3">
        <f t="shared" si="135"/>
        <v>15874</v>
      </c>
      <c r="K1661" s="3">
        <f t="shared" si="134"/>
        <v>15901</v>
      </c>
      <c r="L1661" s="3">
        <v>27</v>
      </c>
      <c r="M1661" s="3">
        <f t="shared" si="136"/>
        <v>10.249999999999947</v>
      </c>
      <c r="N1661" s="3">
        <v>3.2</v>
      </c>
    </row>
    <row r="1662" spans="4:14" ht="15" customHeight="1" x14ac:dyDescent="0.25">
      <c r="D1662" s="13"/>
      <c r="H1662" s="3" t="s">
        <v>49</v>
      </c>
      <c r="I1662" s="3" t="s">
        <v>34</v>
      </c>
      <c r="J1662" s="3">
        <f t="shared" si="135"/>
        <v>15901</v>
      </c>
      <c r="K1662" s="3">
        <f t="shared" si="134"/>
        <v>15928</v>
      </c>
      <c r="L1662" s="3">
        <v>27</v>
      </c>
      <c r="M1662" s="3">
        <f t="shared" si="136"/>
        <v>7.0499999999999465</v>
      </c>
      <c r="N1662" s="3">
        <v>3.2</v>
      </c>
    </row>
    <row r="1664" spans="4:14" ht="15" customHeight="1" x14ac:dyDescent="0.25">
      <c r="D1664" s="2" t="s">
        <v>82</v>
      </c>
      <c r="E1664" s="2"/>
      <c r="F1664" s="2"/>
      <c r="G1664" s="2"/>
    </row>
    <row r="1665" spans="4:14" ht="15" customHeight="1" x14ac:dyDescent="0.25">
      <c r="D1665" s="13">
        <v>45505</v>
      </c>
      <c r="E1665">
        <v>40.869999999999997</v>
      </c>
      <c r="F1665" s="3">
        <v>58.4</v>
      </c>
      <c r="G1665" s="8">
        <f>E1665*F1665</f>
        <v>2386.808</v>
      </c>
      <c r="H1665" s="3" t="s">
        <v>34</v>
      </c>
      <c r="I1665" s="3" t="s">
        <v>37</v>
      </c>
      <c r="J1665" s="3">
        <f>K1662</f>
        <v>15928</v>
      </c>
      <c r="K1665" s="3">
        <f t="shared" ref="K1665:K1692" si="137">J1665+L1665</f>
        <v>15968</v>
      </c>
      <c r="L1665" s="3">
        <v>40</v>
      </c>
      <c r="M1665" s="3">
        <f>(E1665+M1662)-N1665</f>
        <v>43.119999999999948</v>
      </c>
      <c r="N1665" s="3">
        <v>4.8</v>
      </c>
    </row>
    <row r="1666" spans="4:14" ht="15" customHeight="1" x14ac:dyDescent="0.25">
      <c r="D1666" s="13"/>
      <c r="H1666" s="3" t="s">
        <v>37</v>
      </c>
      <c r="I1666" s="3" t="s">
        <v>34</v>
      </c>
      <c r="J1666" s="3">
        <f t="shared" ref="J1666:J1692" si="138">K1665</f>
        <v>15968</v>
      </c>
      <c r="K1666" s="3">
        <f t="shared" si="137"/>
        <v>16008</v>
      </c>
      <c r="L1666" s="3">
        <v>40</v>
      </c>
      <c r="M1666" s="3">
        <f t="shared" ref="M1666:M1692" si="139">(E1666+M1665)-N1666</f>
        <v>38.319999999999951</v>
      </c>
      <c r="N1666" s="3">
        <v>4.8</v>
      </c>
    </row>
    <row r="1667" spans="4:14" ht="15" customHeight="1" x14ac:dyDescent="0.25">
      <c r="D1667" s="13">
        <v>45506</v>
      </c>
      <c r="H1667" s="3" t="s">
        <v>34</v>
      </c>
      <c r="I1667" s="3" t="s">
        <v>54</v>
      </c>
      <c r="J1667" s="3">
        <f t="shared" si="138"/>
        <v>16008</v>
      </c>
      <c r="K1667" s="3">
        <f t="shared" si="137"/>
        <v>16035</v>
      </c>
      <c r="L1667" s="3">
        <v>27</v>
      </c>
      <c r="M1667" s="3">
        <f t="shared" si="139"/>
        <v>35.119999999999948</v>
      </c>
      <c r="N1667" s="3">
        <v>3.2</v>
      </c>
    </row>
    <row r="1668" spans="4:14" ht="15" customHeight="1" x14ac:dyDescent="0.25">
      <c r="D1668" s="13"/>
      <c r="H1668" s="3" t="s">
        <v>54</v>
      </c>
      <c r="I1668" s="3" t="s">
        <v>34</v>
      </c>
      <c r="J1668" s="3">
        <f t="shared" si="138"/>
        <v>16035</v>
      </c>
      <c r="K1668" s="3">
        <f t="shared" si="137"/>
        <v>16062</v>
      </c>
      <c r="L1668" s="3">
        <v>27</v>
      </c>
      <c r="M1668" s="3">
        <f t="shared" si="139"/>
        <v>31.919999999999948</v>
      </c>
      <c r="N1668" s="3">
        <v>3.2</v>
      </c>
    </row>
    <row r="1669" spans="4:14" ht="15" customHeight="1" x14ac:dyDescent="0.25">
      <c r="D1669" s="13">
        <v>45509</v>
      </c>
      <c r="H1669" s="3" t="s">
        <v>34</v>
      </c>
      <c r="I1669" s="3" t="s">
        <v>43</v>
      </c>
      <c r="J1669" s="3">
        <f t="shared" si="138"/>
        <v>16062</v>
      </c>
      <c r="K1669" s="3">
        <f t="shared" si="137"/>
        <v>16074</v>
      </c>
      <c r="L1669" s="3">
        <v>12</v>
      </c>
      <c r="M1669" s="3">
        <f t="shared" si="139"/>
        <v>30.669999999999948</v>
      </c>
      <c r="N1669" s="3">
        <v>1.25</v>
      </c>
    </row>
    <row r="1670" spans="4:14" ht="15" customHeight="1" x14ac:dyDescent="0.25">
      <c r="D1670" s="13"/>
      <c r="H1670" s="3" t="s">
        <v>43</v>
      </c>
      <c r="I1670" s="3" t="s">
        <v>34</v>
      </c>
      <c r="J1670" s="3">
        <f t="shared" si="138"/>
        <v>16074</v>
      </c>
      <c r="K1670" s="3">
        <f t="shared" si="137"/>
        <v>16086</v>
      </c>
      <c r="L1670" s="3">
        <v>12</v>
      </c>
      <c r="M1670" s="3">
        <f t="shared" si="139"/>
        <v>29.419999999999948</v>
      </c>
      <c r="N1670" s="3">
        <v>1.25</v>
      </c>
    </row>
    <row r="1671" spans="4:14" ht="15" customHeight="1" x14ac:dyDescent="0.25">
      <c r="D1671" s="13">
        <v>45510</v>
      </c>
      <c r="H1671" s="3" t="s">
        <v>34</v>
      </c>
      <c r="I1671" s="3" t="s">
        <v>35</v>
      </c>
      <c r="J1671" s="3">
        <f t="shared" si="138"/>
        <v>16086</v>
      </c>
      <c r="K1671" s="3">
        <f t="shared" si="137"/>
        <v>16098</v>
      </c>
      <c r="L1671" s="3">
        <v>12</v>
      </c>
      <c r="M1671" s="3">
        <f t="shared" si="139"/>
        <v>28.169999999999948</v>
      </c>
      <c r="N1671" s="3">
        <v>1.25</v>
      </c>
    </row>
    <row r="1672" spans="4:14" ht="15" customHeight="1" x14ac:dyDescent="0.25">
      <c r="D1672" s="13"/>
      <c r="H1672" s="3" t="s">
        <v>35</v>
      </c>
      <c r="I1672" s="3" t="s">
        <v>34</v>
      </c>
      <c r="J1672" s="3">
        <f t="shared" si="138"/>
        <v>16098</v>
      </c>
      <c r="K1672" s="3">
        <f t="shared" si="137"/>
        <v>16110</v>
      </c>
      <c r="L1672" s="3">
        <v>12</v>
      </c>
      <c r="M1672" s="3">
        <f t="shared" si="139"/>
        <v>26.919999999999948</v>
      </c>
      <c r="N1672" s="3">
        <v>1.25</v>
      </c>
    </row>
    <row r="1673" spans="4:14" ht="15" customHeight="1" x14ac:dyDescent="0.25">
      <c r="D1673" s="13">
        <v>45511</v>
      </c>
      <c r="H1673" s="3" t="s">
        <v>34</v>
      </c>
      <c r="I1673" s="3" t="s">
        <v>44</v>
      </c>
      <c r="J1673" s="3">
        <f t="shared" si="138"/>
        <v>16110</v>
      </c>
      <c r="K1673" s="3">
        <f t="shared" si="137"/>
        <v>16150</v>
      </c>
      <c r="L1673" s="3">
        <v>40</v>
      </c>
      <c r="M1673" s="3">
        <f t="shared" si="139"/>
        <v>22.119999999999948</v>
      </c>
      <c r="N1673" s="3">
        <v>4.8</v>
      </c>
    </row>
    <row r="1674" spans="4:14" ht="15" customHeight="1" x14ac:dyDescent="0.25">
      <c r="D1674" s="13"/>
      <c r="H1674" s="3" t="s">
        <v>44</v>
      </c>
      <c r="I1674" s="3" t="s">
        <v>34</v>
      </c>
      <c r="J1674" s="3">
        <f t="shared" si="138"/>
        <v>16150</v>
      </c>
      <c r="K1674" s="3">
        <f t="shared" si="137"/>
        <v>16190</v>
      </c>
      <c r="L1674" s="3">
        <v>40</v>
      </c>
      <c r="M1674" s="3">
        <f t="shared" si="139"/>
        <v>17.319999999999947</v>
      </c>
      <c r="N1674" s="3">
        <v>4.8</v>
      </c>
    </row>
    <row r="1675" spans="4:14" ht="15" customHeight="1" x14ac:dyDescent="0.25">
      <c r="D1675" s="13">
        <v>45512</v>
      </c>
      <c r="H1675" s="3" t="s">
        <v>34</v>
      </c>
      <c r="I1675" s="3" t="s">
        <v>32</v>
      </c>
      <c r="J1675" s="3">
        <f t="shared" si="138"/>
        <v>16190</v>
      </c>
      <c r="K1675" s="3">
        <f t="shared" si="137"/>
        <v>16215</v>
      </c>
      <c r="L1675" s="3">
        <v>25</v>
      </c>
      <c r="M1675" s="3">
        <f t="shared" si="139"/>
        <v>14.319999999999947</v>
      </c>
      <c r="N1675" s="3">
        <v>3</v>
      </c>
    </row>
    <row r="1676" spans="4:14" ht="15" customHeight="1" x14ac:dyDescent="0.25">
      <c r="D1676" s="13"/>
      <c r="H1676" s="3" t="s">
        <v>32</v>
      </c>
      <c r="I1676" s="3" t="s">
        <v>34</v>
      </c>
      <c r="J1676" s="3">
        <f t="shared" si="138"/>
        <v>16215</v>
      </c>
      <c r="K1676" s="3">
        <f t="shared" si="137"/>
        <v>16240</v>
      </c>
      <c r="L1676" s="3">
        <v>25</v>
      </c>
      <c r="M1676" s="3">
        <f t="shared" si="139"/>
        <v>11.319999999999947</v>
      </c>
      <c r="N1676" s="3">
        <v>3</v>
      </c>
    </row>
    <row r="1677" spans="4:14" ht="15" customHeight="1" x14ac:dyDescent="0.25">
      <c r="D1677" s="13">
        <v>45513</v>
      </c>
      <c r="H1677" s="3" t="s">
        <v>34</v>
      </c>
      <c r="I1677" s="3" t="s">
        <v>54</v>
      </c>
      <c r="J1677" s="3">
        <f t="shared" si="138"/>
        <v>16240</v>
      </c>
      <c r="K1677" s="3">
        <f t="shared" si="137"/>
        <v>16267</v>
      </c>
      <c r="L1677" s="3">
        <v>27</v>
      </c>
      <c r="M1677" s="3">
        <f t="shared" si="139"/>
        <v>8.1199999999999477</v>
      </c>
      <c r="N1677" s="3">
        <v>3.2</v>
      </c>
    </row>
    <row r="1678" spans="4:14" ht="15" customHeight="1" x14ac:dyDescent="0.25">
      <c r="D1678" s="13"/>
      <c r="H1678" s="3" t="s">
        <v>54</v>
      </c>
      <c r="I1678" s="3" t="s">
        <v>34</v>
      </c>
      <c r="J1678" s="3">
        <f t="shared" si="138"/>
        <v>16267</v>
      </c>
      <c r="K1678" s="3">
        <f t="shared" si="137"/>
        <v>16294</v>
      </c>
      <c r="L1678" s="3">
        <v>27</v>
      </c>
      <c r="M1678" s="3">
        <f t="shared" si="139"/>
        <v>4.9199999999999475</v>
      </c>
      <c r="N1678" s="3">
        <v>3.2</v>
      </c>
    </row>
    <row r="1679" spans="4:14" ht="15" customHeight="1" x14ac:dyDescent="0.25">
      <c r="D1679" s="13">
        <v>45516</v>
      </c>
      <c r="H1679" s="3" t="s">
        <v>34</v>
      </c>
      <c r="I1679" s="3" t="s">
        <v>35</v>
      </c>
      <c r="J1679" s="3">
        <f t="shared" si="138"/>
        <v>16294</v>
      </c>
      <c r="K1679" s="3">
        <f t="shared" si="137"/>
        <v>16306</v>
      </c>
      <c r="L1679" s="3">
        <v>12</v>
      </c>
      <c r="M1679" s="3">
        <f t="shared" si="139"/>
        <v>3.6699999999999475</v>
      </c>
      <c r="N1679" s="3">
        <v>1.25</v>
      </c>
    </row>
    <row r="1680" spans="4:14" ht="15" customHeight="1" x14ac:dyDescent="0.25">
      <c r="D1680" s="13"/>
      <c r="H1680" s="3" t="s">
        <v>35</v>
      </c>
      <c r="I1680" s="3" t="s">
        <v>34</v>
      </c>
      <c r="J1680" s="3">
        <f t="shared" si="138"/>
        <v>16306</v>
      </c>
      <c r="K1680" s="3">
        <f t="shared" si="137"/>
        <v>16318</v>
      </c>
      <c r="L1680" s="3">
        <v>12</v>
      </c>
      <c r="M1680" s="3">
        <f t="shared" si="139"/>
        <v>2.4199999999999475</v>
      </c>
      <c r="N1680" s="3">
        <v>1.25</v>
      </c>
    </row>
    <row r="1681" spans="4:14" ht="15" customHeight="1" x14ac:dyDescent="0.25">
      <c r="D1681" s="13">
        <v>45517</v>
      </c>
      <c r="E1681">
        <v>47.37</v>
      </c>
      <c r="F1681" s="3">
        <v>58.5</v>
      </c>
      <c r="G1681" s="8">
        <f>E1681*F1681</f>
        <v>2771.145</v>
      </c>
      <c r="H1681" s="3" t="s">
        <v>34</v>
      </c>
      <c r="I1681" s="3" t="s">
        <v>65</v>
      </c>
      <c r="J1681" s="3">
        <f t="shared" si="138"/>
        <v>16318</v>
      </c>
      <c r="K1681" s="3">
        <f t="shared" si="137"/>
        <v>16398</v>
      </c>
      <c r="L1681" s="3">
        <v>80</v>
      </c>
      <c r="M1681" s="3">
        <f t="shared" si="139"/>
        <v>40.789999999999942</v>
      </c>
      <c r="N1681" s="3">
        <v>9</v>
      </c>
    </row>
    <row r="1682" spans="4:14" ht="15" customHeight="1" x14ac:dyDescent="0.25">
      <c r="D1682" s="13"/>
      <c r="H1682" s="3" t="s">
        <v>65</v>
      </c>
      <c r="I1682" s="3" t="s">
        <v>34</v>
      </c>
      <c r="J1682" s="3">
        <f t="shared" si="138"/>
        <v>16398</v>
      </c>
      <c r="K1682" s="3">
        <f t="shared" si="137"/>
        <v>16478</v>
      </c>
      <c r="L1682" s="3">
        <v>80</v>
      </c>
      <c r="M1682" s="3">
        <f t="shared" si="139"/>
        <v>31.789999999999942</v>
      </c>
      <c r="N1682" s="3">
        <v>9</v>
      </c>
    </row>
    <row r="1683" spans="4:14" ht="15" customHeight="1" x14ac:dyDescent="0.25">
      <c r="D1683" s="13">
        <v>45518</v>
      </c>
      <c r="H1683" s="3" t="s">
        <v>34</v>
      </c>
      <c r="I1683" s="3" t="s">
        <v>49</v>
      </c>
      <c r="J1683" s="3">
        <f t="shared" si="138"/>
        <v>16478</v>
      </c>
      <c r="K1683" s="3">
        <f t="shared" si="137"/>
        <v>16505</v>
      </c>
      <c r="L1683" s="3">
        <v>27</v>
      </c>
      <c r="M1683" s="3">
        <f t="shared" si="139"/>
        <v>28.589999999999943</v>
      </c>
      <c r="N1683" s="3">
        <v>3.2</v>
      </c>
    </row>
    <row r="1684" spans="4:14" ht="15" customHeight="1" x14ac:dyDescent="0.25">
      <c r="D1684" s="13"/>
      <c r="H1684" s="3" t="s">
        <v>49</v>
      </c>
      <c r="I1684" s="3" t="s">
        <v>34</v>
      </c>
      <c r="J1684" s="3">
        <f t="shared" si="138"/>
        <v>16505</v>
      </c>
      <c r="K1684" s="3">
        <f t="shared" si="137"/>
        <v>16532</v>
      </c>
      <c r="L1684" s="3">
        <v>27</v>
      </c>
      <c r="M1684" s="3">
        <f t="shared" si="139"/>
        <v>25.389999999999944</v>
      </c>
      <c r="N1684" s="3">
        <v>3.2</v>
      </c>
    </row>
    <row r="1685" spans="4:14" ht="15" customHeight="1" x14ac:dyDescent="0.25">
      <c r="D1685" s="13">
        <v>45519</v>
      </c>
      <c r="H1685" s="3" t="s">
        <v>34</v>
      </c>
      <c r="I1685" s="3" t="s">
        <v>35</v>
      </c>
      <c r="J1685" s="3">
        <f t="shared" si="138"/>
        <v>16532</v>
      </c>
      <c r="K1685" s="3">
        <f t="shared" si="137"/>
        <v>16544</v>
      </c>
      <c r="L1685" s="3">
        <v>12</v>
      </c>
      <c r="M1685" s="3">
        <f t="shared" si="139"/>
        <v>24.139999999999944</v>
      </c>
      <c r="N1685" s="3">
        <v>1.25</v>
      </c>
    </row>
    <row r="1686" spans="4:14" ht="15" customHeight="1" x14ac:dyDescent="0.25">
      <c r="D1686" s="13"/>
      <c r="H1686" s="3" t="s">
        <v>35</v>
      </c>
      <c r="I1686" s="3" t="s">
        <v>34</v>
      </c>
      <c r="J1686" s="3">
        <f t="shared" si="138"/>
        <v>16544</v>
      </c>
      <c r="K1686" s="3">
        <f t="shared" si="137"/>
        <v>16556</v>
      </c>
      <c r="L1686" s="3">
        <v>12</v>
      </c>
      <c r="M1686" s="3">
        <f t="shared" si="139"/>
        <v>22.889999999999944</v>
      </c>
      <c r="N1686" s="3">
        <v>1.25</v>
      </c>
    </row>
    <row r="1687" spans="4:14" ht="15" customHeight="1" x14ac:dyDescent="0.25">
      <c r="D1687" s="13">
        <v>45520</v>
      </c>
      <c r="H1687" s="3" t="s">
        <v>34</v>
      </c>
      <c r="I1687" s="3" t="s">
        <v>54</v>
      </c>
      <c r="J1687" s="3">
        <f t="shared" si="138"/>
        <v>16556</v>
      </c>
      <c r="K1687" s="3">
        <f t="shared" si="137"/>
        <v>16583</v>
      </c>
      <c r="L1687" s="3">
        <v>27</v>
      </c>
      <c r="M1687" s="3">
        <f t="shared" si="139"/>
        <v>19.689999999999944</v>
      </c>
      <c r="N1687" s="3">
        <v>3.2</v>
      </c>
    </row>
    <row r="1688" spans="4:14" ht="15" customHeight="1" x14ac:dyDescent="0.25">
      <c r="D1688" s="13"/>
      <c r="H1688" s="3" t="s">
        <v>54</v>
      </c>
      <c r="I1688" s="3" t="s">
        <v>34</v>
      </c>
      <c r="J1688" s="3">
        <f t="shared" si="138"/>
        <v>16583</v>
      </c>
      <c r="K1688" s="3">
        <f t="shared" si="137"/>
        <v>16610</v>
      </c>
      <c r="L1688" s="3">
        <v>27</v>
      </c>
      <c r="M1688" s="3">
        <f t="shared" si="139"/>
        <v>16.489999999999945</v>
      </c>
      <c r="N1688" s="3">
        <v>3.2</v>
      </c>
    </row>
    <row r="1689" spans="4:14" ht="15" customHeight="1" x14ac:dyDescent="0.25">
      <c r="D1689" s="13">
        <v>45523</v>
      </c>
      <c r="E1689">
        <v>48.57</v>
      </c>
      <c r="F1689" s="3">
        <v>58.2</v>
      </c>
      <c r="G1689" s="8">
        <f>E1689*F1689</f>
        <v>2826.7740000000003</v>
      </c>
      <c r="H1689" s="3" t="s">
        <v>34</v>
      </c>
      <c r="I1689" s="3" t="s">
        <v>65</v>
      </c>
      <c r="J1689" s="3">
        <f t="shared" si="138"/>
        <v>16610</v>
      </c>
      <c r="K1689" s="3">
        <f t="shared" si="137"/>
        <v>16690</v>
      </c>
      <c r="L1689" s="3">
        <v>80</v>
      </c>
      <c r="M1689" s="3">
        <f t="shared" si="139"/>
        <v>56.059999999999945</v>
      </c>
      <c r="N1689" s="3">
        <v>9</v>
      </c>
    </row>
    <row r="1690" spans="4:14" ht="15" customHeight="1" x14ac:dyDescent="0.25">
      <c r="D1690" s="13"/>
      <c r="H1690" s="3" t="s">
        <v>65</v>
      </c>
      <c r="I1690" s="3" t="s">
        <v>34</v>
      </c>
      <c r="J1690" s="3">
        <f t="shared" si="138"/>
        <v>16690</v>
      </c>
      <c r="K1690" s="3">
        <f t="shared" si="137"/>
        <v>16770</v>
      </c>
      <c r="L1690" s="3">
        <v>80</v>
      </c>
      <c r="M1690" s="3">
        <f t="shared" si="139"/>
        <v>47.059999999999945</v>
      </c>
      <c r="N1690" s="3">
        <v>9</v>
      </c>
    </row>
    <row r="1691" spans="4:14" ht="15" customHeight="1" x14ac:dyDescent="0.25">
      <c r="D1691" s="13">
        <v>45524</v>
      </c>
      <c r="H1691" s="3" t="s">
        <v>34</v>
      </c>
      <c r="I1691" s="3" t="s">
        <v>65</v>
      </c>
      <c r="J1691" s="3">
        <f t="shared" si="138"/>
        <v>16770</v>
      </c>
      <c r="K1691" s="3">
        <f t="shared" si="137"/>
        <v>16850</v>
      </c>
      <c r="L1691" s="3">
        <v>80</v>
      </c>
      <c r="M1691" s="3">
        <f t="shared" si="139"/>
        <v>38.059999999999945</v>
      </c>
      <c r="N1691" s="3">
        <v>9</v>
      </c>
    </row>
    <row r="1692" spans="4:14" ht="15" customHeight="1" x14ac:dyDescent="0.25">
      <c r="D1692" s="13"/>
      <c r="H1692" s="3" t="s">
        <v>65</v>
      </c>
      <c r="I1692" s="3" t="s">
        <v>34</v>
      </c>
      <c r="J1692" s="3">
        <f t="shared" si="138"/>
        <v>16850</v>
      </c>
      <c r="K1692" s="3">
        <f t="shared" si="137"/>
        <v>16930</v>
      </c>
      <c r="L1692" s="3">
        <v>80</v>
      </c>
      <c r="M1692" s="3">
        <f t="shared" si="139"/>
        <v>29.059999999999945</v>
      </c>
      <c r="N1692" s="3">
        <v>9</v>
      </c>
    </row>
    <row r="1693" spans="4:14" ht="15" customHeight="1" x14ac:dyDescent="0.25">
      <c r="D1693" s="13">
        <v>45525</v>
      </c>
      <c r="E1693" t="s">
        <v>50</v>
      </c>
    </row>
    <row r="1694" spans="4:14" ht="15" customHeight="1" x14ac:dyDescent="0.25">
      <c r="D1694" s="13">
        <v>45526</v>
      </c>
      <c r="E1694" t="s">
        <v>50</v>
      </c>
    </row>
    <row r="1695" spans="4:14" ht="15" customHeight="1" x14ac:dyDescent="0.25">
      <c r="D1695" s="13">
        <v>45527</v>
      </c>
      <c r="E1695" t="s">
        <v>50</v>
      </c>
    </row>
    <row r="1696" spans="4:14" ht="15" customHeight="1" x14ac:dyDescent="0.25">
      <c r="D1696" s="13">
        <v>45530</v>
      </c>
      <c r="E1696" t="s">
        <v>50</v>
      </c>
    </row>
    <row r="1697" spans="4:14" ht="15" customHeight="1" x14ac:dyDescent="0.25">
      <c r="D1697" s="13">
        <v>45531</v>
      </c>
      <c r="E1697" t="s">
        <v>50</v>
      </c>
    </row>
    <row r="1698" spans="4:14" ht="15" customHeight="1" x14ac:dyDescent="0.25">
      <c r="D1698" s="13">
        <v>45532</v>
      </c>
      <c r="E1698" t="s">
        <v>50</v>
      </c>
    </row>
    <row r="1699" spans="4:14" ht="15" customHeight="1" x14ac:dyDescent="0.25">
      <c r="D1699" s="13">
        <v>45533</v>
      </c>
      <c r="E1699" t="s">
        <v>50</v>
      </c>
    </row>
    <row r="1700" spans="4:14" ht="15" customHeight="1" x14ac:dyDescent="0.25">
      <c r="D1700" s="13">
        <v>45534</v>
      </c>
      <c r="E1700" t="s">
        <v>50</v>
      </c>
    </row>
    <row r="1701" spans="4:14" ht="15" customHeight="1" x14ac:dyDescent="0.25">
      <c r="D1701" s="13"/>
    </row>
    <row r="1702" spans="4:14" ht="15" customHeight="1" x14ac:dyDescent="0.25">
      <c r="D1702" s="2" t="s">
        <v>83</v>
      </c>
      <c r="E1702" s="2"/>
      <c r="F1702" s="2"/>
      <c r="G1702" s="2"/>
    </row>
    <row r="1703" spans="4:14" ht="15" customHeight="1" x14ac:dyDescent="0.25">
      <c r="D1703" s="13"/>
    </row>
    <row r="1704" spans="4:14" ht="15" customHeight="1" x14ac:dyDescent="0.25">
      <c r="D1704" s="13">
        <v>45537</v>
      </c>
      <c r="E1704" t="s">
        <v>50</v>
      </c>
    </row>
    <row r="1705" spans="4:14" ht="15" customHeight="1" x14ac:dyDescent="0.25">
      <c r="D1705" s="13">
        <v>45538</v>
      </c>
      <c r="E1705" t="s">
        <v>50</v>
      </c>
    </row>
    <row r="1706" spans="4:14" ht="15" customHeight="1" x14ac:dyDescent="0.25">
      <c r="D1706" s="13">
        <v>45539</v>
      </c>
      <c r="E1706" t="s">
        <v>50</v>
      </c>
    </row>
    <row r="1707" spans="4:14" ht="15" customHeight="1" x14ac:dyDescent="0.25">
      <c r="D1707" s="13">
        <v>45540</v>
      </c>
      <c r="H1707" s="3" t="s">
        <v>34</v>
      </c>
      <c r="I1707" s="3" t="s">
        <v>54</v>
      </c>
      <c r="J1707" s="3">
        <f>K1692</f>
        <v>16930</v>
      </c>
      <c r="K1707" s="3">
        <f t="shared" ref="K1707:K1744" si="140">J1707+L1707</f>
        <v>16957</v>
      </c>
      <c r="L1707" s="3">
        <v>27</v>
      </c>
      <c r="M1707" s="3">
        <f>(E1707+M1692)-N1707</f>
        <v>25.859999999999946</v>
      </c>
      <c r="N1707" s="3">
        <v>3.2</v>
      </c>
    </row>
    <row r="1708" spans="4:14" ht="15" customHeight="1" x14ac:dyDescent="0.25">
      <c r="D1708" s="13"/>
      <c r="H1708" s="3" t="s">
        <v>54</v>
      </c>
      <c r="I1708" s="3" t="s">
        <v>34</v>
      </c>
      <c r="J1708" s="3">
        <f t="shared" ref="J1708:J1744" si="141">K1707</f>
        <v>16957</v>
      </c>
      <c r="K1708" s="3">
        <f t="shared" si="140"/>
        <v>16984</v>
      </c>
      <c r="L1708" s="3">
        <v>27</v>
      </c>
      <c r="M1708" s="3">
        <f t="shared" ref="M1708:M1744" si="142">(E1708+M1707)-N1708</f>
        <v>22.659999999999947</v>
      </c>
      <c r="N1708" s="3">
        <v>3.2</v>
      </c>
    </row>
    <row r="1709" spans="4:14" ht="15" customHeight="1" x14ac:dyDescent="0.25">
      <c r="D1709" s="13">
        <v>45541</v>
      </c>
      <c r="H1709" s="3" t="s">
        <v>34</v>
      </c>
      <c r="I1709" s="3" t="s">
        <v>61</v>
      </c>
      <c r="J1709" s="3">
        <f t="shared" si="141"/>
        <v>16984</v>
      </c>
      <c r="K1709" s="3">
        <f t="shared" si="140"/>
        <v>16990</v>
      </c>
      <c r="L1709" s="3">
        <v>6</v>
      </c>
      <c r="M1709" s="3">
        <f t="shared" si="142"/>
        <v>21.959999999999948</v>
      </c>
      <c r="N1709" s="3">
        <v>0.7</v>
      </c>
    </row>
    <row r="1710" spans="4:14" ht="15" customHeight="1" x14ac:dyDescent="0.25">
      <c r="D1710" s="13"/>
      <c r="H1710" s="3" t="s">
        <v>61</v>
      </c>
      <c r="I1710" s="3" t="s">
        <v>34</v>
      </c>
      <c r="J1710" s="3">
        <f t="shared" si="141"/>
        <v>16990</v>
      </c>
      <c r="K1710" s="3">
        <f t="shared" si="140"/>
        <v>16996</v>
      </c>
      <c r="L1710" s="3">
        <v>6</v>
      </c>
      <c r="M1710" s="3">
        <f t="shared" si="142"/>
        <v>21.259999999999948</v>
      </c>
      <c r="N1710" s="3">
        <v>0.7</v>
      </c>
    </row>
    <row r="1711" spans="4:14" ht="15" customHeight="1" x14ac:dyDescent="0.25">
      <c r="D1711" s="13">
        <v>45544</v>
      </c>
      <c r="H1711" s="3" t="s">
        <v>34</v>
      </c>
      <c r="I1711" s="3" t="s">
        <v>65</v>
      </c>
      <c r="J1711" s="3">
        <f t="shared" si="141"/>
        <v>16996</v>
      </c>
      <c r="K1711" s="3">
        <f t="shared" si="140"/>
        <v>17076</v>
      </c>
      <c r="L1711" s="3">
        <v>80</v>
      </c>
      <c r="M1711" s="3">
        <f t="shared" si="142"/>
        <v>12.259999999999948</v>
      </c>
      <c r="N1711" s="3">
        <v>9</v>
      </c>
    </row>
    <row r="1712" spans="4:14" ht="15" customHeight="1" x14ac:dyDescent="0.25">
      <c r="D1712" s="13"/>
      <c r="H1712" s="3" t="s">
        <v>65</v>
      </c>
      <c r="I1712" s="3" t="s">
        <v>34</v>
      </c>
      <c r="J1712" s="3">
        <f t="shared" si="141"/>
        <v>17076</v>
      </c>
      <c r="K1712" s="3">
        <f t="shared" si="140"/>
        <v>17156</v>
      </c>
      <c r="L1712" s="3">
        <v>80</v>
      </c>
      <c r="M1712" s="3">
        <f t="shared" si="142"/>
        <v>3.2599999999999483</v>
      </c>
      <c r="N1712" s="3">
        <v>9</v>
      </c>
    </row>
    <row r="1713" spans="4:14" ht="15" customHeight="1" x14ac:dyDescent="0.25">
      <c r="D1713" s="13">
        <v>45545</v>
      </c>
      <c r="E1713">
        <v>49.31</v>
      </c>
      <c r="F1713" s="3">
        <v>58.6</v>
      </c>
      <c r="G1713" s="8">
        <f>E1713*F1713</f>
        <v>2889.5660000000003</v>
      </c>
      <c r="H1713" s="3" t="s">
        <v>34</v>
      </c>
      <c r="I1713" s="3" t="s">
        <v>43</v>
      </c>
      <c r="J1713" s="3">
        <f t="shared" si="141"/>
        <v>17156</v>
      </c>
      <c r="K1713" s="3">
        <f t="shared" si="140"/>
        <v>17168</v>
      </c>
      <c r="L1713" s="3">
        <v>12</v>
      </c>
      <c r="M1713" s="3">
        <f t="shared" si="142"/>
        <v>51.319999999999951</v>
      </c>
      <c r="N1713" s="3">
        <v>1.25</v>
      </c>
    </row>
    <row r="1714" spans="4:14" ht="15" customHeight="1" x14ac:dyDescent="0.25">
      <c r="D1714" s="13"/>
      <c r="H1714" s="3" t="s">
        <v>43</v>
      </c>
      <c r="I1714" s="3" t="s">
        <v>34</v>
      </c>
      <c r="J1714" s="3">
        <f t="shared" si="141"/>
        <v>17168</v>
      </c>
      <c r="K1714" s="3">
        <f t="shared" si="140"/>
        <v>17180</v>
      </c>
      <c r="L1714" s="3">
        <v>12</v>
      </c>
      <c r="M1714" s="3">
        <f t="shared" si="142"/>
        <v>50.069999999999951</v>
      </c>
      <c r="N1714" s="3">
        <v>1.25</v>
      </c>
    </row>
    <row r="1715" spans="4:14" ht="15" customHeight="1" x14ac:dyDescent="0.25">
      <c r="D1715" s="13">
        <v>45546</v>
      </c>
      <c r="H1715" s="3" t="s">
        <v>34</v>
      </c>
      <c r="I1715" s="3" t="s">
        <v>44</v>
      </c>
      <c r="J1715" s="3">
        <f t="shared" si="141"/>
        <v>17180</v>
      </c>
      <c r="K1715" s="3">
        <f t="shared" si="140"/>
        <v>17220</v>
      </c>
      <c r="L1715" s="3">
        <v>40</v>
      </c>
      <c r="M1715" s="3">
        <f t="shared" si="142"/>
        <v>45.269999999999953</v>
      </c>
      <c r="N1715" s="3">
        <v>4.8</v>
      </c>
    </row>
    <row r="1716" spans="4:14" ht="15" customHeight="1" x14ac:dyDescent="0.25">
      <c r="D1716" s="13"/>
      <c r="H1716" s="3" t="s">
        <v>44</v>
      </c>
      <c r="I1716" s="3" t="s">
        <v>34</v>
      </c>
      <c r="J1716" s="3">
        <f t="shared" si="141"/>
        <v>17220</v>
      </c>
      <c r="K1716" s="3">
        <f t="shared" si="140"/>
        <v>17260</v>
      </c>
      <c r="L1716" s="3">
        <v>40</v>
      </c>
      <c r="M1716" s="3">
        <f t="shared" si="142"/>
        <v>40.469999999999956</v>
      </c>
      <c r="N1716" s="3">
        <v>4.8</v>
      </c>
    </row>
    <row r="1717" spans="4:14" ht="15" customHeight="1" x14ac:dyDescent="0.25">
      <c r="D1717" s="13">
        <v>45547</v>
      </c>
      <c r="H1717" s="3" t="s">
        <v>34</v>
      </c>
      <c r="I1717" s="3" t="s">
        <v>49</v>
      </c>
      <c r="J1717" s="3">
        <f t="shared" si="141"/>
        <v>17260</v>
      </c>
      <c r="K1717" s="3">
        <f t="shared" si="140"/>
        <v>17287</v>
      </c>
      <c r="L1717" s="3">
        <v>27</v>
      </c>
      <c r="M1717" s="3">
        <f t="shared" si="142"/>
        <v>37.269999999999953</v>
      </c>
      <c r="N1717" s="3">
        <v>3.2</v>
      </c>
    </row>
    <row r="1718" spans="4:14" ht="15" customHeight="1" x14ac:dyDescent="0.25">
      <c r="D1718" s="13"/>
      <c r="H1718" s="3" t="s">
        <v>49</v>
      </c>
      <c r="I1718" s="3" t="s">
        <v>34</v>
      </c>
      <c r="J1718" s="3">
        <f t="shared" si="141"/>
        <v>17287</v>
      </c>
      <c r="K1718" s="3">
        <f t="shared" si="140"/>
        <v>17314</v>
      </c>
      <c r="L1718" s="3">
        <v>27</v>
      </c>
      <c r="M1718" s="3">
        <f t="shared" si="142"/>
        <v>34.069999999999951</v>
      </c>
      <c r="N1718" s="3">
        <v>3.2</v>
      </c>
    </row>
    <row r="1719" spans="4:14" ht="15" customHeight="1" x14ac:dyDescent="0.25">
      <c r="D1719" s="13">
        <v>45548</v>
      </c>
      <c r="H1719" s="3" t="s">
        <v>34</v>
      </c>
      <c r="I1719" s="3" t="s">
        <v>54</v>
      </c>
      <c r="J1719" s="3">
        <f t="shared" si="141"/>
        <v>17314</v>
      </c>
      <c r="K1719" s="3">
        <f t="shared" si="140"/>
        <v>17341</v>
      </c>
      <c r="L1719" s="3">
        <v>27</v>
      </c>
      <c r="M1719" s="3">
        <f t="shared" si="142"/>
        <v>30.869999999999951</v>
      </c>
      <c r="N1719" s="3">
        <v>3.2</v>
      </c>
    </row>
    <row r="1720" spans="4:14" ht="15" customHeight="1" x14ac:dyDescent="0.25">
      <c r="D1720" s="13"/>
      <c r="H1720" s="3" t="s">
        <v>54</v>
      </c>
      <c r="I1720" s="3" t="s">
        <v>34</v>
      </c>
      <c r="J1720" s="3">
        <f t="shared" si="141"/>
        <v>17341</v>
      </c>
      <c r="K1720" s="3">
        <f t="shared" si="140"/>
        <v>17368</v>
      </c>
      <c r="L1720" s="3">
        <v>27</v>
      </c>
      <c r="M1720" s="3">
        <f t="shared" si="142"/>
        <v>27.669999999999952</v>
      </c>
      <c r="N1720" s="3">
        <v>3.2</v>
      </c>
    </row>
    <row r="1721" spans="4:14" ht="15" customHeight="1" x14ac:dyDescent="0.25">
      <c r="D1721" s="13">
        <v>45551</v>
      </c>
      <c r="H1721" s="3" t="s">
        <v>34</v>
      </c>
      <c r="I1721" s="3" t="s">
        <v>65</v>
      </c>
      <c r="J1721" s="3">
        <f t="shared" si="141"/>
        <v>17368</v>
      </c>
      <c r="K1721" s="3">
        <f t="shared" si="140"/>
        <v>17448</v>
      </c>
      <c r="L1721" s="3">
        <v>80</v>
      </c>
      <c r="M1721" s="3">
        <f t="shared" si="142"/>
        <v>18.669999999999952</v>
      </c>
      <c r="N1721" s="3">
        <v>9</v>
      </c>
    </row>
    <row r="1722" spans="4:14" ht="15" customHeight="1" x14ac:dyDescent="0.25">
      <c r="D1722" s="13"/>
      <c r="H1722" s="3" t="s">
        <v>65</v>
      </c>
      <c r="I1722" s="3" t="s">
        <v>34</v>
      </c>
      <c r="J1722" s="3">
        <f t="shared" si="141"/>
        <v>17448</v>
      </c>
      <c r="K1722" s="3">
        <f t="shared" si="140"/>
        <v>17528</v>
      </c>
      <c r="L1722" s="3">
        <v>80</v>
      </c>
      <c r="M1722" s="3">
        <f t="shared" si="142"/>
        <v>9.669999999999952</v>
      </c>
      <c r="N1722" s="3">
        <v>9</v>
      </c>
    </row>
    <row r="1723" spans="4:14" ht="15" customHeight="1" x14ac:dyDescent="0.25">
      <c r="D1723" s="13">
        <v>45552</v>
      </c>
      <c r="E1723">
        <v>37.700000000000003</v>
      </c>
      <c r="F1723" s="3">
        <v>58.7</v>
      </c>
      <c r="G1723" s="8">
        <f>E1723*F1723</f>
        <v>2212.9900000000002</v>
      </c>
      <c r="H1723" s="3" t="s">
        <v>34</v>
      </c>
      <c r="I1723" s="3" t="s">
        <v>44</v>
      </c>
      <c r="J1723" s="3">
        <f t="shared" si="141"/>
        <v>17528</v>
      </c>
      <c r="K1723" s="3">
        <f t="shared" si="140"/>
        <v>17568</v>
      </c>
      <c r="L1723" s="3">
        <v>40</v>
      </c>
      <c r="M1723" s="3">
        <f t="shared" si="142"/>
        <v>42.569999999999958</v>
      </c>
      <c r="N1723" s="3">
        <v>4.8</v>
      </c>
    </row>
    <row r="1724" spans="4:14" ht="15" customHeight="1" x14ac:dyDescent="0.25">
      <c r="D1724" s="13"/>
      <c r="H1724" s="3" t="s">
        <v>44</v>
      </c>
      <c r="I1724" s="3" t="s">
        <v>34</v>
      </c>
      <c r="J1724" s="3">
        <f t="shared" si="141"/>
        <v>17568</v>
      </c>
      <c r="K1724" s="3">
        <f t="shared" si="140"/>
        <v>17608</v>
      </c>
      <c r="L1724" s="3">
        <v>40</v>
      </c>
      <c r="M1724" s="3">
        <f t="shared" si="142"/>
        <v>37.76999999999996</v>
      </c>
      <c r="N1724" s="3">
        <v>4.8</v>
      </c>
    </row>
    <row r="1725" spans="4:14" ht="15" customHeight="1" x14ac:dyDescent="0.25">
      <c r="D1725" s="13">
        <v>45553</v>
      </c>
      <c r="H1725" s="3" t="s">
        <v>34</v>
      </c>
      <c r="I1725" s="3" t="s">
        <v>35</v>
      </c>
      <c r="J1725" s="3">
        <f t="shared" si="141"/>
        <v>17608</v>
      </c>
      <c r="K1725" s="3">
        <f t="shared" si="140"/>
        <v>17620</v>
      </c>
      <c r="L1725" s="3">
        <v>12</v>
      </c>
      <c r="M1725" s="3">
        <f t="shared" si="142"/>
        <v>36.51999999999996</v>
      </c>
      <c r="N1725" s="3">
        <v>1.25</v>
      </c>
    </row>
    <row r="1726" spans="4:14" ht="15" customHeight="1" x14ac:dyDescent="0.25">
      <c r="D1726" s="13"/>
      <c r="H1726" s="3" t="s">
        <v>35</v>
      </c>
      <c r="I1726" s="3" t="s">
        <v>34</v>
      </c>
      <c r="J1726" s="3">
        <f t="shared" si="141"/>
        <v>17620</v>
      </c>
      <c r="K1726" s="3">
        <f t="shared" si="140"/>
        <v>17632</v>
      </c>
      <c r="L1726" s="3">
        <v>12</v>
      </c>
      <c r="M1726" s="3">
        <f t="shared" si="142"/>
        <v>35.26999999999996</v>
      </c>
      <c r="N1726" s="3">
        <v>1.25</v>
      </c>
    </row>
    <row r="1727" spans="4:14" ht="15" customHeight="1" x14ac:dyDescent="0.25">
      <c r="D1727" s="13">
        <v>45554</v>
      </c>
      <c r="H1727" s="3" t="s">
        <v>34</v>
      </c>
      <c r="I1727" s="3" t="s">
        <v>43</v>
      </c>
      <c r="J1727" s="3">
        <f t="shared" si="141"/>
        <v>17632</v>
      </c>
      <c r="K1727" s="3">
        <f t="shared" si="140"/>
        <v>17644</v>
      </c>
      <c r="L1727" s="3">
        <v>12</v>
      </c>
      <c r="M1727" s="3">
        <f t="shared" si="142"/>
        <v>34.01999999999996</v>
      </c>
      <c r="N1727" s="3">
        <v>1.25</v>
      </c>
    </row>
    <row r="1728" spans="4:14" ht="15" customHeight="1" x14ac:dyDescent="0.25">
      <c r="D1728" s="13"/>
      <c r="H1728" s="3" t="s">
        <v>43</v>
      </c>
      <c r="I1728" s="3" t="s">
        <v>34</v>
      </c>
      <c r="J1728" s="3">
        <f t="shared" si="141"/>
        <v>17644</v>
      </c>
      <c r="K1728" s="3">
        <f t="shared" si="140"/>
        <v>17656</v>
      </c>
      <c r="L1728" s="3">
        <v>12</v>
      </c>
      <c r="M1728" s="3">
        <f t="shared" si="142"/>
        <v>32.76999999999996</v>
      </c>
      <c r="N1728" s="3">
        <v>1.25</v>
      </c>
    </row>
    <row r="1729" spans="4:14" ht="15" customHeight="1" x14ac:dyDescent="0.25">
      <c r="D1729" s="13">
        <v>45555</v>
      </c>
      <c r="H1729" s="3" t="s">
        <v>34</v>
      </c>
      <c r="I1729" s="3" t="s">
        <v>54</v>
      </c>
      <c r="J1729" s="3">
        <f t="shared" si="141"/>
        <v>17656</v>
      </c>
      <c r="K1729" s="3">
        <f t="shared" si="140"/>
        <v>17683</v>
      </c>
      <c r="L1729" s="3">
        <v>27</v>
      </c>
      <c r="M1729" s="3">
        <f t="shared" si="142"/>
        <v>29.569999999999961</v>
      </c>
      <c r="N1729" s="3">
        <v>3.2</v>
      </c>
    </row>
    <row r="1730" spans="4:14" ht="15" customHeight="1" x14ac:dyDescent="0.25">
      <c r="D1730" s="13"/>
      <c r="H1730" s="3" t="s">
        <v>54</v>
      </c>
      <c r="I1730" s="3" t="s">
        <v>34</v>
      </c>
      <c r="J1730" s="3">
        <f t="shared" si="141"/>
        <v>17683</v>
      </c>
      <c r="K1730" s="3">
        <f t="shared" si="140"/>
        <v>17710</v>
      </c>
      <c r="L1730" s="3">
        <v>27</v>
      </c>
      <c r="M1730" s="3">
        <f t="shared" si="142"/>
        <v>26.369999999999962</v>
      </c>
      <c r="N1730" s="3">
        <v>3.2</v>
      </c>
    </row>
    <row r="1731" spans="4:14" ht="15" customHeight="1" x14ac:dyDescent="0.25">
      <c r="D1731" s="13">
        <v>45558</v>
      </c>
      <c r="H1731" s="3" t="s">
        <v>34</v>
      </c>
      <c r="I1731" s="3" t="s">
        <v>81</v>
      </c>
      <c r="J1731" s="3">
        <f t="shared" si="141"/>
        <v>17710</v>
      </c>
      <c r="K1731" s="3">
        <f t="shared" si="140"/>
        <v>17734</v>
      </c>
      <c r="L1731" s="3">
        <v>24</v>
      </c>
      <c r="M1731" s="3">
        <f t="shared" si="142"/>
        <v>23.869999999999962</v>
      </c>
      <c r="N1731" s="3">
        <v>2.5</v>
      </c>
    </row>
    <row r="1732" spans="4:14" ht="15" customHeight="1" x14ac:dyDescent="0.25">
      <c r="D1732" s="13"/>
      <c r="H1732" s="3" t="s">
        <v>81</v>
      </c>
      <c r="I1732" s="3" t="s">
        <v>34</v>
      </c>
      <c r="J1732" s="3">
        <f t="shared" si="141"/>
        <v>17734</v>
      </c>
      <c r="K1732" s="3">
        <f t="shared" si="140"/>
        <v>17758</v>
      </c>
      <c r="L1732" s="3">
        <v>24</v>
      </c>
      <c r="M1732" s="3">
        <f t="shared" si="142"/>
        <v>21.369999999999962</v>
      </c>
      <c r="N1732" s="3">
        <v>2.5</v>
      </c>
    </row>
    <row r="1733" spans="4:14" ht="15" customHeight="1" x14ac:dyDescent="0.25">
      <c r="D1733" s="13">
        <v>45559</v>
      </c>
      <c r="E1733">
        <v>45.71</v>
      </c>
      <c r="F1733" s="3">
        <v>59.2</v>
      </c>
      <c r="G1733" s="8">
        <f>E1733*F1733</f>
        <v>2706.0320000000002</v>
      </c>
      <c r="H1733" s="3" t="s">
        <v>34</v>
      </c>
      <c r="I1733" s="3" t="s">
        <v>65</v>
      </c>
      <c r="J1733" s="3">
        <f t="shared" si="141"/>
        <v>17758</v>
      </c>
      <c r="K1733" s="3">
        <f t="shared" si="140"/>
        <v>17838</v>
      </c>
      <c r="L1733" s="3">
        <v>80</v>
      </c>
      <c r="M1733" s="3">
        <f t="shared" si="142"/>
        <v>58.079999999999956</v>
      </c>
      <c r="N1733" s="3">
        <v>9</v>
      </c>
    </row>
    <row r="1734" spans="4:14" ht="15" customHeight="1" x14ac:dyDescent="0.25">
      <c r="D1734" s="13"/>
      <c r="H1734" s="3" t="s">
        <v>65</v>
      </c>
      <c r="I1734" s="3" t="s">
        <v>34</v>
      </c>
      <c r="J1734" s="3">
        <f t="shared" si="141"/>
        <v>17838</v>
      </c>
      <c r="K1734" s="3">
        <f t="shared" si="140"/>
        <v>17918</v>
      </c>
      <c r="L1734" s="3">
        <v>80</v>
      </c>
      <c r="M1734" s="3">
        <f t="shared" si="142"/>
        <v>49.079999999999956</v>
      </c>
      <c r="N1734" s="3">
        <v>9</v>
      </c>
    </row>
    <row r="1735" spans="4:14" ht="15" customHeight="1" x14ac:dyDescent="0.25">
      <c r="D1735" s="13">
        <v>45560</v>
      </c>
      <c r="H1735" s="3" t="s">
        <v>34</v>
      </c>
      <c r="I1735" s="3" t="s">
        <v>44</v>
      </c>
      <c r="J1735" s="3">
        <f t="shared" si="141"/>
        <v>17918</v>
      </c>
      <c r="K1735" s="3">
        <f t="shared" si="140"/>
        <v>17958</v>
      </c>
      <c r="L1735" s="3">
        <v>40</v>
      </c>
      <c r="M1735" s="3">
        <f t="shared" si="142"/>
        <v>44.279999999999959</v>
      </c>
      <c r="N1735" s="3">
        <v>4.8</v>
      </c>
    </row>
    <row r="1736" spans="4:14" ht="15" customHeight="1" x14ac:dyDescent="0.25">
      <c r="D1736" s="13"/>
      <c r="H1736" s="3" t="s">
        <v>44</v>
      </c>
      <c r="I1736" s="3" t="s">
        <v>34</v>
      </c>
      <c r="J1736" s="3">
        <f t="shared" si="141"/>
        <v>17958</v>
      </c>
      <c r="K1736" s="3">
        <f t="shared" si="140"/>
        <v>17998</v>
      </c>
      <c r="L1736" s="3">
        <v>40</v>
      </c>
      <c r="M1736" s="3">
        <f t="shared" si="142"/>
        <v>39.479999999999961</v>
      </c>
      <c r="N1736" s="3">
        <v>4.8</v>
      </c>
    </row>
    <row r="1737" spans="4:14" ht="15" customHeight="1" x14ac:dyDescent="0.25">
      <c r="D1737" s="13">
        <v>45561</v>
      </c>
      <c r="H1737" s="3" t="s">
        <v>34</v>
      </c>
      <c r="I1737" s="3" t="s">
        <v>54</v>
      </c>
      <c r="J1737" s="3">
        <f t="shared" si="141"/>
        <v>17998</v>
      </c>
      <c r="K1737" s="3">
        <f t="shared" si="140"/>
        <v>18025</v>
      </c>
      <c r="L1737" s="3">
        <v>27</v>
      </c>
      <c r="M1737" s="3">
        <f t="shared" si="142"/>
        <v>36.279999999999959</v>
      </c>
      <c r="N1737" s="3">
        <v>3.2</v>
      </c>
    </row>
    <row r="1738" spans="4:14" ht="15" customHeight="1" x14ac:dyDescent="0.25">
      <c r="D1738" s="13"/>
      <c r="H1738" s="3" t="s">
        <v>54</v>
      </c>
      <c r="I1738" s="3" t="s">
        <v>34</v>
      </c>
      <c r="J1738" s="3">
        <f t="shared" si="141"/>
        <v>18025</v>
      </c>
      <c r="K1738" s="3">
        <f t="shared" si="140"/>
        <v>18052</v>
      </c>
      <c r="L1738" s="3">
        <v>27</v>
      </c>
      <c r="M1738" s="3">
        <f t="shared" si="142"/>
        <v>33.079999999999956</v>
      </c>
      <c r="N1738" s="3">
        <v>3.2</v>
      </c>
    </row>
    <row r="1739" spans="4:14" ht="15" customHeight="1" x14ac:dyDescent="0.25">
      <c r="D1739" s="13">
        <v>45562</v>
      </c>
      <c r="H1739" s="3" t="s">
        <v>34</v>
      </c>
      <c r="I1739" s="3" t="s">
        <v>54</v>
      </c>
      <c r="J1739" s="3">
        <f t="shared" si="141"/>
        <v>18052</v>
      </c>
      <c r="K1739" s="3">
        <f t="shared" si="140"/>
        <v>18079</v>
      </c>
      <c r="L1739" s="3">
        <v>27</v>
      </c>
      <c r="M1739" s="3">
        <f t="shared" si="142"/>
        <v>29.879999999999956</v>
      </c>
      <c r="N1739" s="3">
        <v>3.2</v>
      </c>
    </row>
    <row r="1740" spans="4:14" ht="15" customHeight="1" x14ac:dyDescent="0.25">
      <c r="D1740" s="13"/>
      <c r="H1740" s="3" t="s">
        <v>54</v>
      </c>
      <c r="I1740" s="3" t="s">
        <v>34</v>
      </c>
      <c r="J1740" s="3">
        <f t="shared" si="141"/>
        <v>18079</v>
      </c>
      <c r="K1740" s="3">
        <f t="shared" si="140"/>
        <v>18106</v>
      </c>
      <c r="L1740" s="3">
        <v>27</v>
      </c>
      <c r="M1740" s="3">
        <f t="shared" si="142"/>
        <v>26.679999999999957</v>
      </c>
      <c r="N1740" s="3">
        <v>3.2</v>
      </c>
    </row>
    <row r="1741" spans="4:14" ht="15" customHeight="1" x14ac:dyDescent="0.25">
      <c r="D1741" s="13">
        <v>45565</v>
      </c>
      <c r="H1741" s="3" t="s">
        <v>34</v>
      </c>
      <c r="I1741" s="3" t="s">
        <v>35</v>
      </c>
      <c r="J1741" s="3">
        <f t="shared" si="141"/>
        <v>18106</v>
      </c>
      <c r="K1741" s="3">
        <f t="shared" si="140"/>
        <v>18118</v>
      </c>
      <c r="L1741" s="3">
        <v>12</v>
      </c>
      <c r="M1741" s="3">
        <f t="shared" si="142"/>
        <v>25.429999999999957</v>
      </c>
      <c r="N1741" s="3">
        <v>1.25</v>
      </c>
    </row>
    <row r="1742" spans="4:14" ht="15" customHeight="1" x14ac:dyDescent="0.25">
      <c r="D1742" s="13"/>
      <c r="H1742" s="3" t="s">
        <v>35</v>
      </c>
      <c r="I1742" s="3" t="s">
        <v>34</v>
      </c>
      <c r="J1742" s="3">
        <f t="shared" si="141"/>
        <v>18118</v>
      </c>
      <c r="K1742" s="3">
        <f t="shared" si="140"/>
        <v>18130</v>
      </c>
      <c r="L1742" s="3">
        <v>12</v>
      </c>
      <c r="M1742" s="3">
        <f t="shared" si="142"/>
        <v>24.179999999999957</v>
      </c>
      <c r="N1742" s="3">
        <v>1.25</v>
      </c>
    </row>
    <row r="1743" spans="4:14" ht="15" customHeight="1" x14ac:dyDescent="0.25">
      <c r="D1743" s="13"/>
      <c r="H1743" s="3" t="s">
        <v>34</v>
      </c>
      <c r="I1743" s="3" t="s">
        <v>65</v>
      </c>
      <c r="J1743" s="3">
        <f t="shared" si="141"/>
        <v>18130</v>
      </c>
      <c r="K1743" s="3">
        <f t="shared" si="140"/>
        <v>18210</v>
      </c>
      <c r="L1743" s="3">
        <v>80</v>
      </c>
      <c r="M1743" s="3">
        <f t="shared" si="142"/>
        <v>15.179999999999957</v>
      </c>
      <c r="N1743" s="3">
        <v>9</v>
      </c>
    </row>
    <row r="1744" spans="4:14" ht="15" customHeight="1" x14ac:dyDescent="0.25">
      <c r="D1744" s="13"/>
      <c r="H1744" s="3" t="s">
        <v>65</v>
      </c>
      <c r="I1744" s="3" t="s">
        <v>34</v>
      </c>
      <c r="J1744" s="3">
        <f t="shared" si="141"/>
        <v>18210</v>
      </c>
      <c r="K1744" s="3">
        <f t="shared" si="140"/>
        <v>18290</v>
      </c>
      <c r="L1744" s="3">
        <v>80</v>
      </c>
      <c r="M1744" s="3">
        <f t="shared" si="142"/>
        <v>6.1799999999999571</v>
      </c>
      <c r="N1744" s="3">
        <v>9</v>
      </c>
    </row>
    <row r="1747" spans="4:14" ht="15" customHeight="1" x14ac:dyDescent="0.25">
      <c r="D1747" s="2" t="s">
        <v>84</v>
      </c>
      <c r="E1747" s="2"/>
      <c r="F1747" s="2"/>
      <c r="G1747" s="2"/>
    </row>
    <row r="1749" spans="4:14" ht="15" customHeight="1" x14ac:dyDescent="0.25">
      <c r="D1749" s="13">
        <v>45566</v>
      </c>
      <c r="E1749">
        <v>38.770000000000003</v>
      </c>
      <c r="F1749" s="3">
        <v>58.83</v>
      </c>
      <c r="G1749" s="8">
        <f>E1749*F1749</f>
        <v>2280.8391000000001</v>
      </c>
      <c r="H1749" s="3" t="s">
        <v>34</v>
      </c>
      <c r="I1749" s="3" t="s">
        <v>54</v>
      </c>
      <c r="J1749" s="3">
        <f>K1744</f>
        <v>18290</v>
      </c>
      <c r="K1749" s="3">
        <f t="shared" ref="K1749:K1780" si="143">J1749+L1749</f>
        <v>18317</v>
      </c>
      <c r="L1749" s="3">
        <v>27</v>
      </c>
      <c r="M1749" s="3">
        <f>(E1749+M1744)-N1749</f>
        <v>41.749999999999957</v>
      </c>
      <c r="N1749" s="3">
        <v>3.2</v>
      </c>
    </row>
    <row r="1750" spans="4:14" ht="15" customHeight="1" x14ac:dyDescent="0.25">
      <c r="D1750" s="13"/>
      <c r="G1750" s="8"/>
      <c r="H1750" s="3" t="s">
        <v>54</v>
      </c>
      <c r="I1750" s="3" t="s">
        <v>34</v>
      </c>
      <c r="J1750" s="3">
        <f t="shared" ref="J1750:J1781" si="144">K1749</f>
        <v>18317</v>
      </c>
      <c r="K1750" s="3">
        <f t="shared" si="143"/>
        <v>18344</v>
      </c>
      <c r="L1750" s="3">
        <v>27</v>
      </c>
      <c r="M1750" s="3">
        <f t="shared" ref="M1750:M1781" si="145">(E1750+M1749)-N1750</f>
        <v>38.549999999999955</v>
      </c>
      <c r="N1750" s="3">
        <v>3.2</v>
      </c>
    </row>
    <row r="1751" spans="4:14" ht="15" customHeight="1" x14ac:dyDescent="0.25">
      <c r="D1751" s="13">
        <v>45567</v>
      </c>
      <c r="H1751" s="3" t="s">
        <v>34</v>
      </c>
      <c r="I1751" s="3" t="s">
        <v>44</v>
      </c>
      <c r="J1751" s="3">
        <f t="shared" si="144"/>
        <v>18344</v>
      </c>
      <c r="K1751" s="3">
        <f t="shared" si="143"/>
        <v>18384</v>
      </c>
      <c r="L1751" s="3">
        <v>40</v>
      </c>
      <c r="M1751" s="3">
        <f t="shared" si="145"/>
        <v>33.749999999999957</v>
      </c>
      <c r="N1751" s="3">
        <v>4.8</v>
      </c>
    </row>
    <row r="1752" spans="4:14" ht="15" customHeight="1" x14ac:dyDescent="0.25">
      <c r="D1752" s="13"/>
      <c r="H1752" s="3" t="s">
        <v>44</v>
      </c>
      <c r="I1752" s="3" t="s">
        <v>34</v>
      </c>
      <c r="J1752" s="3">
        <f t="shared" si="144"/>
        <v>18384</v>
      </c>
      <c r="K1752" s="3">
        <f t="shared" si="143"/>
        <v>18424</v>
      </c>
      <c r="L1752" s="3">
        <v>40</v>
      </c>
      <c r="M1752" s="3">
        <f t="shared" si="145"/>
        <v>28.949999999999957</v>
      </c>
      <c r="N1752" s="3">
        <v>4.8</v>
      </c>
    </row>
    <row r="1753" spans="4:14" ht="15" customHeight="1" x14ac:dyDescent="0.25">
      <c r="D1753" s="13">
        <v>45568</v>
      </c>
      <c r="H1753" s="3" t="s">
        <v>34</v>
      </c>
      <c r="I1753" s="3" t="s">
        <v>65</v>
      </c>
      <c r="J1753" s="3">
        <f t="shared" si="144"/>
        <v>18424</v>
      </c>
      <c r="K1753" s="3">
        <f t="shared" si="143"/>
        <v>18504</v>
      </c>
      <c r="L1753" s="3">
        <v>80</v>
      </c>
      <c r="M1753" s="3">
        <f t="shared" si="145"/>
        <v>19.949999999999957</v>
      </c>
      <c r="N1753" s="3">
        <v>9</v>
      </c>
    </row>
    <row r="1754" spans="4:14" ht="15" customHeight="1" x14ac:dyDescent="0.25">
      <c r="D1754" s="13"/>
      <c r="H1754" s="3" t="s">
        <v>65</v>
      </c>
      <c r="I1754" s="3" t="s">
        <v>34</v>
      </c>
      <c r="J1754" s="3">
        <f t="shared" si="144"/>
        <v>18504</v>
      </c>
      <c r="K1754" s="3">
        <f t="shared" si="143"/>
        <v>18584</v>
      </c>
      <c r="L1754" s="3">
        <v>80</v>
      </c>
      <c r="M1754" s="3">
        <f t="shared" si="145"/>
        <v>10.949999999999957</v>
      </c>
      <c r="N1754" s="3">
        <v>9</v>
      </c>
    </row>
    <row r="1755" spans="4:14" ht="15" customHeight="1" x14ac:dyDescent="0.25">
      <c r="D1755" s="13">
        <v>45569</v>
      </c>
      <c r="H1755" s="3" t="s">
        <v>34</v>
      </c>
      <c r="I1755" s="3" t="s">
        <v>35</v>
      </c>
      <c r="J1755" s="3">
        <f t="shared" si="144"/>
        <v>18584</v>
      </c>
      <c r="K1755" s="3">
        <f t="shared" si="143"/>
        <v>18596</v>
      </c>
      <c r="L1755" s="3">
        <v>12</v>
      </c>
      <c r="M1755" s="3">
        <f t="shared" si="145"/>
        <v>9.6999999999999567</v>
      </c>
      <c r="N1755" s="3">
        <v>1.25</v>
      </c>
    </row>
    <row r="1756" spans="4:14" ht="15" customHeight="1" x14ac:dyDescent="0.25">
      <c r="D1756" s="13"/>
      <c r="H1756" s="3" t="s">
        <v>35</v>
      </c>
      <c r="I1756" s="3" t="s">
        <v>34</v>
      </c>
      <c r="J1756" s="3">
        <f t="shared" si="144"/>
        <v>18596</v>
      </c>
      <c r="K1756" s="3">
        <f t="shared" si="143"/>
        <v>18608</v>
      </c>
      <c r="L1756" s="3">
        <v>12</v>
      </c>
      <c r="M1756" s="3">
        <f t="shared" si="145"/>
        <v>8.4499999999999567</v>
      </c>
      <c r="N1756" s="3">
        <v>1.25</v>
      </c>
    </row>
    <row r="1757" spans="4:14" ht="15" customHeight="1" x14ac:dyDescent="0.25">
      <c r="D1757" s="13">
        <v>45572</v>
      </c>
      <c r="H1757" s="3" t="s">
        <v>34</v>
      </c>
      <c r="I1757" s="3" t="s">
        <v>54</v>
      </c>
      <c r="J1757" s="3">
        <f t="shared" si="144"/>
        <v>18608</v>
      </c>
      <c r="K1757" s="3">
        <f t="shared" si="143"/>
        <v>18635</v>
      </c>
      <c r="L1757" s="3">
        <v>27</v>
      </c>
      <c r="M1757" s="3">
        <f t="shared" si="145"/>
        <v>5.2499999999999565</v>
      </c>
      <c r="N1757" s="3">
        <v>3.2</v>
      </c>
    </row>
    <row r="1758" spans="4:14" ht="15" customHeight="1" x14ac:dyDescent="0.25">
      <c r="D1758" s="13"/>
      <c r="H1758" s="3" t="s">
        <v>54</v>
      </c>
      <c r="I1758" s="3" t="s">
        <v>34</v>
      </c>
      <c r="J1758" s="3">
        <f t="shared" si="144"/>
        <v>18635</v>
      </c>
      <c r="K1758" s="3">
        <f t="shared" si="143"/>
        <v>18662</v>
      </c>
      <c r="L1758" s="3">
        <v>27</v>
      </c>
      <c r="M1758" s="3">
        <f t="shared" si="145"/>
        <v>2.0499999999999563</v>
      </c>
      <c r="N1758" s="3">
        <v>3.2</v>
      </c>
    </row>
    <row r="1759" spans="4:14" ht="15" customHeight="1" x14ac:dyDescent="0.25">
      <c r="D1759" s="13">
        <v>45573</v>
      </c>
      <c r="E1759">
        <v>45.79</v>
      </c>
      <c r="F1759" s="3">
        <v>58.93</v>
      </c>
      <c r="G1759" s="8">
        <f>E1759*F1759</f>
        <v>2698.4047</v>
      </c>
      <c r="H1759" s="3" t="s">
        <v>34</v>
      </c>
      <c r="I1759" s="3" t="s">
        <v>43</v>
      </c>
      <c r="J1759" s="3">
        <f t="shared" si="144"/>
        <v>18662</v>
      </c>
      <c r="K1759" s="3">
        <f t="shared" si="143"/>
        <v>18674</v>
      </c>
      <c r="L1759" s="3">
        <v>12</v>
      </c>
      <c r="M1759" s="3">
        <f t="shared" si="145"/>
        <v>46.589999999999954</v>
      </c>
      <c r="N1759" s="3">
        <v>1.25</v>
      </c>
    </row>
    <row r="1760" spans="4:14" ht="15" customHeight="1" x14ac:dyDescent="0.25">
      <c r="D1760" s="13"/>
      <c r="G1760" s="8"/>
      <c r="H1760" s="3" t="s">
        <v>43</v>
      </c>
      <c r="I1760" s="3" t="s">
        <v>34</v>
      </c>
      <c r="J1760" s="3">
        <f t="shared" si="144"/>
        <v>18674</v>
      </c>
      <c r="K1760" s="3">
        <f t="shared" si="143"/>
        <v>18686</v>
      </c>
      <c r="L1760" s="3">
        <v>12</v>
      </c>
      <c r="M1760" s="3">
        <f t="shared" si="145"/>
        <v>45.339999999999954</v>
      </c>
      <c r="N1760" s="3">
        <v>1.25</v>
      </c>
    </row>
    <row r="1761" spans="4:14" ht="15" customHeight="1" x14ac:dyDescent="0.25">
      <c r="D1761" s="13">
        <v>45574</v>
      </c>
      <c r="H1761" s="3" t="s">
        <v>34</v>
      </c>
      <c r="I1761" s="3" t="s">
        <v>54</v>
      </c>
      <c r="J1761" s="3">
        <f t="shared" si="144"/>
        <v>18686</v>
      </c>
      <c r="K1761" s="3">
        <f t="shared" si="143"/>
        <v>18713</v>
      </c>
      <c r="L1761" s="3">
        <v>27</v>
      </c>
      <c r="M1761" s="3">
        <f t="shared" si="145"/>
        <v>42.139999999999951</v>
      </c>
      <c r="N1761" s="3">
        <v>3.2</v>
      </c>
    </row>
    <row r="1762" spans="4:14" ht="15" customHeight="1" x14ac:dyDescent="0.25">
      <c r="D1762" s="13"/>
      <c r="H1762" s="3" t="s">
        <v>54</v>
      </c>
      <c r="I1762" s="3" t="s">
        <v>34</v>
      </c>
      <c r="J1762" s="3">
        <f t="shared" si="144"/>
        <v>18713</v>
      </c>
      <c r="K1762" s="3">
        <f t="shared" si="143"/>
        <v>18740</v>
      </c>
      <c r="L1762" s="3">
        <v>27</v>
      </c>
      <c r="M1762" s="3">
        <f t="shared" si="145"/>
        <v>38.939999999999948</v>
      </c>
      <c r="N1762" s="3">
        <v>3.2</v>
      </c>
    </row>
    <row r="1763" spans="4:14" ht="15" customHeight="1" x14ac:dyDescent="0.25">
      <c r="D1763" s="13">
        <v>45575</v>
      </c>
      <c r="H1763" s="3" t="s">
        <v>34</v>
      </c>
      <c r="I1763" s="3" t="s">
        <v>54</v>
      </c>
      <c r="J1763" s="3">
        <f t="shared" si="144"/>
        <v>18740</v>
      </c>
      <c r="K1763" s="3">
        <f t="shared" si="143"/>
        <v>18767</v>
      </c>
      <c r="L1763" s="3">
        <v>27</v>
      </c>
      <c r="M1763" s="3">
        <f t="shared" si="145"/>
        <v>35.739999999999945</v>
      </c>
      <c r="N1763" s="3">
        <v>3.2</v>
      </c>
    </row>
    <row r="1764" spans="4:14" ht="15" customHeight="1" x14ac:dyDescent="0.25">
      <c r="D1764" s="13"/>
      <c r="H1764" s="3" t="s">
        <v>54</v>
      </c>
      <c r="I1764" s="3" t="s">
        <v>34</v>
      </c>
      <c r="J1764" s="3">
        <f t="shared" si="144"/>
        <v>18767</v>
      </c>
      <c r="K1764" s="3">
        <f t="shared" si="143"/>
        <v>18794</v>
      </c>
      <c r="L1764" s="3">
        <v>27</v>
      </c>
      <c r="M1764" s="3">
        <f t="shared" si="145"/>
        <v>32.539999999999942</v>
      </c>
      <c r="N1764" s="3">
        <v>3.2</v>
      </c>
    </row>
    <row r="1765" spans="4:14" ht="15" customHeight="1" x14ac:dyDescent="0.25">
      <c r="D1765" s="13">
        <v>45576</v>
      </c>
      <c r="H1765" s="3" t="s">
        <v>34</v>
      </c>
      <c r="I1765" s="3" t="s">
        <v>49</v>
      </c>
      <c r="J1765" s="3">
        <f t="shared" si="144"/>
        <v>18794</v>
      </c>
      <c r="K1765" s="3">
        <f t="shared" si="143"/>
        <v>18821</v>
      </c>
      <c r="L1765" s="3">
        <v>27</v>
      </c>
      <c r="M1765" s="3">
        <f t="shared" si="145"/>
        <v>29.339999999999943</v>
      </c>
      <c r="N1765" s="3">
        <v>3.2</v>
      </c>
    </row>
    <row r="1766" spans="4:14" ht="15" customHeight="1" x14ac:dyDescent="0.25">
      <c r="H1766" s="3" t="s">
        <v>49</v>
      </c>
      <c r="I1766" s="3" t="s">
        <v>34</v>
      </c>
      <c r="J1766" s="3">
        <f t="shared" si="144"/>
        <v>18821</v>
      </c>
      <c r="K1766" s="3">
        <f t="shared" si="143"/>
        <v>18848</v>
      </c>
      <c r="L1766" s="3">
        <v>27</v>
      </c>
      <c r="M1766" s="3">
        <f t="shared" si="145"/>
        <v>26.139999999999944</v>
      </c>
      <c r="N1766" s="3">
        <v>3.2</v>
      </c>
    </row>
    <row r="1767" spans="4:14" ht="15" customHeight="1" x14ac:dyDescent="0.25">
      <c r="D1767" s="13">
        <v>45579</v>
      </c>
      <c r="H1767" s="3" t="s">
        <v>34</v>
      </c>
      <c r="I1767" s="3" t="s">
        <v>44</v>
      </c>
      <c r="J1767" s="3">
        <f t="shared" si="144"/>
        <v>18848</v>
      </c>
      <c r="K1767" s="3">
        <f t="shared" si="143"/>
        <v>18888</v>
      </c>
      <c r="L1767" s="3">
        <v>40</v>
      </c>
      <c r="M1767" s="3">
        <f t="shared" si="145"/>
        <v>21.339999999999943</v>
      </c>
      <c r="N1767" s="3">
        <v>4.8</v>
      </c>
    </row>
    <row r="1768" spans="4:14" ht="15" customHeight="1" x14ac:dyDescent="0.25">
      <c r="D1768" s="13"/>
      <c r="H1768" s="3" t="s">
        <v>44</v>
      </c>
      <c r="I1768" s="3" t="s">
        <v>34</v>
      </c>
      <c r="J1768" s="3">
        <f t="shared" si="144"/>
        <v>18888</v>
      </c>
      <c r="K1768" s="3">
        <f t="shared" si="143"/>
        <v>18928</v>
      </c>
      <c r="L1768" s="3">
        <v>40</v>
      </c>
      <c r="M1768" s="3">
        <f t="shared" si="145"/>
        <v>16.539999999999942</v>
      </c>
      <c r="N1768" s="3">
        <v>4.8</v>
      </c>
    </row>
    <row r="1769" spans="4:14" ht="15" customHeight="1" x14ac:dyDescent="0.25">
      <c r="D1769" s="13">
        <v>45580</v>
      </c>
      <c r="H1769" s="3" t="s">
        <v>34</v>
      </c>
      <c r="I1769" s="3" t="s">
        <v>35</v>
      </c>
      <c r="J1769" s="3">
        <f t="shared" si="144"/>
        <v>18928</v>
      </c>
      <c r="K1769" s="3">
        <f t="shared" si="143"/>
        <v>18940</v>
      </c>
      <c r="L1769" s="3">
        <v>12</v>
      </c>
      <c r="M1769" s="3">
        <f t="shared" si="145"/>
        <v>15.289999999999942</v>
      </c>
      <c r="N1769" s="3">
        <v>1.25</v>
      </c>
    </row>
    <row r="1770" spans="4:14" ht="15" customHeight="1" x14ac:dyDescent="0.25">
      <c r="D1770" s="13"/>
      <c r="H1770" s="3" t="s">
        <v>35</v>
      </c>
      <c r="I1770" s="3" t="s">
        <v>34</v>
      </c>
      <c r="J1770" s="3">
        <f t="shared" si="144"/>
        <v>18940</v>
      </c>
      <c r="K1770" s="3">
        <f t="shared" si="143"/>
        <v>18952</v>
      </c>
      <c r="L1770" s="3">
        <v>12</v>
      </c>
      <c r="M1770" s="3">
        <f t="shared" si="145"/>
        <v>14.039999999999942</v>
      </c>
      <c r="N1770" s="3">
        <v>1.25</v>
      </c>
    </row>
    <row r="1771" spans="4:14" ht="15" customHeight="1" x14ac:dyDescent="0.25">
      <c r="D1771" s="13">
        <v>45581</v>
      </c>
      <c r="E1771">
        <v>50.19</v>
      </c>
      <c r="F1771" s="3">
        <v>58.65</v>
      </c>
      <c r="G1771" s="8">
        <f>E1771*F1771</f>
        <v>2943.6434999999997</v>
      </c>
      <c r="H1771" s="3" t="s">
        <v>34</v>
      </c>
      <c r="I1771" s="3" t="s">
        <v>85</v>
      </c>
      <c r="J1771" s="3">
        <f t="shared" si="144"/>
        <v>18952</v>
      </c>
      <c r="K1771" s="3">
        <f t="shared" si="143"/>
        <v>18996</v>
      </c>
      <c r="L1771" s="3">
        <v>44</v>
      </c>
      <c r="M1771" s="3">
        <f t="shared" si="145"/>
        <v>59.229999999999933</v>
      </c>
      <c r="N1771" s="3">
        <v>5</v>
      </c>
    </row>
    <row r="1772" spans="4:14" ht="15" customHeight="1" x14ac:dyDescent="0.25">
      <c r="D1772" s="13"/>
      <c r="H1772" s="3" t="s">
        <v>85</v>
      </c>
      <c r="I1772" s="3" t="s">
        <v>34</v>
      </c>
      <c r="J1772" s="3">
        <f t="shared" si="144"/>
        <v>18996</v>
      </c>
      <c r="K1772" s="3">
        <f t="shared" si="143"/>
        <v>19040</v>
      </c>
      <c r="L1772" s="3">
        <v>44</v>
      </c>
      <c r="M1772" s="3">
        <f t="shared" si="145"/>
        <v>54.229999999999933</v>
      </c>
      <c r="N1772" s="3">
        <v>5</v>
      </c>
    </row>
    <row r="1773" spans="4:14" ht="15" customHeight="1" x14ac:dyDescent="0.25">
      <c r="D1773" s="13">
        <v>45582</v>
      </c>
      <c r="H1773" s="3" t="s">
        <v>34</v>
      </c>
      <c r="I1773" s="3" t="s">
        <v>54</v>
      </c>
      <c r="J1773" s="3">
        <f t="shared" si="144"/>
        <v>19040</v>
      </c>
      <c r="K1773" s="3">
        <f t="shared" si="143"/>
        <v>19067</v>
      </c>
      <c r="L1773" s="3">
        <v>27</v>
      </c>
      <c r="M1773" s="3">
        <f t="shared" si="145"/>
        <v>51.02999999999993</v>
      </c>
      <c r="N1773" s="3">
        <v>3.2</v>
      </c>
    </row>
    <row r="1774" spans="4:14" ht="15" customHeight="1" x14ac:dyDescent="0.25">
      <c r="D1774" s="13"/>
      <c r="H1774" s="3" t="s">
        <v>54</v>
      </c>
      <c r="I1774" s="3" t="s">
        <v>34</v>
      </c>
      <c r="J1774" s="3">
        <f t="shared" si="144"/>
        <v>19067</v>
      </c>
      <c r="K1774" s="3">
        <f t="shared" si="143"/>
        <v>19094</v>
      </c>
      <c r="L1774" s="3">
        <v>27</v>
      </c>
      <c r="M1774" s="3">
        <f t="shared" si="145"/>
        <v>47.829999999999927</v>
      </c>
      <c r="N1774" s="3">
        <v>3.2</v>
      </c>
    </row>
    <row r="1775" spans="4:14" ht="15" customHeight="1" x14ac:dyDescent="0.25">
      <c r="D1775" s="13">
        <v>45583</v>
      </c>
      <c r="H1775" s="3" t="s">
        <v>34</v>
      </c>
      <c r="I1775" s="3" t="s">
        <v>54</v>
      </c>
      <c r="J1775" s="3">
        <f t="shared" si="144"/>
        <v>19094</v>
      </c>
      <c r="K1775" s="3">
        <f t="shared" si="143"/>
        <v>19121</v>
      </c>
      <c r="L1775" s="3">
        <v>27</v>
      </c>
      <c r="M1775" s="3">
        <f t="shared" si="145"/>
        <v>44.629999999999924</v>
      </c>
      <c r="N1775" s="3">
        <v>3.2</v>
      </c>
    </row>
    <row r="1776" spans="4:14" ht="15" customHeight="1" x14ac:dyDescent="0.25">
      <c r="H1776" s="3" t="s">
        <v>54</v>
      </c>
      <c r="I1776" s="3" t="s">
        <v>34</v>
      </c>
      <c r="J1776" s="3">
        <f t="shared" si="144"/>
        <v>19121</v>
      </c>
      <c r="K1776" s="3">
        <f t="shared" si="143"/>
        <v>19148</v>
      </c>
      <c r="L1776" s="3">
        <v>27</v>
      </c>
      <c r="M1776" s="3">
        <f t="shared" si="145"/>
        <v>41.429999999999922</v>
      </c>
      <c r="N1776" s="3">
        <v>3.2</v>
      </c>
    </row>
    <row r="1777" spans="4:14" ht="15" customHeight="1" x14ac:dyDescent="0.25">
      <c r="D1777" s="13">
        <v>45586</v>
      </c>
      <c r="H1777" s="3" t="s">
        <v>34</v>
      </c>
      <c r="I1777" s="3" t="s">
        <v>35</v>
      </c>
      <c r="J1777" s="3">
        <f t="shared" si="144"/>
        <v>19148</v>
      </c>
      <c r="K1777" s="3">
        <f t="shared" si="143"/>
        <v>19160</v>
      </c>
      <c r="L1777" s="3">
        <v>12</v>
      </c>
      <c r="M1777" s="3">
        <f t="shared" si="145"/>
        <v>40.179999999999922</v>
      </c>
      <c r="N1777" s="3">
        <v>1.25</v>
      </c>
    </row>
    <row r="1778" spans="4:14" ht="15" customHeight="1" x14ac:dyDescent="0.25">
      <c r="D1778" s="13"/>
      <c r="H1778" s="3" t="s">
        <v>35</v>
      </c>
      <c r="I1778" s="3" t="s">
        <v>34</v>
      </c>
      <c r="J1778" s="3">
        <f t="shared" si="144"/>
        <v>19160</v>
      </c>
      <c r="K1778" s="3">
        <f t="shared" si="143"/>
        <v>19172</v>
      </c>
      <c r="L1778" s="3">
        <v>12</v>
      </c>
      <c r="M1778" s="3">
        <f t="shared" si="145"/>
        <v>38.929999999999922</v>
      </c>
      <c r="N1778" s="3">
        <v>1.25</v>
      </c>
    </row>
    <row r="1779" spans="4:14" ht="15" customHeight="1" x14ac:dyDescent="0.25">
      <c r="D1779" s="13">
        <v>45587</v>
      </c>
      <c r="E1779">
        <v>44.08</v>
      </c>
      <c r="F1779" s="3">
        <v>58.81</v>
      </c>
      <c r="G1779" s="8">
        <f>E1779*F1779</f>
        <v>2592.3447999999999</v>
      </c>
      <c r="H1779" s="3" t="s">
        <v>34</v>
      </c>
      <c r="I1779" s="3" t="s">
        <v>85</v>
      </c>
      <c r="J1779" s="3">
        <f t="shared" si="144"/>
        <v>19172</v>
      </c>
      <c r="K1779" s="3">
        <f t="shared" si="143"/>
        <v>19216</v>
      </c>
      <c r="L1779" s="3">
        <v>44</v>
      </c>
      <c r="M1779" s="3">
        <f t="shared" si="145"/>
        <v>78.00999999999992</v>
      </c>
      <c r="N1779" s="3">
        <v>5</v>
      </c>
    </row>
    <row r="1780" spans="4:14" ht="15" customHeight="1" x14ac:dyDescent="0.25">
      <c r="D1780" s="13"/>
      <c r="H1780" s="3" t="s">
        <v>85</v>
      </c>
      <c r="I1780" s="3" t="s">
        <v>34</v>
      </c>
      <c r="J1780" s="3">
        <f t="shared" si="144"/>
        <v>19216</v>
      </c>
      <c r="K1780" s="3">
        <f t="shared" si="143"/>
        <v>19260</v>
      </c>
      <c r="L1780" s="3">
        <v>44</v>
      </c>
      <c r="M1780" s="3">
        <f t="shared" si="145"/>
        <v>73.00999999999992</v>
      </c>
      <c r="N1780" s="3">
        <v>5</v>
      </c>
    </row>
    <row r="1781" spans="4:14" ht="15" customHeight="1" x14ac:dyDescent="0.25">
      <c r="D1781" s="13">
        <v>45588</v>
      </c>
      <c r="H1781" s="3" t="s">
        <v>34</v>
      </c>
      <c r="I1781" s="3" t="s">
        <v>85</v>
      </c>
      <c r="J1781" s="3">
        <f t="shared" si="144"/>
        <v>19260</v>
      </c>
      <c r="K1781" s="3">
        <f t="shared" ref="K1781:K1812" si="146">J1781+L1781</f>
        <v>19304</v>
      </c>
      <c r="L1781" s="3">
        <v>44</v>
      </c>
      <c r="M1781" s="3">
        <f t="shared" si="145"/>
        <v>68.00999999999992</v>
      </c>
      <c r="N1781" s="3">
        <v>5</v>
      </c>
    </row>
    <row r="1782" spans="4:14" ht="15" customHeight="1" x14ac:dyDescent="0.25">
      <c r="D1782" s="13"/>
      <c r="H1782" s="3" t="s">
        <v>85</v>
      </c>
      <c r="I1782" s="3" t="s">
        <v>34</v>
      </c>
      <c r="J1782" s="3">
        <f t="shared" ref="J1782:J1798" si="147">K1781</f>
        <v>19304</v>
      </c>
      <c r="K1782" s="3">
        <f t="shared" si="146"/>
        <v>19348</v>
      </c>
      <c r="L1782" s="3">
        <v>44</v>
      </c>
      <c r="M1782" s="3">
        <f t="shared" ref="M1782:M1813" si="148">(E1782+M1781)-N1782</f>
        <v>63.00999999999992</v>
      </c>
      <c r="N1782" s="3">
        <v>5</v>
      </c>
    </row>
    <row r="1783" spans="4:14" ht="15" customHeight="1" x14ac:dyDescent="0.25">
      <c r="D1783" s="13">
        <v>45589</v>
      </c>
      <c r="H1783" s="3" t="s">
        <v>34</v>
      </c>
      <c r="I1783" s="3" t="s">
        <v>65</v>
      </c>
      <c r="J1783" s="3">
        <f t="shared" si="147"/>
        <v>19348</v>
      </c>
      <c r="K1783" s="3">
        <f t="shared" si="146"/>
        <v>19428</v>
      </c>
      <c r="L1783" s="3">
        <v>80</v>
      </c>
      <c r="M1783" s="3">
        <f t="shared" si="148"/>
        <v>54.00999999999992</v>
      </c>
      <c r="N1783" s="3">
        <v>9</v>
      </c>
    </row>
    <row r="1784" spans="4:14" ht="15" customHeight="1" x14ac:dyDescent="0.25">
      <c r="D1784" s="13"/>
      <c r="H1784" s="3" t="s">
        <v>65</v>
      </c>
      <c r="I1784" s="3" t="s">
        <v>34</v>
      </c>
      <c r="J1784" s="3">
        <f t="shared" si="147"/>
        <v>19428</v>
      </c>
      <c r="K1784" s="3">
        <f t="shared" si="146"/>
        <v>19508</v>
      </c>
      <c r="L1784" s="3">
        <v>80</v>
      </c>
      <c r="M1784" s="3">
        <f t="shared" si="148"/>
        <v>45.00999999999992</v>
      </c>
      <c r="N1784" s="3">
        <v>9</v>
      </c>
    </row>
    <row r="1785" spans="4:14" ht="15" customHeight="1" x14ac:dyDescent="0.25">
      <c r="D1785" s="13">
        <v>45590</v>
      </c>
      <c r="H1785" s="3" t="s">
        <v>34</v>
      </c>
      <c r="I1785" s="3" t="s">
        <v>86</v>
      </c>
      <c r="J1785" s="3">
        <f t="shared" si="147"/>
        <v>19508</v>
      </c>
      <c r="K1785" s="3">
        <f t="shared" si="146"/>
        <v>19520</v>
      </c>
      <c r="L1785" s="3">
        <v>12</v>
      </c>
      <c r="M1785" s="3">
        <f t="shared" si="148"/>
        <v>43.75999999999992</v>
      </c>
      <c r="N1785" s="3">
        <v>1.25</v>
      </c>
    </row>
    <row r="1786" spans="4:14" ht="15" customHeight="1" x14ac:dyDescent="0.25">
      <c r="H1786" s="3" t="s">
        <v>86</v>
      </c>
      <c r="I1786" s="3" t="s">
        <v>34</v>
      </c>
      <c r="J1786" s="3">
        <f t="shared" si="147"/>
        <v>19520</v>
      </c>
      <c r="K1786" s="3">
        <f t="shared" si="146"/>
        <v>19532</v>
      </c>
      <c r="L1786" s="3">
        <v>12</v>
      </c>
      <c r="M1786" s="3">
        <f t="shared" si="148"/>
        <v>42.50999999999992</v>
      </c>
      <c r="N1786" s="3">
        <v>1.25</v>
      </c>
    </row>
    <row r="1787" spans="4:14" ht="15" customHeight="1" x14ac:dyDescent="0.25">
      <c r="D1787" s="13">
        <v>45593</v>
      </c>
      <c r="H1787" s="3" t="s">
        <v>34</v>
      </c>
      <c r="I1787" s="3" t="s">
        <v>85</v>
      </c>
      <c r="J1787" s="3">
        <f t="shared" si="147"/>
        <v>19532</v>
      </c>
      <c r="K1787" s="3">
        <f t="shared" si="146"/>
        <v>19576</v>
      </c>
      <c r="L1787" s="3">
        <v>44</v>
      </c>
      <c r="M1787" s="3">
        <f t="shared" si="148"/>
        <v>37.50999999999992</v>
      </c>
      <c r="N1787" s="3">
        <v>5</v>
      </c>
    </row>
    <row r="1788" spans="4:14" ht="15" customHeight="1" x14ac:dyDescent="0.25">
      <c r="D1788" s="13"/>
      <c r="H1788" s="3" t="s">
        <v>85</v>
      </c>
      <c r="I1788" s="3" t="s">
        <v>34</v>
      </c>
      <c r="J1788" s="3">
        <f t="shared" si="147"/>
        <v>19576</v>
      </c>
      <c r="K1788" s="3">
        <f t="shared" si="146"/>
        <v>19620</v>
      </c>
      <c r="L1788" s="3">
        <v>44</v>
      </c>
      <c r="M1788" s="3">
        <f t="shared" si="148"/>
        <v>32.50999999999992</v>
      </c>
      <c r="N1788" s="3">
        <v>5</v>
      </c>
    </row>
    <row r="1789" spans="4:14" ht="15" customHeight="1" x14ac:dyDescent="0.25">
      <c r="D1789" s="13">
        <v>45594</v>
      </c>
      <c r="E1789">
        <v>38.69</v>
      </c>
      <c r="F1789" s="3">
        <v>58.92</v>
      </c>
      <c r="G1789" s="8">
        <f>E1789*F1789</f>
        <v>2279.6147999999998</v>
      </c>
      <c r="H1789" s="3" t="s">
        <v>34</v>
      </c>
      <c r="I1789" s="3" t="s">
        <v>85</v>
      </c>
      <c r="J1789" s="3">
        <f t="shared" si="147"/>
        <v>19620</v>
      </c>
      <c r="K1789" s="3">
        <f t="shared" si="146"/>
        <v>19664</v>
      </c>
      <c r="L1789" s="3">
        <v>44</v>
      </c>
      <c r="M1789" s="3">
        <f t="shared" si="148"/>
        <v>66.199999999999918</v>
      </c>
      <c r="N1789" s="3">
        <v>5</v>
      </c>
    </row>
    <row r="1790" spans="4:14" ht="15" customHeight="1" x14ac:dyDescent="0.25">
      <c r="D1790" s="13"/>
      <c r="H1790" s="3" t="s">
        <v>85</v>
      </c>
      <c r="I1790" s="3" t="s">
        <v>34</v>
      </c>
      <c r="J1790" s="3">
        <f t="shared" si="147"/>
        <v>19664</v>
      </c>
      <c r="K1790" s="3">
        <f t="shared" si="146"/>
        <v>19708</v>
      </c>
      <c r="L1790" s="3">
        <v>44</v>
      </c>
      <c r="M1790" s="3">
        <f t="shared" si="148"/>
        <v>61.199999999999918</v>
      </c>
      <c r="N1790" s="3">
        <v>5</v>
      </c>
    </row>
    <row r="1791" spans="4:14" ht="15" customHeight="1" x14ac:dyDescent="0.25">
      <c r="D1791" s="13">
        <v>45595</v>
      </c>
      <c r="H1791" s="3" t="s">
        <v>34</v>
      </c>
      <c r="I1791" s="3" t="s">
        <v>54</v>
      </c>
      <c r="J1791" s="3">
        <f t="shared" si="147"/>
        <v>19708</v>
      </c>
      <c r="K1791" s="3">
        <f t="shared" si="146"/>
        <v>19735</v>
      </c>
      <c r="L1791" s="3">
        <v>27</v>
      </c>
      <c r="M1791" s="3">
        <f t="shared" si="148"/>
        <v>57.999999999999915</v>
      </c>
      <c r="N1791" s="3">
        <v>3.2</v>
      </c>
    </row>
    <row r="1792" spans="4:14" ht="15" customHeight="1" x14ac:dyDescent="0.25">
      <c r="D1792" s="13"/>
      <c r="H1792" s="3" t="s">
        <v>54</v>
      </c>
      <c r="I1792" s="3" t="s">
        <v>34</v>
      </c>
      <c r="J1792" s="3">
        <f t="shared" si="147"/>
        <v>19735</v>
      </c>
      <c r="K1792" s="3">
        <f t="shared" si="146"/>
        <v>19762</v>
      </c>
      <c r="L1792" s="3">
        <v>27</v>
      </c>
      <c r="M1792" s="3">
        <f t="shared" si="148"/>
        <v>54.799999999999912</v>
      </c>
      <c r="N1792" s="3">
        <v>3.2</v>
      </c>
    </row>
    <row r="1793" spans="4:14" ht="15" customHeight="1" x14ac:dyDescent="0.25">
      <c r="D1793" s="13"/>
      <c r="H1793" s="3" t="s">
        <v>34</v>
      </c>
      <c r="I1793" s="3" t="s">
        <v>49</v>
      </c>
      <c r="J1793" s="3">
        <f t="shared" si="147"/>
        <v>19762</v>
      </c>
      <c r="K1793" s="3">
        <f t="shared" si="146"/>
        <v>19789</v>
      </c>
      <c r="L1793" s="3">
        <v>27</v>
      </c>
      <c r="M1793" s="3">
        <f t="shared" si="148"/>
        <v>51.599999999999909</v>
      </c>
      <c r="N1793" s="3">
        <v>3.2</v>
      </c>
    </row>
    <row r="1794" spans="4:14" ht="15" customHeight="1" x14ac:dyDescent="0.25">
      <c r="D1794" s="13"/>
      <c r="H1794" s="3" t="s">
        <v>49</v>
      </c>
      <c r="I1794" s="3" t="s">
        <v>34</v>
      </c>
      <c r="J1794" s="3">
        <f t="shared" si="147"/>
        <v>19789</v>
      </c>
      <c r="K1794" s="3">
        <f t="shared" si="146"/>
        <v>19816</v>
      </c>
      <c r="L1794" s="3">
        <v>27</v>
      </c>
      <c r="M1794" s="3">
        <f t="shared" si="148"/>
        <v>48.399999999999906</v>
      </c>
      <c r="N1794" s="3">
        <v>3.2</v>
      </c>
    </row>
    <row r="1795" spans="4:14" ht="15" customHeight="1" x14ac:dyDescent="0.25">
      <c r="D1795" s="13">
        <v>45596</v>
      </c>
      <c r="H1795" s="3" t="s">
        <v>34</v>
      </c>
      <c r="I1795" s="3" t="s">
        <v>54</v>
      </c>
      <c r="J1795" s="3">
        <f t="shared" si="147"/>
        <v>19816</v>
      </c>
      <c r="K1795" s="3">
        <f t="shared" si="146"/>
        <v>19843</v>
      </c>
      <c r="L1795" s="3">
        <v>27</v>
      </c>
      <c r="M1795" s="3">
        <f t="shared" si="148"/>
        <v>45.199999999999903</v>
      </c>
      <c r="N1795" s="3">
        <v>3.2</v>
      </c>
    </row>
    <row r="1796" spans="4:14" ht="15" customHeight="1" x14ac:dyDescent="0.25">
      <c r="D1796" s="13"/>
      <c r="H1796" s="3" t="s">
        <v>54</v>
      </c>
      <c r="I1796" s="3" t="s">
        <v>34</v>
      </c>
      <c r="J1796" s="3">
        <f t="shared" si="147"/>
        <v>19843</v>
      </c>
      <c r="K1796" s="3">
        <f t="shared" si="146"/>
        <v>19870</v>
      </c>
      <c r="L1796" s="3">
        <v>27</v>
      </c>
      <c r="M1796" s="3">
        <f t="shared" si="148"/>
        <v>41.999999999999901</v>
      </c>
      <c r="N1796" s="3">
        <v>3.2</v>
      </c>
    </row>
    <row r="1797" spans="4:14" ht="15" customHeight="1" x14ac:dyDescent="0.25">
      <c r="H1797" s="3" t="s">
        <v>34</v>
      </c>
      <c r="I1797" s="3" t="s">
        <v>85</v>
      </c>
      <c r="J1797" s="3">
        <f t="shared" si="147"/>
        <v>19870</v>
      </c>
      <c r="K1797" s="3">
        <f t="shared" si="146"/>
        <v>19914</v>
      </c>
      <c r="L1797" s="3">
        <v>44</v>
      </c>
      <c r="M1797" s="3">
        <f t="shared" si="148"/>
        <v>36.999999999999901</v>
      </c>
      <c r="N1797" s="3">
        <v>5</v>
      </c>
    </row>
    <row r="1798" spans="4:14" ht="15" customHeight="1" x14ac:dyDescent="0.25">
      <c r="H1798" s="3" t="s">
        <v>85</v>
      </c>
      <c r="I1798" s="3" t="s">
        <v>34</v>
      </c>
      <c r="J1798" s="3">
        <f t="shared" si="147"/>
        <v>19914</v>
      </c>
      <c r="K1798" s="3">
        <f t="shared" si="146"/>
        <v>19958</v>
      </c>
      <c r="L1798" s="3">
        <v>44</v>
      </c>
      <c r="M1798" s="3">
        <f t="shared" si="148"/>
        <v>31.999999999999901</v>
      </c>
      <c r="N1798" s="3">
        <v>5</v>
      </c>
    </row>
    <row r="1800" spans="4:14" ht="15" customHeight="1" x14ac:dyDescent="0.25">
      <c r="D1800" s="2" t="s">
        <v>87</v>
      </c>
      <c r="E1800" s="2"/>
      <c r="F1800" s="2"/>
      <c r="G1800" s="2"/>
    </row>
    <row r="1801" spans="4:14" ht="15" customHeight="1" x14ac:dyDescent="0.25">
      <c r="D1801" s="6"/>
      <c r="E1801" s="6"/>
      <c r="F1801" s="6"/>
      <c r="G1801" s="6"/>
    </row>
    <row r="1802" spans="4:14" ht="15" customHeight="1" x14ac:dyDescent="0.25">
      <c r="D1802" s="13">
        <v>45598</v>
      </c>
      <c r="H1802" s="3" t="s">
        <v>34</v>
      </c>
      <c r="I1802" s="3" t="s">
        <v>85</v>
      </c>
      <c r="J1802" s="3">
        <f>K1798</f>
        <v>19958</v>
      </c>
      <c r="K1802" s="3">
        <f t="shared" ref="K1802:K1833" si="149">J1802+L1802</f>
        <v>20002</v>
      </c>
      <c r="L1802" s="3">
        <v>44</v>
      </c>
      <c r="M1802" s="3">
        <f>(E1802+M1798)-N1802</f>
        <v>26.999999999999901</v>
      </c>
      <c r="N1802" s="3">
        <v>5</v>
      </c>
    </row>
    <row r="1803" spans="4:14" ht="15" customHeight="1" x14ac:dyDescent="0.25">
      <c r="H1803" s="3" t="s">
        <v>85</v>
      </c>
      <c r="I1803" s="3" t="s">
        <v>34</v>
      </c>
      <c r="J1803" s="3">
        <f t="shared" ref="J1803:J1834" si="150">K1802</f>
        <v>20002</v>
      </c>
      <c r="K1803" s="3">
        <f t="shared" si="149"/>
        <v>20046</v>
      </c>
      <c r="L1803" s="3">
        <v>44</v>
      </c>
      <c r="M1803" s="3">
        <f t="shared" ref="M1803:M1834" si="151">(E1803+M1802)-N1803</f>
        <v>21.999999999999901</v>
      </c>
      <c r="N1803" s="3">
        <v>5</v>
      </c>
    </row>
    <row r="1804" spans="4:14" ht="15" customHeight="1" x14ac:dyDescent="0.25">
      <c r="D1804" s="13">
        <v>45600</v>
      </c>
      <c r="E1804">
        <v>44.51</v>
      </c>
      <c r="F1804" s="3">
        <v>59.02</v>
      </c>
      <c r="G1804" s="8">
        <f>E1804*F1804</f>
        <v>2626.9802</v>
      </c>
      <c r="H1804" s="3" t="s">
        <v>34</v>
      </c>
      <c r="I1804" s="3" t="s">
        <v>54</v>
      </c>
      <c r="J1804" s="3">
        <f t="shared" si="150"/>
        <v>20046</v>
      </c>
      <c r="K1804" s="3">
        <f t="shared" si="149"/>
        <v>20073</v>
      </c>
      <c r="L1804" s="3">
        <v>27</v>
      </c>
      <c r="M1804" s="3">
        <f t="shared" si="151"/>
        <v>63.309999999999903</v>
      </c>
      <c r="N1804" s="3">
        <v>3.2</v>
      </c>
    </row>
    <row r="1805" spans="4:14" ht="15" customHeight="1" x14ac:dyDescent="0.25">
      <c r="H1805" s="3" t="s">
        <v>54</v>
      </c>
      <c r="I1805" s="3" t="s">
        <v>34</v>
      </c>
      <c r="J1805" s="3">
        <f t="shared" si="150"/>
        <v>20073</v>
      </c>
      <c r="K1805" s="3">
        <f t="shared" si="149"/>
        <v>20100</v>
      </c>
      <c r="L1805" s="3">
        <v>27</v>
      </c>
      <c r="M1805" s="3">
        <f t="shared" si="151"/>
        <v>60.1099999999999</v>
      </c>
      <c r="N1805" s="3">
        <v>3.2</v>
      </c>
    </row>
    <row r="1806" spans="4:14" ht="15" customHeight="1" x14ac:dyDescent="0.25">
      <c r="D1806" s="13">
        <v>45601</v>
      </c>
      <c r="H1806" s="3" t="s">
        <v>34</v>
      </c>
      <c r="I1806" s="3" t="s">
        <v>35</v>
      </c>
      <c r="J1806" s="3">
        <f t="shared" si="150"/>
        <v>20100</v>
      </c>
      <c r="K1806" s="3">
        <f t="shared" si="149"/>
        <v>20112</v>
      </c>
      <c r="L1806" s="3">
        <v>12</v>
      </c>
      <c r="M1806" s="3">
        <f t="shared" si="151"/>
        <v>58.8599999999999</v>
      </c>
      <c r="N1806" s="3">
        <v>1.25</v>
      </c>
    </row>
    <row r="1807" spans="4:14" ht="15" customHeight="1" x14ac:dyDescent="0.25">
      <c r="H1807" s="3" t="s">
        <v>35</v>
      </c>
      <c r="I1807" s="3" t="s">
        <v>34</v>
      </c>
      <c r="J1807" s="3">
        <f t="shared" si="150"/>
        <v>20112</v>
      </c>
      <c r="K1807" s="3">
        <f t="shared" si="149"/>
        <v>20124</v>
      </c>
      <c r="L1807" s="3">
        <v>12</v>
      </c>
      <c r="M1807" s="3">
        <f t="shared" si="151"/>
        <v>57.6099999999999</v>
      </c>
      <c r="N1807" s="3">
        <v>1.25</v>
      </c>
    </row>
    <row r="1808" spans="4:14" ht="15" customHeight="1" x14ac:dyDescent="0.25">
      <c r="D1808" s="13">
        <v>45602</v>
      </c>
      <c r="H1808" s="3" t="s">
        <v>34</v>
      </c>
      <c r="I1808" s="3" t="s">
        <v>85</v>
      </c>
      <c r="J1808" s="3">
        <f t="shared" si="150"/>
        <v>20124</v>
      </c>
      <c r="K1808" s="3">
        <f t="shared" si="149"/>
        <v>20168</v>
      </c>
      <c r="L1808" s="3">
        <v>44</v>
      </c>
      <c r="M1808" s="3">
        <f t="shared" si="151"/>
        <v>52.6099999999999</v>
      </c>
      <c r="N1808" s="3">
        <v>5</v>
      </c>
    </row>
    <row r="1809" spans="4:14" ht="15" customHeight="1" x14ac:dyDescent="0.25">
      <c r="H1809" s="3" t="s">
        <v>85</v>
      </c>
      <c r="I1809" s="3" t="s">
        <v>34</v>
      </c>
      <c r="J1809" s="3">
        <f t="shared" si="150"/>
        <v>20168</v>
      </c>
      <c r="K1809" s="3">
        <f t="shared" si="149"/>
        <v>20212</v>
      </c>
      <c r="L1809" s="3">
        <v>44</v>
      </c>
      <c r="M1809" s="3">
        <f t="shared" si="151"/>
        <v>47.6099999999999</v>
      </c>
      <c r="N1809" s="3">
        <v>5</v>
      </c>
    </row>
    <row r="1810" spans="4:14" ht="15" customHeight="1" x14ac:dyDescent="0.25">
      <c r="D1810" s="13">
        <v>45603</v>
      </c>
      <c r="H1810" s="3" t="s">
        <v>34</v>
      </c>
      <c r="I1810" s="3" t="s">
        <v>49</v>
      </c>
      <c r="J1810" s="3">
        <f t="shared" si="150"/>
        <v>20212</v>
      </c>
      <c r="K1810" s="3">
        <f t="shared" si="149"/>
        <v>20239</v>
      </c>
      <c r="L1810" s="3">
        <v>27</v>
      </c>
      <c r="M1810" s="3">
        <f t="shared" si="151"/>
        <v>44.409999999999897</v>
      </c>
      <c r="N1810" s="3">
        <v>3.2</v>
      </c>
    </row>
    <row r="1811" spans="4:14" ht="15" customHeight="1" x14ac:dyDescent="0.25">
      <c r="H1811" s="3" t="s">
        <v>49</v>
      </c>
      <c r="I1811" s="3" t="s">
        <v>34</v>
      </c>
      <c r="J1811" s="3">
        <f t="shared" si="150"/>
        <v>20239</v>
      </c>
      <c r="K1811" s="3">
        <f t="shared" si="149"/>
        <v>20266</v>
      </c>
      <c r="L1811" s="3">
        <v>27</v>
      </c>
      <c r="M1811" s="3">
        <f t="shared" si="151"/>
        <v>41.209999999999894</v>
      </c>
      <c r="N1811" s="3">
        <v>3.2</v>
      </c>
    </row>
    <row r="1812" spans="4:14" ht="15" customHeight="1" x14ac:dyDescent="0.25">
      <c r="D1812" s="13">
        <v>45604</v>
      </c>
      <c r="E1812">
        <v>42.31</v>
      </c>
      <c r="F1812" s="3">
        <v>59.4</v>
      </c>
      <c r="G1812" s="8">
        <f>E1812*F1812</f>
        <v>2513.2139999999999</v>
      </c>
      <c r="H1812" s="3" t="s">
        <v>34</v>
      </c>
      <c r="I1812" s="3" t="s">
        <v>44</v>
      </c>
      <c r="J1812" s="3">
        <f t="shared" si="150"/>
        <v>20266</v>
      </c>
      <c r="K1812" s="3">
        <f t="shared" si="149"/>
        <v>20306</v>
      </c>
      <c r="L1812" s="3">
        <v>40</v>
      </c>
      <c r="M1812" s="3">
        <f t="shared" si="151"/>
        <v>78.719999999999899</v>
      </c>
      <c r="N1812" s="3">
        <v>4.8</v>
      </c>
    </row>
    <row r="1813" spans="4:14" ht="15" customHeight="1" x14ac:dyDescent="0.25">
      <c r="H1813" s="3" t="s">
        <v>44</v>
      </c>
      <c r="I1813" s="3" t="s">
        <v>34</v>
      </c>
      <c r="J1813" s="3">
        <f t="shared" si="150"/>
        <v>20306</v>
      </c>
      <c r="K1813" s="3">
        <f t="shared" si="149"/>
        <v>20346</v>
      </c>
      <c r="L1813" s="3">
        <v>40</v>
      </c>
      <c r="M1813" s="3">
        <f t="shared" si="151"/>
        <v>73.919999999999902</v>
      </c>
      <c r="N1813" s="3">
        <v>4.8</v>
      </c>
    </row>
    <row r="1814" spans="4:14" ht="15" customHeight="1" x14ac:dyDescent="0.25">
      <c r="D1814" s="13">
        <v>45607</v>
      </c>
      <c r="H1814" s="3" t="s">
        <v>34</v>
      </c>
      <c r="I1814" s="3" t="s">
        <v>85</v>
      </c>
      <c r="J1814" s="3">
        <f t="shared" si="150"/>
        <v>20346</v>
      </c>
      <c r="K1814" s="3">
        <f t="shared" si="149"/>
        <v>20390</v>
      </c>
      <c r="L1814" s="3">
        <v>44</v>
      </c>
      <c r="M1814" s="3">
        <f t="shared" si="151"/>
        <v>68.919999999999902</v>
      </c>
      <c r="N1814" s="3">
        <v>5</v>
      </c>
    </row>
    <row r="1815" spans="4:14" ht="15" customHeight="1" x14ac:dyDescent="0.25">
      <c r="D1815" s="13"/>
      <c r="H1815" s="3" t="s">
        <v>85</v>
      </c>
      <c r="I1815" s="3" t="s">
        <v>34</v>
      </c>
      <c r="J1815" s="3">
        <f t="shared" si="150"/>
        <v>20390</v>
      </c>
      <c r="K1815" s="3">
        <f t="shared" si="149"/>
        <v>20434</v>
      </c>
      <c r="L1815" s="3">
        <v>44</v>
      </c>
      <c r="M1815" s="3">
        <f t="shared" si="151"/>
        <v>63.919999999999902</v>
      </c>
      <c r="N1815" s="3">
        <v>5</v>
      </c>
    </row>
    <row r="1816" spans="4:14" ht="15" customHeight="1" x14ac:dyDescent="0.25">
      <c r="D1816" s="13"/>
      <c r="H1816" s="3" t="s">
        <v>34</v>
      </c>
      <c r="I1816" s="3" t="s">
        <v>54</v>
      </c>
      <c r="J1816" s="3">
        <f t="shared" si="150"/>
        <v>20434</v>
      </c>
      <c r="K1816" s="3">
        <f t="shared" si="149"/>
        <v>20461</v>
      </c>
      <c r="L1816" s="3">
        <v>27</v>
      </c>
      <c r="M1816" s="3">
        <f t="shared" si="151"/>
        <v>60.719999999999899</v>
      </c>
      <c r="N1816" s="3">
        <v>3.2</v>
      </c>
    </row>
    <row r="1817" spans="4:14" ht="15" customHeight="1" x14ac:dyDescent="0.25">
      <c r="H1817" s="3" t="s">
        <v>54</v>
      </c>
      <c r="I1817" s="3" t="s">
        <v>34</v>
      </c>
      <c r="J1817" s="3">
        <f t="shared" si="150"/>
        <v>20461</v>
      </c>
      <c r="K1817" s="3">
        <f t="shared" si="149"/>
        <v>20488</v>
      </c>
      <c r="L1817" s="3">
        <v>27</v>
      </c>
      <c r="M1817" s="3">
        <f t="shared" si="151"/>
        <v>57.519999999999897</v>
      </c>
      <c r="N1817" s="3">
        <v>3.2</v>
      </c>
    </row>
    <row r="1818" spans="4:14" ht="15" customHeight="1" x14ac:dyDescent="0.25">
      <c r="D1818" s="13">
        <v>45608</v>
      </c>
      <c r="H1818" s="3" t="s">
        <v>34</v>
      </c>
      <c r="I1818" s="3" t="s">
        <v>81</v>
      </c>
      <c r="J1818" s="3">
        <f t="shared" si="150"/>
        <v>20488</v>
      </c>
      <c r="K1818" s="3">
        <f t="shared" si="149"/>
        <v>20512</v>
      </c>
      <c r="L1818" s="3">
        <v>24</v>
      </c>
      <c r="M1818" s="3">
        <f t="shared" si="151"/>
        <v>55.019999999999897</v>
      </c>
      <c r="N1818" s="3">
        <v>2.5</v>
      </c>
    </row>
    <row r="1819" spans="4:14" ht="15" customHeight="1" x14ac:dyDescent="0.25">
      <c r="H1819" s="3" t="s">
        <v>81</v>
      </c>
      <c r="I1819" s="3" t="s">
        <v>34</v>
      </c>
      <c r="J1819" s="3">
        <f t="shared" si="150"/>
        <v>20512</v>
      </c>
      <c r="K1819" s="3">
        <f t="shared" si="149"/>
        <v>20536</v>
      </c>
      <c r="L1819" s="3">
        <v>24</v>
      </c>
      <c r="M1819" s="3">
        <f t="shared" si="151"/>
        <v>52.519999999999897</v>
      </c>
      <c r="N1819" s="3">
        <v>2.5</v>
      </c>
    </row>
    <row r="1820" spans="4:14" ht="15" customHeight="1" x14ac:dyDescent="0.25">
      <c r="D1820" s="13">
        <v>45609</v>
      </c>
      <c r="H1820" s="3" t="s">
        <v>34</v>
      </c>
      <c r="I1820" s="3" t="s">
        <v>85</v>
      </c>
      <c r="J1820" s="3">
        <f t="shared" si="150"/>
        <v>20536</v>
      </c>
      <c r="K1820" s="3">
        <f t="shared" si="149"/>
        <v>20580</v>
      </c>
      <c r="L1820" s="3">
        <v>44</v>
      </c>
      <c r="M1820" s="3">
        <f t="shared" si="151"/>
        <v>47.519999999999897</v>
      </c>
      <c r="N1820" s="3">
        <v>5</v>
      </c>
    </row>
    <row r="1821" spans="4:14" ht="15" customHeight="1" x14ac:dyDescent="0.25">
      <c r="H1821" s="3" t="s">
        <v>85</v>
      </c>
      <c r="I1821" s="3" t="s">
        <v>34</v>
      </c>
      <c r="J1821" s="3">
        <f t="shared" si="150"/>
        <v>20580</v>
      </c>
      <c r="K1821" s="3">
        <f t="shared" si="149"/>
        <v>20624</v>
      </c>
      <c r="L1821" s="3">
        <v>44</v>
      </c>
      <c r="M1821" s="3">
        <f t="shared" si="151"/>
        <v>42.519999999999897</v>
      </c>
      <c r="N1821" s="3">
        <v>5</v>
      </c>
    </row>
    <row r="1822" spans="4:14" ht="15" customHeight="1" x14ac:dyDescent="0.25">
      <c r="H1822" s="3" t="s">
        <v>34</v>
      </c>
      <c r="I1822" s="3" t="s">
        <v>54</v>
      </c>
      <c r="J1822" s="3">
        <f t="shared" si="150"/>
        <v>20624</v>
      </c>
      <c r="K1822" s="3">
        <f t="shared" si="149"/>
        <v>20651</v>
      </c>
      <c r="L1822" s="3">
        <v>27</v>
      </c>
      <c r="M1822" s="3">
        <f t="shared" si="151"/>
        <v>39.319999999999894</v>
      </c>
      <c r="N1822" s="3">
        <v>3.2</v>
      </c>
    </row>
    <row r="1823" spans="4:14" ht="15" customHeight="1" x14ac:dyDescent="0.25">
      <c r="H1823" s="3" t="s">
        <v>54</v>
      </c>
      <c r="I1823" s="3" t="s">
        <v>34</v>
      </c>
      <c r="J1823" s="3">
        <f t="shared" si="150"/>
        <v>20651</v>
      </c>
      <c r="K1823" s="3">
        <f t="shared" si="149"/>
        <v>20678</v>
      </c>
      <c r="L1823" s="3">
        <v>27</v>
      </c>
      <c r="M1823" s="3">
        <f t="shared" si="151"/>
        <v>36.119999999999891</v>
      </c>
      <c r="N1823" s="3">
        <v>3.2</v>
      </c>
    </row>
    <row r="1824" spans="4:14" ht="15" customHeight="1" x14ac:dyDescent="0.25">
      <c r="D1824" s="13">
        <v>45610</v>
      </c>
      <c r="E1824">
        <v>41.31</v>
      </c>
      <c r="F1824" s="3">
        <v>59.69</v>
      </c>
      <c r="G1824" s="8">
        <f>E1824*F1824</f>
        <v>2465.7939000000001</v>
      </c>
      <c r="H1824" s="3" t="s">
        <v>34</v>
      </c>
      <c r="I1824" s="3" t="s">
        <v>85</v>
      </c>
      <c r="J1824" s="3">
        <f t="shared" si="150"/>
        <v>20678</v>
      </c>
      <c r="K1824" s="3">
        <f t="shared" si="149"/>
        <v>20722</v>
      </c>
      <c r="L1824" s="3">
        <v>44</v>
      </c>
      <c r="M1824" s="3">
        <f t="shared" si="151"/>
        <v>72.429999999999893</v>
      </c>
      <c r="N1824" s="3">
        <v>5</v>
      </c>
    </row>
    <row r="1825" spans="4:14" ht="15" customHeight="1" x14ac:dyDescent="0.25">
      <c r="H1825" s="3" t="s">
        <v>85</v>
      </c>
      <c r="I1825" s="3" t="s">
        <v>34</v>
      </c>
      <c r="J1825" s="3">
        <f t="shared" si="150"/>
        <v>20722</v>
      </c>
      <c r="K1825" s="3">
        <f t="shared" si="149"/>
        <v>20766</v>
      </c>
      <c r="L1825" s="3">
        <v>44</v>
      </c>
      <c r="M1825" s="3">
        <f t="shared" si="151"/>
        <v>67.429999999999893</v>
      </c>
      <c r="N1825" s="3">
        <v>5</v>
      </c>
    </row>
    <row r="1826" spans="4:14" ht="15" customHeight="1" x14ac:dyDescent="0.25">
      <c r="H1826" s="3" t="s">
        <v>34</v>
      </c>
      <c r="I1826" s="3" t="s">
        <v>49</v>
      </c>
      <c r="J1826" s="3">
        <f t="shared" si="150"/>
        <v>20766</v>
      </c>
      <c r="K1826" s="3">
        <f t="shared" si="149"/>
        <v>20793</v>
      </c>
      <c r="L1826" s="3">
        <v>27</v>
      </c>
      <c r="M1826" s="3">
        <f t="shared" si="151"/>
        <v>64.22999999999989</v>
      </c>
      <c r="N1826" s="3">
        <v>3.2</v>
      </c>
    </row>
    <row r="1827" spans="4:14" ht="15" customHeight="1" x14ac:dyDescent="0.25">
      <c r="H1827" s="3" t="s">
        <v>49</v>
      </c>
      <c r="I1827" s="3" t="s">
        <v>34</v>
      </c>
      <c r="J1827" s="3">
        <f t="shared" si="150"/>
        <v>20793</v>
      </c>
      <c r="K1827" s="3">
        <f t="shared" si="149"/>
        <v>20820</v>
      </c>
      <c r="L1827" s="3">
        <v>27</v>
      </c>
      <c r="M1827" s="3">
        <f t="shared" si="151"/>
        <v>61.029999999999887</v>
      </c>
      <c r="N1827" s="3">
        <v>3.2</v>
      </c>
    </row>
    <row r="1828" spans="4:14" ht="15" customHeight="1" x14ac:dyDescent="0.25">
      <c r="D1828" s="13">
        <v>45611</v>
      </c>
      <c r="H1828" s="3" t="s">
        <v>34</v>
      </c>
      <c r="I1828" s="3" t="s">
        <v>85</v>
      </c>
      <c r="J1828" s="3">
        <f t="shared" si="150"/>
        <v>20820</v>
      </c>
      <c r="K1828" s="3">
        <f t="shared" si="149"/>
        <v>20864</v>
      </c>
      <c r="L1828" s="3">
        <v>44</v>
      </c>
      <c r="M1828" s="3">
        <f t="shared" si="151"/>
        <v>56.029999999999887</v>
      </c>
      <c r="N1828" s="3">
        <v>5</v>
      </c>
    </row>
    <row r="1829" spans="4:14" ht="15" customHeight="1" x14ac:dyDescent="0.25">
      <c r="H1829" s="3" t="s">
        <v>85</v>
      </c>
      <c r="I1829" s="3" t="s">
        <v>34</v>
      </c>
      <c r="J1829" s="3">
        <f t="shared" si="150"/>
        <v>20864</v>
      </c>
      <c r="K1829" s="3">
        <f t="shared" si="149"/>
        <v>20908</v>
      </c>
      <c r="L1829" s="3">
        <v>44</v>
      </c>
      <c r="M1829" s="3">
        <f t="shared" si="151"/>
        <v>51.029999999999887</v>
      </c>
      <c r="N1829" s="3">
        <v>5</v>
      </c>
    </row>
    <row r="1830" spans="4:14" ht="15" customHeight="1" x14ac:dyDescent="0.25">
      <c r="D1830" s="13">
        <v>45614</v>
      </c>
      <c r="H1830" s="3" t="s">
        <v>34</v>
      </c>
      <c r="I1830" s="3" t="s">
        <v>85</v>
      </c>
      <c r="J1830" s="3">
        <f t="shared" si="150"/>
        <v>20908</v>
      </c>
      <c r="K1830" s="3">
        <f t="shared" si="149"/>
        <v>20952</v>
      </c>
      <c r="L1830" s="3">
        <v>44</v>
      </c>
      <c r="M1830" s="3">
        <f t="shared" si="151"/>
        <v>46.029999999999887</v>
      </c>
      <c r="N1830" s="3">
        <v>5</v>
      </c>
    </row>
    <row r="1831" spans="4:14" ht="15" customHeight="1" x14ac:dyDescent="0.25">
      <c r="H1831" s="3" t="s">
        <v>85</v>
      </c>
      <c r="I1831" s="3" t="s">
        <v>34</v>
      </c>
      <c r="J1831" s="3">
        <f t="shared" si="150"/>
        <v>20952</v>
      </c>
      <c r="K1831" s="3">
        <f t="shared" si="149"/>
        <v>20996</v>
      </c>
      <c r="L1831" s="3">
        <v>44</v>
      </c>
      <c r="M1831" s="3">
        <f t="shared" si="151"/>
        <v>41.029999999999887</v>
      </c>
      <c r="N1831" s="3">
        <v>5</v>
      </c>
    </row>
    <row r="1832" spans="4:14" ht="15" customHeight="1" x14ac:dyDescent="0.25">
      <c r="D1832" s="13">
        <v>45615</v>
      </c>
      <c r="H1832" s="3" t="s">
        <v>34</v>
      </c>
      <c r="I1832" s="3" t="s">
        <v>85</v>
      </c>
      <c r="J1832" s="3">
        <f t="shared" si="150"/>
        <v>20996</v>
      </c>
      <c r="K1832" s="3">
        <f t="shared" si="149"/>
        <v>21040</v>
      </c>
      <c r="L1832" s="3">
        <v>44</v>
      </c>
      <c r="M1832" s="3">
        <f t="shared" si="151"/>
        <v>36.029999999999887</v>
      </c>
      <c r="N1832" s="3">
        <v>5</v>
      </c>
    </row>
    <row r="1833" spans="4:14" ht="15" customHeight="1" x14ac:dyDescent="0.25">
      <c r="H1833" s="3" t="s">
        <v>85</v>
      </c>
      <c r="I1833" s="3" t="s">
        <v>34</v>
      </c>
      <c r="J1833" s="3">
        <f t="shared" si="150"/>
        <v>21040</v>
      </c>
      <c r="K1833" s="3">
        <f t="shared" si="149"/>
        <v>21084</v>
      </c>
      <c r="L1833" s="3">
        <v>44</v>
      </c>
      <c r="M1833" s="3">
        <f t="shared" si="151"/>
        <v>31.029999999999887</v>
      </c>
      <c r="N1833" s="3">
        <v>5</v>
      </c>
    </row>
    <row r="1834" spans="4:14" ht="15" customHeight="1" x14ac:dyDescent="0.25">
      <c r="D1834" s="13">
        <v>45616</v>
      </c>
      <c r="E1834">
        <v>45.73</v>
      </c>
      <c r="F1834" s="3">
        <v>59.28</v>
      </c>
      <c r="G1834" s="8">
        <f>E1834*F1834</f>
        <v>2710.8743999999997</v>
      </c>
      <c r="H1834" s="3" t="s">
        <v>34</v>
      </c>
      <c r="I1834" s="3" t="s">
        <v>54</v>
      </c>
      <c r="J1834" s="3">
        <f t="shared" si="150"/>
        <v>21084</v>
      </c>
      <c r="K1834" s="3">
        <f t="shared" ref="K1834:K1865" si="152">J1834+L1834</f>
        <v>21111</v>
      </c>
      <c r="L1834" s="3">
        <v>27</v>
      </c>
      <c r="M1834" s="3">
        <f t="shared" si="151"/>
        <v>73.559999999999874</v>
      </c>
      <c r="N1834" s="3">
        <v>3.2</v>
      </c>
    </row>
    <row r="1835" spans="4:14" ht="15" customHeight="1" x14ac:dyDescent="0.25">
      <c r="H1835" s="3" t="s">
        <v>54</v>
      </c>
      <c r="I1835" s="3" t="s">
        <v>34</v>
      </c>
      <c r="J1835" s="3">
        <f t="shared" ref="J1835:J1861" si="153">K1834</f>
        <v>21111</v>
      </c>
      <c r="K1835" s="3">
        <f t="shared" si="152"/>
        <v>21138</v>
      </c>
      <c r="L1835" s="3">
        <v>27</v>
      </c>
      <c r="M1835" s="3">
        <f t="shared" ref="M1835:M1866" si="154">(E1835+M1834)-N1835</f>
        <v>70.359999999999872</v>
      </c>
      <c r="N1835" s="3">
        <v>3.2</v>
      </c>
    </row>
    <row r="1836" spans="4:14" ht="15" customHeight="1" x14ac:dyDescent="0.25">
      <c r="D1836" s="13">
        <v>45617</v>
      </c>
      <c r="H1836" s="3" t="s">
        <v>34</v>
      </c>
      <c r="I1836" s="3" t="s">
        <v>85</v>
      </c>
      <c r="J1836" s="3">
        <f t="shared" si="153"/>
        <v>21138</v>
      </c>
      <c r="K1836" s="3">
        <f t="shared" si="152"/>
        <v>21182</v>
      </c>
      <c r="L1836" s="3">
        <v>44</v>
      </c>
      <c r="M1836" s="3">
        <f t="shared" si="154"/>
        <v>65.359999999999872</v>
      </c>
      <c r="N1836" s="3">
        <v>5</v>
      </c>
    </row>
    <row r="1837" spans="4:14" ht="15" customHeight="1" x14ac:dyDescent="0.25">
      <c r="H1837" s="3" t="s">
        <v>85</v>
      </c>
      <c r="I1837" s="3" t="s">
        <v>34</v>
      </c>
      <c r="J1837" s="3">
        <f t="shared" si="153"/>
        <v>21182</v>
      </c>
      <c r="K1837" s="3">
        <f t="shared" si="152"/>
        <v>21226</v>
      </c>
      <c r="L1837" s="3">
        <v>44</v>
      </c>
      <c r="M1837" s="3">
        <f t="shared" si="154"/>
        <v>60.359999999999872</v>
      </c>
      <c r="N1837" s="3">
        <v>5</v>
      </c>
    </row>
    <row r="1838" spans="4:14" ht="15" customHeight="1" x14ac:dyDescent="0.25">
      <c r="H1838" s="3" t="s">
        <v>34</v>
      </c>
      <c r="I1838" s="3" t="s">
        <v>54</v>
      </c>
      <c r="J1838" s="3">
        <f t="shared" si="153"/>
        <v>21226</v>
      </c>
      <c r="K1838" s="3">
        <f t="shared" si="152"/>
        <v>21253</v>
      </c>
      <c r="L1838" s="3">
        <v>27</v>
      </c>
      <c r="M1838" s="3">
        <f t="shared" si="154"/>
        <v>57.159999999999869</v>
      </c>
      <c r="N1838" s="3">
        <v>3.2</v>
      </c>
    </row>
    <row r="1839" spans="4:14" ht="15" customHeight="1" x14ac:dyDescent="0.25">
      <c r="H1839" s="3" t="s">
        <v>54</v>
      </c>
      <c r="I1839" s="3" t="s">
        <v>34</v>
      </c>
      <c r="J1839" s="3">
        <f t="shared" si="153"/>
        <v>21253</v>
      </c>
      <c r="K1839" s="3">
        <f t="shared" si="152"/>
        <v>21280</v>
      </c>
      <c r="L1839" s="3">
        <v>27</v>
      </c>
      <c r="M1839" s="3">
        <f t="shared" si="154"/>
        <v>53.959999999999866</v>
      </c>
      <c r="N1839" s="3">
        <v>3.2</v>
      </c>
    </row>
    <row r="1840" spans="4:14" ht="15" customHeight="1" x14ac:dyDescent="0.25">
      <c r="D1840" s="13">
        <v>45618</v>
      </c>
      <c r="H1840" s="3" t="s">
        <v>34</v>
      </c>
      <c r="I1840" s="3" t="s">
        <v>85</v>
      </c>
      <c r="J1840" s="3">
        <f t="shared" si="153"/>
        <v>21280</v>
      </c>
      <c r="K1840" s="3">
        <f t="shared" si="152"/>
        <v>21324</v>
      </c>
      <c r="L1840" s="3">
        <v>44</v>
      </c>
      <c r="M1840" s="3">
        <f t="shared" si="154"/>
        <v>48.959999999999866</v>
      </c>
      <c r="N1840" s="3">
        <v>5</v>
      </c>
    </row>
    <row r="1841" spans="4:14" ht="15" customHeight="1" x14ac:dyDescent="0.25">
      <c r="H1841" s="3" t="s">
        <v>85</v>
      </c>
      <c r="I1841" s="3" t="s">
        <v>34</v>
      </c>
      <c r="J1841" s="3">
        <f t="shared" si="153"/>
        <v>21324</v>
      </c>
      <c r="K1841" s="3">
        <f t="shared" si="152"/>
        <v>21368</v>
      </c>
      <c r="L1841" s="3">
        <v>44</v>
      </c>
      <c r="M1841" s="3">
        <f t="shared" si="154"/>
        <v>43.959999999999866</v>
      </c>
      <c r="N1841" s="3">
        <v>5</v>
      </c>
    </row>
    <row r="1842" spans="4:14" ht="15" customHeight="1" x14ac:dyDescent="0.25">
      <c r="D1842" s="13">
        <v>45621</v>
      </c>
      <c r="E1842">
        <v>48.31</v>
      </c>
      <c r="F1842" s="3">
        <v>59.86</v>
      </c>
      <c r="G1842" s="8">
        <f>E1842*F1842</f>
        <v>2891.8366000000001</v>
      </c>
      <c r="H1842" s="3" t="s">
        <v>34</v>
      </c>
      <c r="I1842" s="3" t="s">
        <v>44</v>
      </c>
      <c r="J1842" s="3">
        <f t="shared" si="153"/>
        <v>21368</v>
      </c>
      <c r="K1842" s="3">
        <f t="shared" si="152"/>
        <v>21408</v>
      </c>
      <c r="L1842" s="3">
        <v>40</v>
      </c>
      <c r="M1842" s="3">
        <f t="shared" si="154"/>
        <v>87.469999999999871</v>
      </c>
      <c r="N1842" s="3">
        <v>4.8</v>
      </c>
    </row>
    <row r="1843" spans="4:14" ht="15" customHeight="1" x14ac:dyDescent="0.25">
      <c r="H1843" s="3" t="s">
        <v>44</v>
      </c>
      <c r="I1843" s="3" t="s">
        <v>34</v>
      </c>
      <c r="J1843" s="3">
        <f t="shared" si="153"/>
        <v>21408</v>
      </c>
      <c r="K1843" s="3">
        <f t="shared" si="152"/>
        <v>21448</v>
      </c>
      <c r="L1843" s="3">
        <v>40</v>
      </c>
      <c r="M1843" s="3">
        <f t="shared" si="154"/>
        <v>82.669999999999874</v>
      </c>
      <c r="N1843" s="3">
        <v>4.8</v>
      </c>
    </row>
    <row r="1844" spans="4:14" ht="15" customHeight="1" x14ac:dyDescent="0.25">
      <c r="H1844" s="3" t="s">
        <v>34</v>
      </c>
      <c r="I1844" s="3" t="s">
        <v>85</v>
      </c>
      <c r="J1844" s="3">
        <f t="shared" si="153"/>
        <v>21448</v>
      </c>
      <c r="K1844" s="3">
        <f t="shared" si="152"/>
        <v>21492</v>
      </c>
      <c r="L1844" s="3">
        <v>44</v>
      </c>
      <c r="M1844" s="3">
        <f t="shared" si="154"/>
        <v>77.669999999999874</v>
      </c>
      <c r="N1844" s="3">
        <v>5</v>
      </c>
    </row>
    <row r="1845" spans="4:14" ht="15" customHeight="1" x14ac:dyDescent="0.25">
      <c r="H1845" s="3" t="s">
        <v>85</v>
      </c>
      <c r="I1845" s="3" t="s">
        <v>34</v>
      </c>
      <c r="J1845" s="3">
        <f t="shared" si="153"/>
        <v>21492</v>
      </c>
      <c r="K1845" s="3">
        <f t="shared" si="152"/>
        <v>21536</v>
      </c>
      <c r="L1845" s="3">
        <v>44</v>
      </c>
      <c r="M1845" s="3">
        <f t="shared" si="154"/>
        <v>72.669999999999874</v>
      </c>
      <c r="N1845" s="3">
        <v>5</v>
      </c>
    </row>
    <row r="1846" spans="4:14" ht="15" customHeight="1" x14ac:dyDescent="0.25">
      <c r="D1846" s="13">
        <v>45622</v>
      </c>
      <c r="H1846" s="3" t="s">
        <v>34</v>
      </c>
      <c r="I1846" s="3" t="s">
        <v>54</v>
      </c>
      <c r="J1846" s="3">
        <f t="shared" si="153"/>
        <v>21536</v>
      </c>
      <c r="K1846" s="3">
        <f t="shared" si="152"/>
        <v>21563</v>
      </c>
      <c r="L1846" s="3">
        <v>27</v>
      </c>
      <c r="M1846" s="3">
        <f t="shared" si="154"/>
        <v>69.469999999999871</v>
      </c>
      <c r="N1846" s="3">
        <v>3.2</v>
      </c>
    </row>
    <row r="1847" spans="4:14" ht="15" customHeight="1" x14ac:dyDescent="0.25">
      <c r="H1847" s="3" t="s">
        <v>54</v>
      </c>
      <c r="I1847" s="3" t="s">
        <v>34</v>
      </c>
      <c r="J1847" s="3">
        <f t="shared" si="153"/>
        <v>21563</v>
      </c>
      <c r="K1847" s="3">
        <f t="shared" si="152"/>
        <v>21590</v>
      </c>
      <c r="L1847" s="3">
        <v>27</v>
      </c>
      <c r="M1847" s="3">
        <f t="shared" si="154"/>
        <v>66.269999999999868</v>
      </c>
      <c r="N1847" s="3">
        <v>3.2</v>
      </c>
    </row>
    <row r="1848" spans="4:14" ht="15" customHeight="1" x14ac:dyDescent="0.25">
      <c r="H1848" s="3" t="s">
        <v>34</v>
      </c>
      <c r="I1848" s="3" t="s">
        <v>81</v>
      </c>
      <c r="J1848" s="3">
        <f t="shared" si="153"/>
        <v>21590</v>
      </c>
      <c r="K1848" s="3">
        <f t="shared" si="152"/>
        <v>21614</v>
      </c>
      <c r="L1848" s="3">
        <v>24</v>
      </c>
      <c r="M1848" s="3">
        <f t="shared" si="154"/>
        <v>63.769999999999868</v>
      </c>
      <c r="N1848" s="3">
        <v>2.5</v>
      </c>
    </row>
    <row r="1849" spans="4:14" ht="15" customHeight="1" x14ac:dyDescent="0.25">
      <c r="H1849" s="3" t="s">
        <v>81</v>
      </c>
      <c r="I1849" s="3" t="s">
        <v>34</v>
      </c>
      <c r="J1849" s="3">
        <f t="shared" si="153"/>
        <v>21614</v>
      </c>
      <c r="K1849" s="3">
        <f t="shared" si="152"/>
        <v>21638</v>
      </c>
      <c r="L1849" s="3">
        <v>24</v>
      </c>
      <c r="M1849" s="3">
        <f t="shared" si="154"/>
        <v>61.269999999999868</v>
      </c>
      <c r="N1849" s="3">
        <v>2.5</v>
      </c>
    </row>
    <row r="1850" spans="4:14" ht="15" customHeight="1" x14ac:dyDescent="0.25">
      <c r="D1850" s="13">
        <v>45623</v>
      </c>
      <c r="H1850" s="3" t="s">
        <v>34</v>
      </c>
      <c r="I1850" s="3" t="s">
        <v>85</v>
      </c>
      <c r="J1850" s="3">
        <f t="shared" si="153"/>
        <v>21638</v>
      </c>
      <c r="K1850" s="3">
        <f t="shared" si="152"/>
        <v>21682</v>
      </c>
      <c r="L1850" s="3">
        <v>44</v>
      </c>
      <c r="M1850" s="3">
        <f t="shared" si="154"/>
        <v>56.269999999999868</v>
      </c>
      <c r="N1850" s="3">
        <v>5</v>
      </c>
    </row>
    <row r="1851" spans="4:14" ht="15" customHeight="1" x14ac:dyDescent="0.25">
      <c r="H1851" s="3" t="s">
        <v>85</v>
      </c>
      <c r="I1851" s="3" t="s">
        <v>34</v>
      </c>
      <c r="J1851" s="3">
        <f t="shared" si="153"/>
        <v>21682</v>
      </c>
      <c r="K1851" s="3">
        <f t="shared" si="152"/>
        <v>21726</v>
      </c>
      <c r="L1851" s="3">
        <v>44</v>
      </c>
      <c r="M1851" s="3">
        <f t="shared" si="154"/>
        <v>51.269999999999868</v>
      </c>
      <c r="N1851" s="3">
        <v>5</v>
      </c>
    </row>
    <row r="1852" spans="4:14" ht="15" customHeight="1" x14ac:dyDescent="0.25">
      <c r="H1852" s="3" t="s">
        <v>34</v>
      </c>
      <c r="I1852" s="3" t="s">
        <v>44</v>
      </c>
      <c r="J1852" s="3">
        <f t="shared" si="153"/>
        <v>21726</v>
      </c>
      <c r="K1852" s="3">
        <f t="shared" si="152"/>
        <v>21766</v>
      </c>
      <c r="L1852" s="3">
        <v>40</v>
      </c>
      <c r="M1852" s="3">
        <f t="shared" si="154"/>
        <v>46.469999999999871</v>
      </c>
      <c r="N1852" s="3">
        <v>4.8</v>
      </c>
    </row>
    <row r="1853" spans="4:14" ht="15" customHeight="1" x14ac:dyDescent="0.25">
      <c r="H1853" s="3" t="s">
        <v>44</v>
      </c>
      <c r="I1853" s="3" t="s">
        <v>34</v>
      </c>
      <c r="J1853" s="3">
        <f t="shared" si="153"/>
        <v>21766</v>
      </c>
      <c r="K1853" s="3">
        <f t="shared" si="152"/>
        <v>21806</v>
      </c>
      <c r="L1853" s="3">
        <v>40</v>
      </c>
      <c r="M1853" s="3">
        <f t="shared" si="154"/>
        <v>41.669999999999874</v>
      </c>
      <c r="N1853" s="3">
        <v>4.8</v>
      </c>
    </row>
    <row r="1854" spans="4:14" ht="15" customHeight="1" x14ac:dyDescent="0.25">
      <c r="D1854" s="13">
        <v>45624</v>
      </c>
      <c r="H1854" s="3" t="s">
        <v>34</v>
      </c>
      <c r="I1854" s="3" t="s">
        <v>49</v>
      </c>
      <c r="J1854" s="3">
        <f t="shared" si="153"/>
        <v>21806</v>
      </c>
      <c r="K1854" s="3">
        <f t="shared" si="152"/>
        <v>21833</v>
      </c>
      <c r="L1854" s="3">
        <v>27</v>
      </c>
      <c r="M1854" s="3">
        <f t="shared" si="154"/>
        <v>38.469999999999871</v>
      </c>
      <c r="N1854" s="3">
        <v>3.2</v>
      </c>
    </row>
    <row r="1855" spans="4:14" ht="15" customHeight="1" x14ac:dyDescent="0.25">
      <c r="D1855" s="13"/>
      <c r="H1855" s="3" t="s">
        <v>49</v>
      </c>
      <c r="I1855" s="3" t="s">
        <v>34</v>
      </c>
      <c r="J1855" s="3">
        <f t="shared" si="153"/>
        <v>21833</v>
      </c>
      <c r="K1855" s="3">
        <f t="shared" si="152"/>
        <v>21860</v>
      </c>
      <c r="L1855" s="3">
        <v>27</v>
      </c>
      <c r="M1855" s="3">
        <f t="shared" si="154"/>
        <v>35.269999999999868</v>
      </c>
      <c r="N1855" s="3">
        <v>3.2</v>
      </c>
    </row>
    <row r="1856" spans="4:14" ht="15" customHeight="1" x14ac:dyDescent="0.25">
      <c r="D1856" s="13"/>
      <c r="H1856" s="3" t="s">
        <v>34</v>
      </c>
      <c r="I1856" s="3" t="s">
        <v>85</v>
      </c>
      <c r="J1856" s="3">
        <f t="shared" si="153"/>
        <v>21860</v>
      </c>
      <c r="K1856" s="3">
        <f t="shared" si="152"/>
        <v>21904</v>
      </c>
      <c r="L1856" s="3">
        <v>44</v>
      </c>
      <c r="M1856" s="3">
        <f t="shared" si="154"/>
        <v>30.269999999999868</v>
      </c>
      <c r="N1856" s="3">
        <v>5</v>
      </c>
    </row>
    <row r="1857" spans="4:14" ht="15" customHeight="1" x14ac:dyDescent="0.25">
      <c r="H1857" s="3" t="s">
        <v>85</v>
      </c>
      <c r="I1857" s="3" t="s">
        <v>34</v>
      </c>
      <c r="J1857" s="3">
        <f t="shared" si="153"/>
        <v>21904</v>
      </c>
      <c r="K1857" s="3">
        <f t="shared" si="152"/>
        <v>21948</v>
      </c>
      <c r="L1857" s="3">
        <v>44</v>
      </c>
      <c r="M1857" s="3">
        <f t="shared" si="154"/>
        <v>25.269999999999868</v>
      </c>
      <c r="N1857" s="3">
        <v>5</v>
      </c>
    </row>
    <row r="1858" spans="4:14" ht="15" customHeight="1" x14ac:dyDescent="0.25">
      <c r="D1858" s="13">
        <v>45625</v>
      </c>
      <c r="H1858" s="3" t="s">
        <v>34</v>
      </c>
      <c r="I1858" s="3" t="s">
        <v>54</v>
      </c>
      <c r="J1858" s="3">
        <f t="shared" si="153"/>
        <v>21948</v>
      </c>
      <c r="K1858" s="3">
        <f t="shared" si="152"/>
        <v>21975</v>
      </c>
      <c r="L1858" s="3">
        <v>27</v>
      </c>
      <c r="M1858" s="3">
        <f t="shared" si="154"/>
        <v>22.069999999999869</v>
      </c>
      <c r="N1858" s="3">
        <v>3.2</v>
      </c>
    </row>
    <row r="1859" spans="4:14" ht="15" customHeight="1" x14ac:dyDescent="0.25">
      <c r="D1859" s="13"/>
      <c r="H1859" s="3" t="s">
        <v>54</v>
      </c>
      <c r="I1859" s="3" t="s">
        <v>34</v>
      </c>
      <c r="J1859" s="3">
        <f t="shared" si="153"/>
        <v>21975</v>
      </c>
      <c r="K1859" s="3">
        <f t="shared" si="152"/>
        <v>22002</v>
      </c>
      <c r="L1859" s="3">
        <v>27</v>
      </c>
      <c r="M1859" s="3">
        <f t="shared" si="154"/>
        <v>18.86999999999987</v>
      </c>
      <c r="N1859" s="3">
        <v>3.2</v>
      </c>
    </row>
    <row r="1860" spans="4:14" ht="15" customHeight="1" x14ac:dyDescent="0.25">
      <c r="D1860" s="13"/>
      <c r="H1860" s="3" t="s">
        <v>34</v>
      </c>
      <c r="I1860" s="3" t="s">
        <v>85</v>
      </c>
      <c r="J1860" s="3">
        <f t="shared" si="153"/>
        <v>22002</v>
      </c>
      <c r="K1860" s="3">
        <f t="shared" si="152"/>
        <v>22046</v>
      </c>
      <c r="L1860" s="3">
        <v>44</v>
      </c>
      <c r="M1860" s="3">
        <f t="shared" si="154"/>
        <v>13.86999999999987</v>
      </c>
      <c r="N1860" s="3">
        <v>5</v>
      </c>
    </row>
    <row r="1861" spans="4:14" ht="15" customHeight="1" x14ac:dyDescent="0.25">
      <c r="D1861" s="13"/>
      <c r="H1861" s="3" t="s">
        <v>85</v>
      </c>
      <c r="I1861" s="3" t="s">
        <v>34</v>
      </c>
      <c r="J1861" s="3">
        <f t="shared" si="153"/>
        <v>22046</v>
      </c>
      <c r="K1861" s="3">
        <f t="shared" si="152"/>
        <v>22090</v>
      </c>
      <c r="L1861" s="3">
        <v>44</v>
      </c>
      <c r="M1861" s="3">
        <f t="shared" si="154"/>
        <v>8.8699999999998695</v>
      </c>
      <c r="N1861" s="3">
        <v>5</v>
      </c>
    </row>
    <row r="1863" spans="4:14" ht="15" customHeight="1" x14ac:dyDescent="0.25">
      <c r="D1863" s="2" t="s">
        <v>88</v>
      </c>
      <c r="E1863" s="2"/>
      <c r="F1863" s="2"/>
      <c r="G1863" s="2"/>
    </row>
    <row r="1865" spans="4:14" ht="15" customHeight="1" x14ac:dyDescent="0.25">
      <c r="D1865" s="13">
        <v>45628</v>
      </c>
      <c r="E1865">
        <v>46.82</v>
      </c>
      <c r="F1865" s="3">
        <v>60.06</v>
      </c>
      <c r="G1865" s="8">
        <f>E1865*F1865</f>
        <v>2812.0092</v>
      </c>
      <c r="H1865" s="3" t="s">
        <v>34</v>
      </c>
      <c r="I1865" s="3" t="s">
        <v>85</v>
      </c>
      <c r="J1865" s="3">
        <f>K1861</f>
        <v>22090</v>
      </c>
      <c r="K1865" s="3">
        <f t="shared" ref="K1865:K1910" si="155">J1865+L1865</f>
        <v>22134</v>
      </c>
      <c r="L1865" s="3">
        <v>44</v>
      </c>
      <c r="M1865" s="3">
        <f>(E1865+M1861)-N1865</f>
        <v>50.68999999999987</v>
      </c>
      <c r="N1865" s="3">
        <v>5</v>
      </c>
    </row>
    <row r="1866" spans="4:14" ht="15" customHeight="1" x14ac:dyDescent="0.25">
      <c r="H1866" s="3" t="s">
        <v>85</v>
      </c>
      <c r="I1866" s="3" t="s">
        <v>34</v>
      </c>
      <c r="J1866" s="3">
        <f t="shared" ref="J1866:J1910" si="156">K1865</f>
        <v>22134</v>
      </c>
      <c r="K1866" s="3">
        <f t="shared" si="155"/>
        <v>22178</v>
      </c>
      <c r="L1866" s="3">
        <v>44</v>
      </c>
      <c r="M1866" s="3">
        <f t="shared" ref="M1866:M1910" si="157">(E1866+M1865)-N1866</f>
        <v>45.68999999999987</v>
      </c>
      <c r="N1866" s="3">
        <v>5</v>
      </c>
    </row>
    <row r="1867" spans="4:14" ht="15" customHeight="1" x14ac:dyDescent="0.25">
      <c r="D1867" s="13">
        <v>45629</v>
      </c>
      <c r="H1867" s="3" t="s">
        <v>34</v>
      </c>
      <c r="I1867" s="3" t="s">
        <v>44</v>
      </c>
      <c r="J1867" s="3">
        <f t="shared" si="156"/>
        <v>22178</v>
      </c>
      <c r="K1867" s="3">
        <f t="shared" si="155"/>
        <v>22218</v>
      </c>
      <c r="L1867" s="3">
        <v>40</v>
      </c>
      <c r="M1867" s="3">
        <f t="shared" si="157"/>
        <v>40.889999999999873</v>
      </c>
      <c r="N1867" s="3">
        <v>4.8</v>
      </c>
    </row>
    <row r="1868" spans="4:14" ht="15" customHeight="1" x14ac:dyDescent="0.25">
      <c r="H1868" s="3" t="s">
        <v>44</v>
      </c>
      <c r="I1868" s="3" t="s">
        <v>34</v>
      </c>
      <c r="J1868" s="3">
        <f t="shared" si="156"/>
        <v>22218</v>
      </c>
      <c r="K1868" s="3">
        <f t="shared" si="155"/>
        <v>22258</v>
      </c>
      <c r="L1868" s="3">
        <v>40</v>
      </c>
      <c r="M1868" s="3">
        <f t="shared" si="157"/>
        <v>36.089999999999876</v>
      </c>
      <c r="N1868" s="3">
        <v>4.8</v>
      </c>
    </row>
    <row r="1869" spans="4:14" ht="15" customHeight="1" x14ac:dyDescent="0.25">
      <c r="D1869" s="13">
        <v>45630</v>
      </c>
      <c r="H1869" s="3" t="s">
        <v>34</v>
      </c>
      <c r="I1869" s="3" t="s">
        <v>54</v>
      </c>
      <c r="J1869" s="3">
        <f t="shared" si="156"/>
        <v>22258</v>
      </c>
      <c r="K1869" s="3">
        <f t="shared" si="155"/>
        <v>22285</v>
      </c>
      <c r="L1869" s="3">
        <v>27</v>
      </c>
      <c r="M1869" s="3">
        <f t="shared" si="157"/>
        <v>32.889999999999873</v>
      </c>
      <c r="N1869" s="3">
        <v>3.2</v>
      </c>
    </row>
    <row r="1870" spans="4:14" ht="15" customHeight="1" x14ac:dyDescent="0.25">
      <c r="H1870" s="3" t="s">
        <v>54</v>
      </c>
      <c r="I1870" s="3" t="s">
        <v>34</v>
      </c>
      <c r="J1870" s="3">
        <f t="shared" si="156"/>
        <v>22285</v>
      </c>
      <c r="K1870" s="3">
        <f t="shared" si="155"/>
        <v>22312</v>
      </c>
      <c r="L1870" s="3">
        <v>27</v>
      </c>
      <c r="M1870" s="3">
        <f t="shared" si="157"/>
        <v>29.689999999999873</v>
      </c>
      <c r="N1870" s="3">
        <v>3.2</v>
      </c>
    </row>
    <row r="1871" spans="4:14" ht="15" customHeight="1" x14ac:dyDescent="0.25">
      <c r="D1871" s="13">
        <v>45631</v>
      </c>
      <c r="H1871" s="3" t="s">
        <v>34</v>
      </c>
      <c r="I1871" s="3" t="s">
        <v>49</v>
      </c>
      <c r="J1871" s="3">
        <f t="shared" si="156"/>
        <v>22312</v>
      </c>
      <c r="K1871" s="3">
        <f t="shared" si="155"/>
        <v>22339</v>
      </c>
      <c r="L1871" s="3">
        <v>27</v>
      </c>
      <c r="M1871" s="3">
        <f t="shared" si="157"/>
        <v>26.489999999999874</v>
      </c>
      <c r="N1871" s="3">
        <v>3.2</v>
      </c>
    </row>
    <row r="1872" spans="4:14" ht="15" customHeight="1" x14ac:dyDescent="0.25">
      <c r="H1872" s="3" t="s">
        <v>49</v>
      </c>
      <c r="I1872" s="3" t="s">
        <v>34</v>
      </c>
      <c r="J1872" s="3">
        <f t="shared" si="156"/>
        <v>22339</v>
      </c>
      <c r="K1872" s="3">
        <f t="shared" si="155"/>
        <v>22366</v>
      </c>
      <c r="L1872" s="3">
        <v>27</v>
      </c>
      <c r="M1872" s="3">
        <f t="shared" si="157"/>
        <v>23.289999999999875</v>
      </c>
      <c r="N1872" s="3">
        <v>3.2</v>
      </c>
    </row>
    <row r="1873" spans="4:14" ht="15" customHeight="1" x14ac:dyDescent="0.25">
      <c r="D1873" s="13">
        <v>45632</v>
      </c>
      <c r="H1873" s="3" t="s">
        <v>34</v>
      </c>
      <c r="I1873" s="3" t="s">
        <v>85</v>
      </c>
      <c r="J1873" s="3">
        <f t="shared" si="156"/>
        <v>22366</v>
      </c>
      <c r="K1873" s="3">
        <f t="shared" si="155"/>
        <v>22410</v>
      </c>
      <c r="L1873" s="3">
        <v>44</v>
      </c>
      <c r="M1873" s="3">
        <f t="shared" si="157"/>
        <v>18.289999999999875</v>
      </c>
      <c r="N1873" s="3">
        <v>5</v>
      </c>
    </row>
    <row r="1874" spans="4:14" ht="15" customHeight="1" x14ac:dyDescent="0.25">
      <c r="D1874" s="13"/>
      <c r="H1874" s="3" t="s">
        <v>85</v>
      </c>
      <c r="I1874" s="3" t="s">
        <v>34</v>
      </c>
      <c r="J1874" s="3">
        <f t="shared" si="156"/>
        <v>22410</v>
      </c>
      <c r="K1874" s="3">
        <f t="shared" si="155"/>
        <v>22454</v>
      </c>
      <c r="L1874" s="3">
        <v>44</v>
      </c>
      <c r="M1874" s="3">
        <f t="shared" si="157"/>
        <v>13.289999999999875</v>
      </c>
      <c r="N1874" s="3">
        <v>5</v>
      </c>
    </row>
    <row r="1875" spans="4:14" ht="15" customHeight="1" x14ac:dyDescent="0.25">
      <c r="D1875" s="13">
        <v>45635</v>
      </c>
      <c r="H1875" s="3" t="s">
        <v>34</v>
      </c>
      <c r="I1875" s="3" t="s">
        <v>54</v>
      </c>
      <c r="J1875" s="3">
        <f t="shared" si="156"/>
        <v>22454</v>
      </c>
      <c r="K1875" s="3">
        <f t="shared" si="155"/>
        <v>22481</v>
      </c>
      <c r="L1875" s="3">
        <v>27</v>
      </c>
      <c r="M1875" s="3">
        <f t="shared" si="157"/>
        <v>10.089999999999876</v>
      </c>
      <c r="N1875" s="3">
        <v>3.2</v>
      </c>
    </row>
    <row r="1876" spans="4:14" ht="15" customHeight="1" x14ac:dyDescent="0.25">
      <c r="H1876" s="3" t="s">
        <v>54</v>
      </c>
      <c r="I1876" s="3" t="s">
        <v>34</v>
      </c>
      <c r="J1876" s="3">
        <f t="shared" si="156"/>
        <v>22481</v>
      </c>
      <c r="K1876" s="3">
        <f t="shared" si="155"/>
        <v>22508</v>
      </c>
      <c r="L1876" s="3">
        <v>27</v>
      </c>
      <c r="M1876" s="3">
        <f t="shared" si="157"/>
        <v>6.8899999999998753</v>
      </c>
      <c r="N1876" s="3">
        <v>3.2</v>
      </c>
    </row>
    <row r="1877" spans="4:14" ht="15" customHeight="1" x14ac:dyDescent="0.25">
      <c r="D1877" s="13">
        <v>45636</v>
      </c>
      <c r="E1877">
        <v>48.05</v>
      </c>
      <c r="F1877" s="3">
        <v>60.39</v>
      </c>
      <c r="G1877" s="8">
        <f>E1877*F1877</f>
        <v>2901.7394999999997</v>
      </c>
      <c r="H1877" s="3" t="s">
        <v>34</v>
      </c>
      <c r="I1877" s="3" t="s">
        <v>85</v>
      </c>
      <c r="J1877" s="3">
        <f t="shared" si="156"/>
        <v>22508</v>
      </c>
      <c r="K1877" s="3">
        <f t="shared" si="155"/>
        <v>22552</v>
      </c>
      <c r="L1877" s="3">
        <v>44</v>
      </c>
      <c r="M1877" s="3">
        <f t="shared" si="157"/>
        <v>49.93999999999987</v>
      </c>
      <c r="N1877" s="3">
        <v>5</v>
      </c>
    </row>
    <row r="1878" spans="4:14" ht="15" customHeight="1" x14ac:dyDescent="0.25">
      <c r="H1878" s="3" t="s">
        <v>85</v>
      </c>
      <c r="I1878" s="3" t="s">
        <v>34</v>
      </c>
      <c r="J1878" s="3">
        <f t="shared" si="156"/>
        <v>22552</v>
      </c>
      <c r="K1878" s="3">
        <f t="shared" si="155"/>
        <v>22596</v>
      </c>
      <c r="L1878" s="3">
        <v>44</v>
      </c>
      <c r="M1878" s="3">
        <f t="shared" si="157"/>
        <v>44.93999999999987</v>
      </c>
      <c r="N1878" s="3">
        <v>5</v>
      </c>
    </row>
    <row r="1879" spans="4:14" ht="15" customHeight="1" x14ac:dyDescent="0.25">
      <c r="D1879" s="13">
        <v>45637</v>
      </c>
      <c r="H1879" s="3" t="s">
        <v>34</v>
      </c>
      <c r="I1879" s="3" t="s">
        <v>54</v>
      </c>
      <c r="J1879" s="3">
        <f t="shared" si="156"/>
        <v>22596</v>
      </c>
      <c r="K1879" s="3">
        <f t="shared" si="155"/>
        <v>22623</v>
      </c>
      <c r="L1879" s="3">
        <v>27</v>
      </c>
      <c r="M1879" s="3">
        <f t="shared" si="157"/>
        <v>41.739999999999867</v>
      </c>
      <c r="N1879" s="3">
        <v>3.2</v>
      </c>
    </row>
    <row r="1880" spans="4:14" ht="15" customHeight="1" x14ac:dyDescent="0.25">
      <c r="H1880" s="3" t="s">
        <v>54</v>
      </c>
      <c r="I1880" s="3" t="s">
        <v>34</v>
      </c>
      <c r="J1880" s="3">
        <f t="shared" si="156"/>
        <v>22623</v>
      </c>
      <c r="K1880" s="3">
        <f t="shared" si="155"/>
        <v>22650</v>
      </c>
      <c r="L1880" s="3">
        <v>27</v>
      </c>
      <c r="M1880" s="3">
        <f t="shared" si="157"/>
        <v>38.539999999999864</v>
      </c>
      <c r="N1880" s="3">
        <v>3.2</v>
      </c>
    </row>
    <row r="1881" spans="4:14" ht="15" customHeight="1" x14ac:dyDescent="0.25">
      <c r="D1881" s="13">
        <v>45638</v>
      </c>
      <c r="H1881" s="3" t="s">
        <v>34</v>
      </c>
      <c r="I1881" s="3" t="s">
        <v>54</v>
      </c>
      <c r="J1881" s="3">
        <f t="shared" si="156"/>
        <v>22650</v>
      </c>
      <c r="K1881" s="3">
        <f t="shared" si="155"/>
        <v>22677</v>
      </c>
      <c r="L1881" s="3">
        <v>27</v>
      </c>
      <c r="M1881" s="3">
        <f t="shared" si="157"/>
        <v>35.339999999999861</v>
      </c>
      <c r="N1881" s="3">
        <v>3.2</v>
      </c>
    </row>
    <row r="1882" spans="4:14" ht="15" customHeight="1" x14ac:dyDescent="0.25">
      <c r="H1882" s="3" t="s">
        <v>54</v>
      </c>
      <c r="I1882" s="3" t="s">
        <v>34</v>
      </c>
      <c r="J1882" s="3">
        <f t="shared" si="156"/>
        <v>22677</v>
      </c>
      <c r="K1882" s="3">
        <f t="shared" si="155"/>
        <v>22704</v>
      </c>
      <c r="L1882" s="3">
        <v>27</v>
      </c>
      <c r="M1882" s="3">
        <f t="shared" si="157"/>
        <v>32.139999999999858</v>
      </c>
      <c r="N1882" s="3">
        <v>3.2</v>
      </c>
    </row>
    <row r="1883" spans="4:14" ht="15" customHeight="1" x14ac:dyDescent="0.25">
      <c r="D1883" s="13">
        <v>45639</v>
      </c>
      <c r="H1883" s="3" t="s">
        <v>34</v>
      </c>
      <c r="I1883" s="3" t="s">
        <v>85</v>
      </c>
      <c r="J1883" s="3">
        <f t="shared" si="156"/>
        <v>22704</v>
      </c>
      <c r="K1883" s="3">
        <f t="shared" si="155"/>
        <v>22748</v>
      </c>
      <c r="L1883" s="3">
        <v>44</v>
      </c>
      <c r="M1883" s="3">
        <f t="shared" si="157"/>
        <v>27.139999999999858</v>
      </c>
      <c r="N1883" s="3">
        <v>5</v>
      </c>
    </row>
    <row r="1884" spans="4:14" ht="15" customHeight="1" x14ac:dyDescent="0.25">
      <c r="D1884" s="13"/>
      <c r="H1884" s="3" t="s">
        <v>85</v>
      </c>
      <c r="I1884" s="3" t="s">
        <v>34</v>
      </c>
      <c r="J1884" s="3">
        <f t="shared" si="156"/>
        <v>22748</v>
      </c>
      <c r="K1884" s="3">
        <f t="shared" si="155"/>
        <v>22792</v>
      </c>
      <c r="L1884" s="3">
        <v>44</v>
      </c>
      <c r="M1884" s="3">
        <f t="shared" si="157"/>
        <v>22.139999999999858</v>
      </c>
      <c r="N1884" s="3">
        <v>5</v>
      </c>
    </row>
    <row r="1885" spans="4:14" ht="15" customHeight="1" x14ac:dyDescent="0.25">
      <c r="D1885" s="13">
        <v>45642</v>
      </c>
      <c r="H1885" s="3" t="s">
        <v>34</v>
      </c>
      <c r="I1885" s="3" t="s">
        <v>44</v>
      </c>
      <c r="J1885" s="3">
        <f t="shared" si="156"/>
        <v>22792</v>
      </c>
      <c r="K1885" s="3">
        <f t="shared" si="155"/>
        <v>22832</v>
      </c>
      <c r="L1885" s="3">
        <v>40</v>
      </c>
      <c r="M1885" s="3">
        <f t="shared" si="157"/>
        <v>17.339999999999858</v>
      </c>
      <c r="N1885" s="3">
        <v>4.8</v>
      </c>
    </row>
    <row r="1886" spans="4:14" ht="15" customHeight="1" x14ac:dyDescent="0.25">
      <c r="H1886" s="3" t="s">
        <v>44</v>
      </c>
      <c r="I1886" s="3" t="s">
        <v>34</v>
      </c>
      <c r="J1886" s="3">
        <f t="shared" si="156"/>
        <v>22832</v>
      </c>
      <c r="K1886" s="3">
        <f t="shared" si="155"/>
        <v>22872</v>
      </c>
      <c r="L1886" s="3">
        <v>40</v>
      </c>
      <c r="M1886" s="3">
        <f t="shared" si="157"/>
        <v>12.539999999999857</v>
      </c>
      <c r="N1886" s="3">
        <v>4.8</v>
      </c>
    </row>
    <row r="1887" spans="4:14" ht="15" customHeight="1" x14ac:dyDescent="0.25">
      <c r="D1887" s="13">
        <v>45643</v>
      </c>
      <c r="E1887">
        <v>45.04</v>
      </c>
      <c r="F1887" s="3">
        <v>60.25</v>
      </c>
      <c r="G1887" s="8">
        <f>E1887*F1887</f>
        <v>2713.66</v>
      </c>
      <c r="H1887" s="3" t="s">
        <v>34</v>
      </c>
      <c r="I1887" s="3" t="s">
        <v>81</v>
      </c>
      <c r="J1887" s="3">
        <f t="shared" si="156"/>
        <v>22872</v>
      </c>
      <c r="K1887" s="3">
        <f t="shared" si="155"/>
        <v>22896</v>
      </c>
      <c r="L1887" s="3">
        <v>24</v>
      </c>
      <c r="M1887" s="3">
        <f t="shared" si="157"/>
        <v>55.079999999999856</v>
      </c>
      <c r="N1887" s="3">
        <v>2.5</v>
      </c>
    </row>
    <row r="1888" spans="4:14" ht="15" customHeight="1" x14ac:dyDescent="0.25">
      <c r="H1888" s="3" t="s">
        <v>81</v>
      </c>
      <c r="I1888" s="3" t="s">
        <v>34</v>
      </c>
      <c r="J1888" s="3">
        <f t="shared" si="156"/>
        <v>22896</v>
      </c>
      <c r="K1888" s="3">
        <f t="shared" si="155"/>
        <v>22920</v>
      </c>
      <c r="L1888" s="3">
        <v>24</v>
      </c>
      <c r="M1888" s="3">
        <f t="shared" si="157"/>
        <v>52.579999999999856</v>
      </c>
      <c r="N1888" s="3">
        <v>2.5</v>
      </c>
    </row>
    <row r="1889" spans="4:14" ht="15" customHeight="1" x14ac:dyDescent="0.25">
      <c r="D1889" s="13">
        <v>45644</v>
      </c>
      <c r="H1889" s="3" t="s">
        <v>34</v>
      </c>
      <c r="I1889" s="3" t="s">
        <v>54</v>
      </c>
      <c r="J1889" s="3">
        <f t="shared" si="156"/>
        <v>22920</v>
      </c>
      <c r="K1889" s="3">
        <f t="shared" si="155"/>
        <v>22947</v>
      </c>
      <c r="L1889" s="3">
        <v>27</v>
      </c>
      <c r="M1889" s="3">
        <f t="shared" si="157"/>
        <v>49.379999999999853</v>
      </c>
      <c r="N1889" s="3">
        <v>3.2</v>
      </c>
    </row>
    <row r="1890" spans="4:14" ht="15" customHeight="1" x14ac:dyDescent="0.25">
      <c r="H1890" s="3" t="s">
        <v>54</v>
      </c>
      <c r="I1890" s="3" t="s">
        <v>34</v>
      </c>
      <c r="J1890" s="3">
        <f t="shared" si="156"/>
        <v>22947</v>
      </c>
      <c r="K1890" s="3">
        <f t="shared" si="155"/>
        <v>22974</v>
      </c>
      <c r="L1890" s="3">
        <v>27</v>
      </c>
      <c r="M1890" s="3">
        <f t="shared" si="157"/>
        <v>46.179999999999851</v>
      </c>
      <c r="N1890" s="3">
        <v>3.2</v>
      </c>
    </row>
    <row r="1891" spans="4:14" ht="15" customHeight="1" x14ac:dyDescent="0.25">
      <c r="D1891" s="13">
        <v>45645</v>
      </c>
      <c r="H1891" s="3" t="s">
        <v>34</v>
      </c>
      <c r="I1891" s="3" t="s">
        <v>54</v>
      </c>
      <c r="J1891" s="3">
        <f t="shared" si="156"/>
        <v>22974</v>
      </c>
      <c r="K1891" s="3">
        <f t="shared" si="155"/>
        <v>23001</v>
      </c>
      <c r="L1891" s="3">
        <v>27</v>
      </c>
      <c r="M1891" s="3">
        <f t="shared" si="157"/>
        <v>42.979999999999848</v>
      </c>
      <c r="N1891" s="3">
        <v>3.2</v>
      </c>
    </row>
    <row r="1892" spans="4:14" ht="15" customHeight="1" x14ac:dyDescent="0.25">
      <c r="H1892" s="3" t="s">
        <v>54</v>
      </c>
      <c r="I1892" s="3" t="s">
        <v>34</v>
      </c>
      <c r="J1892" s="3">
        <f t="shared" si="156"/>
        <v>23001</v>
      </c>
      <c r="K1892" s="3">
        <f t="shared" si="155"/>
        <v>23028</v>
      </c>
      <c r="L1892" s="3">
        <v>27</v>
      </c>
      <c r="M1892" s="3">
        <f t="shared" si="157"/>
        <v>39.779999999999845</v>
      </c>
      <c r="N1892" s="3">
        <v>3.2</v>
      </c>
    </row>
    <row r="1893" spans="4:14" ht="15" customHeight="1" x14ac:dyDescent="0.25">
      <c r="D1893" s="13">
        <v>45646</v>
      </c>
      <c r="H1893" s="3" t="s">
        <v>34</v>
      </c>
      <c r="I1893" s="3" t="s">
        <v>85</v>
      </c>
      <c r="J1893" s="3">
        <f t="shared" si="156"/>
        <v>23028</v>
      </c>
      <c r="K1893" s="3">
        <f t="shared" si="155"/>
        <v>23072</v>
      </c>
      <c r="L1893" s="3">
        <v>44</v>
      </c>
      <c r="M1893" s="3">
        <f t="shared" si="157"/>
        <v>34.779999999999845</v>
      </c>
      <c r="N1893" s="3">
        <v>5</v>
      </c>
    </row>
    <row r="1894" spans="4:14" ht="15" customHeight="1" x14ac:dyDescent="0.25">
      <c r="D1894" s="13"/>
      <c r="H1894" s="3" t="s">
        <v>85</v>
      </c>
      <c r="I1894" s="3" t="s">
        <v>34</v>
      </c>
      <c r="J1894" s="3">
        <f t="shared" si="156"/>
        <v>23072</v>
      </c>
      <c r="K1894" s="3">
        <f t="shared" si="155"/>
        <v>23116</v>
      </c>
      <c r="L1894" s="3">
        <v>44</v>
      </c>
      <c r="M1894" s="3">
        <f t="shared" si="157"/>
        <v>29.779999999999845</v>
      </c>
      <c r="N1894" s="3">
        <v>5</v>
      </c>
    </row>
    <row r="1895" spans="4:14" ht="15" customHeight="1" x14ac:dyDescent="0.25">
      <c r="D1895" s="13">
        <v>45649</v>
      </c>
      <c r="H1895" s="3" t="s">
        <v>34</v>
      </c>
      <c r="I1895" s="3" t="s">
        <v>85</v>
      </c>
      <c r="J1895" s="3">
        <f t="shared" si="156"/>
        <v>23116</v>
      </c>
      <c r="K1895" s="3">
        <f t="shared" si="155"/>
        <v>23160</v>
      </c>
      <c r="L1895" s="3">
        <v>44</v>
      </c>
      <c r="M1895" s="3">
        <f t="shared" si="157"/>
        <v>24.779999999999845</v>
      </c>
      <c r="N1895" s="3">
        <v>5</v>
      </c>
    </row>
    <row r="1896" spans="4:14" ht="15" customHeight="1" x14ac:dyDescent="0.25">
      <c r="H1896" s="3" t="s">
        <v>85</v>
      </c>
      <c r="I1896" s="3" t="s">
        <v>34</v>
      </c>
      <c r="J1896" s="3">
        <f t="shared" si="156"/>
        <v>23160</v>
      </c>
      <c r="K1896" s="3">
        <f t="shared" si="155"/>
        <v>23204</v>
      </c>
      <c r="L1896" s="3">
        <v>44</v>
      </c>
      <c r="M1896" s="3">
        <f t="shared" si="157"/>
        <v>19.779999999999845</v>
      </c>
      <c r="N1896" s="3">
        <v>5</v>
      </c>
    </row>
    <row r="1897" spans="4:14" ht="15" customHeight="1" x14ac:dyDescent="0.25">
      <c r="D1897" s="13">
        <v>45650</v>
      </c>
      <c r="E1897">
        <v>48.17</v>
      </c>
      <c r="F1897" s="3">
        <v>60.46</v>
      </c>
      <c r="G1897" s="8">
        <f>E1897*F1897</f>
        <v>2912.3582000000001</v>
      </c>
      <c r="H1897" s="3" t="s">
        <v>34</v>
      </c>
      <c r="I1897" s="3" t="s">
        <v>85</v>
      </c>
      <c r="J1897" s="3">
        <f t="shared" si="156"/>
        <v>23204</v>
      </c>
      <c r="K1897" s="3">
        <f t="shared" si="155"/>
        <v>23248</v>
      </c>
      <c r="L1897" s="3">
        <v>44</v>
      </c>
      <c r="M1897" s="3">
        <f t="shared" si="157"/>
        <v>62.949999999999847</v>
      </c>
      <c r="N1897" s="3">
        <v>5</v>
      </c>
    </row>
    <row r="1898" spans="4:14" ht="15" customHeight="1" x14ac:dyDescent="0.25">
      <c r="H1898" s="3" t="s">
        <v>85</v>
      </c>
      <c r="I1898" s="3" t="s">
        <v>34</v>
      </c>
      <c r="J1898" s="3">
        <f t="shared" si="156"/>
        <v>23248</v>
      </c>
      <c r="K1898" s="3">
        <f t="shared" si="155"/>
        <v>23292</v>
      </c>
      <c r="L1898" s="3">
        <v>44</v>
      </c>
      <c r="M1898" s="3">
        <f t="shared" si="157"/>
        <v>57.949999999999847</v>
      </c>
      <c r="N1898" s="3">
        <v>5</v>
      </c>
    </row>
    <row r="1899" spans="4:14" ht="15" customHeight="1" x14ac:dyDescent="0.25">
      <c r="D1899" s="13">
        <v>45651</v>
      </c>
      <c r="H1899" s="3" t="s">
        <v>34</v>
      </c>
      <c r="I1899" s="3" t="s">
        <v>54</v>
      </c>
      <c r="J1899" s="3">
        <f t="shared" si="156"/>
        <v>23292</v>
      </c>
      <c r="K1899" s="3">
        <f t="shared" si="155"/>
        <v>23319</v>
      </c>
      <c r="L1899" s="3">
        <v>27</v>
      </c>
      <c r="M1899" s="3">
        <f t="shared" si="157"/>
        <v>54.749999999999844</v>
      </c>
      <c r="N1899" s="3">
        <v>3.2</v>
      </c>
    </row>
    <row r="1900" spans="4:14" ht="15" customHeight="1" x14ac:dyDescent="0.25">
      <c r="H1900" s="3" t="s">
        <v>54</v>
      </c>
      <c r="I1900" s="3" t="s">
        <v>34</v>
      </c>
      <c r="J1900" s="3">
        <f t="shared" si="156"/>
        <v>23319</v>
      </c>
      <c r="K1900" s="3">
        <f t="shared" si="155"/>
        <v>23346</v>
      </c>
      <c r="L1900" s="3">
        <v>27</v>
      </c>
      <c r="M1900" s="3">
        <f t="shared" si="157"/>
        <v>51.549999999999841</v>
      </c>
      <c r="N1900" s="3">
        <v>3.2</v>
      </c>
    </row>
    <row r="1901" spans="4:14" ht="15" customHeight="1" x14ac:dyDescent="0.25">
      <c r="H1901" s="3" t="s">
        <v>34</v>
      </c>
      <c r="I1901" s="3" t="s">
        <v>35</v>
      </c>
      <c r="J1901" s="3">
        <f t="shared" si="156"/>
        <v>23346</v>
      </c>
      <c r="K1901" s="3">
        <f t="shared" si="155"/>
        <v>23358</v>
      </c>
      <c r="L1901" s="3">
        <v>12</v>
      </c>
      <c r="M1901" s="3">
        <f t="shared" si="157"/>
        <v>50.299999999999841</v>
      </c>
      <c r="N1901" s="3">
        <v>1.25</v>
      </c>
    </row>
    <row r="1902" spans="4:14" ht="15" customHeight="1" x14ac:dyDescent="0.25">
      <c r="H1902" s="3" t="s">
        <v>35</v>
      </c>
      <c r="I1902" s="3" t="s">
        <v>34</v>
      </c>
      <c r="J1902" s="3">
        <f t="shared" si="156"/>
        <v>23358</v>
      </c>
      <c r="K1902" s="3">
        <f t="shared" si="155"/>
        <v>23370</v>
      </c>
      <c r="L1902" s="3">
        <v>12</v>
      </c>
      <c r="M1902" s="3">
        <f t="shared" si="157"/>
        <v>49.049999999999841</v>
      </c>
      <c r="N1902" s="3">
        <v>1.25</v>
      </c>
    </row>
    <row r="1903" spans="4:14" ht="15" customHeight="1" x14ac:dyDescent="0.25">
      <c r="D1903" s="13">
        <v>45652</v>
      </c>
      <c r="H1903" s="3" t="s">
        <v>34</v>
      </c>
      <c r="I1903" s="3" t="s">
        <v>49</v>
      </c>
      <c r="J1903" s="3">
        <f t="shared" si="156"/>
        <v>23370</v>
      </c>
      <c r="K1903" s="3">
        <f t="shared" si="155"/>
        <v>23397</v>
      </c>
      <c r="L1903" s="3">
        <v>27</v>
      </c>
      <c r="M1903" s="3">
        <f t="shared" si="157"/>
        <v>45.849999999999838</v>
      </c>
      <c r="N1903" s="3">
        <v>3.2</v>
      </c>
    </row>
    <row r="1904" spans="4:14" ht="15" customHeight="1" x14ac:dyDescent="0.25">
      <c r="H1904" s="3" t="s">
        <v>49</v>
      </c>
      <c r="I1904" s="3" t="s">
        <v>34</v>
      </c>
      <c r="J1904" s="3">
        <f t="shared" si="156"/>
        <v>23397</v>
      </c>
      <c r="K1904" s="3">
        <f t="shared" si="155"/>
        <v>23424</v>
      </c>
      <c r="L1904" s="3">
        <v>27</v>
      </c>
      <c r="M1904" s="3">
        <f t="shared" si="157"/>
        <v>42.649999999999835</v>
      </c>
      <c r="N1904" s="3">
        <v>3.2</v>
      </c>
    </row>
    <row r="1905" spans="4:14" ht="15" customHeight="1" x14ac:dyDescent="0.25">
      <c r="H1905" s="3" t="s">
        <v>34</v>
      </c>
      <c r="I1905" s="3" t="s">
        <v>54</v>
      </c>
      <c r="J1905" s="3">
        <f t="shared" si="156"/>
        <v>23424</v>
      </c>
      <c r="K1905" s="3">
        <f t="shared" si="155"/>
        <v>23451</v>
      </c>
      <c r="L1905" s="3">
        <v>27</v>
      </c>
      <c r="M1905" s="3">
        <f t="shared" si="157"/>
        <v>39.449999999999832</v>
      </c>
      <c r="N1905" s="3">
        <v>3.2</v>
      </c>
    </row>
    <row r="1906" spans="4:14" ht="15" customHeight="1" x14ac:dyDescent="0.25">
      <c r="H1906" s="3" t="s">
        <v>54</v>
      </c>
      <c r="I1906" s="3" t="s">
        <v>34</v>
      </c>
      <c r="J1906" s="3">
        <f t="shared" si="156"/>
        <v>23451</v>
      </c>
      <c r="K1906" s="3">
        <f t="shared" si="155"/>
        <v>23478</v>
      </c>
      <c r="L1906" s="3">
        <v>27</v>
      </c>
      <c r="M1906" s="3">
        <f t="shared" si="157"/>
        <v>36.249999999999829</v>
      </c>
      <c r="N1906" s="3">
        <v>3.2</v>
      </c>
    </row>
    <row r="1907" spans="4:14" ht="15" customHeight="1" x14ac:dyDescent="0.25">
      <c r="D1907" s="13">
        <v>45653</v>
      </c>
      <c r="H1907" s="3" t="s">
        <v>34</v>
      </c>
      <c r="I1907" s="3" t="s">
        <v>85</v>
      </c>
      <c r="J1907" s="3">
        <f t="shared" si="156"/>
        <v>23478</v>
      </c>
      <c r="K1907" s="3">
        <f t="shared" si="155"/>
        <v>23522</v>
      </c>
      <c r="L1907" s="3">
        <v>44</v>
      </c>
      <c r="M1907" s="3">
        <f t="shared" si="157"/>
        <v>31.249999999999829</v>
      </c>
      <c r="N1907" s="3">
        <v>5</v>
      </c>
    </row>
    <row r="1908" spans="4:14" ht="15" customHeight="1" x14ac:dyDescent="0.25">
      <c r="H1908" s="3" t="s">
        <v>85</v>
      </c>
      <c r="I1908" s="3" t="s">
        <v>34</v>
      </c>
      <c r="J1908" s="3">
        <f t="shared" si="156"/>
        <v>23522</v>
      </c>
      <c r="K1908" s="3">
        <f t="shared" si="155"/>
        <v>23566</v>
      </c>
      <c r="L1908" s="3">
        <v>44</v>
      </c>
      <c r="M1908" s="3">
        <f t="shared" si="157"/>
        <v>26.249999999999829</v>
      </c>
      <c r="N1908" s="3">
        <v>5</v>
      </c>
    </row>
    <row r="1909" spans="4:14" ht="15" customHeight="1" x14ac:dyDescent="0.25">
      <c r="D1909" s="13">
        <v>45654</v>
      </c>
      <c r="H1909" s="3" t="s">
        <v>34</v>
      </c>
      <c r="I1909" s="3" t="s">
        <v>85</v>
      </c>
      <c r="J1909" s="3">
        <f t="shared" si="156"/>
        <v>23566</v>
      </c>
      <c r="K1909" s="3">
        <f t="shared" si="155"/>
        <v>23610</v>
      </c>
      <c r="L1909" s="3">
        <v>44</v>
      </c>
      <c r="M1909" s="3">
        <f t="shared" si="157"/>
        <v>21.249999999999829</v>
      </c>
      <c r="N1909" s="3">
        <v>5</v>
      </c>
    </row>
    <row r="1910" spans="4:14" ht="15" customHeight="1" x14ac:dyDescent="0.25">
      <c r="H1910" s="3" t="s">
        <v>85</v>
      </c>
      <c r="I1910" s="3" t="s">
        <v>34</v>
      </c>
      <c r="J1910" s="3">
        <f t="shared" si="156"/>
        <v>23610</v>
      </c>
      <c r="K1910" s="3">
        <f t="shared" si="155"/>
        <v>23654</v>
      </c>
      <c r="L1910" s="3">
        <v>44</v>
      </c>
      <c r="M1910" s="3">
        <f t="shared" si="157"/>
        <v>16.249999999999829</v>
      </c>
      <c r="N1910" s="3">
        <v>5</v>
      </c>
    </row>
    <row r="1912" spans="4:14" ht="15" customHeight="1" x14ac:dyDescent="0.25">
      <c r="D1912" s="2" t="s">
        <v>89</v>
      </c>
      <c r="E1912" s="2"/>
      <c r="F1912" s="2"/>
      <c r="G1912" s="2"/>
    </row>
    <row r="1914" spans="4:14" ht="15" customHeight="1" x14ac:dyDescent="0.25">
      <c r="D1914" s="13">
        <v>45666</v>
      </c>
      <c r="H1914" s="3" t="s">
        <v>34</v>
      </c>
      <c r="I1914" s="3" t="s">
        <v>54</v>
      </c>
      <c r="J1914" s="3">
        <f>K1910</f>
        <v>23654</v>
      </c>
      <c r="K1914" s="3">
        <f>J1914+L1914</f>
        <v>23681</v>
      </c>
      <c r="L1914" s="3">
        <v>27</v>
      </c>
      <c r="M1914" s="3">
        <f>(E1914+M1910)-N1914</f>
        <v>13.04999999999983</v>
      </c>
      <c r="N1914" s="3">
        <v>3.2</v>
      </c>
    </row>
    <row r="1915" spans="4:14" ht="15" customHeight="1" x14ac:dyDescent="0.25">
      <c r="H1915" s="3" t="s">
        <v>54</v>
      </c>
      <c r="I1915" s="3" t="s">
        <v>34</v>
      </c>
      <c r="J1915" s="3">
        <f>K1914</f>
        <v>23681</v>
      </c>
      <c r="K1915" s="3">
        <f>J1915+L1915</f>
        <v>23708</v>
      </c>
      <c r="L1915" s="3">
        <v>27</v>
      </c>
      <c r="M1915" s="3">
        <f>(E1915+M1914)-N1915</f>
        <v>9.8499999999998309</v>
      </c>
      <c r="N1915" s="3">
        <v>3.2</v>
      </c>
    </row>
    <row r="1916" spans="4:14" ht="15" customHeight="1" x14ac:dyDescent="0.25">
      <c r="D1916" s="13">
        <v>45667</v>
      </c>
      <c r="H1916" s="3" t="s">
        <v>34</v>
      </c>
      <c r="I1916" s="3" t="s">
        <v>54</v>
      </c>
      <c r="J1916" s="3">
        <f>K1915</f>
        <v>23708</v>
      </c>
      <c r="K1916" s="3">
        <f>J1916+L1916</f>
        <v>23735</v>
      </c>
      <c r="L1916" s="3">
        <v>27</v>
      </c>
      <c r="M1916" s="3">
        <f>(E1916+M1915)-N1916</f>
        <v>6.6499999999998307</v>
      </c>
      <c r="N1916" s="3">
        <v>3.2</v>
      </c>
    </row>
    <row r="1917" spans="4:14" ht="15" customHeight="1" x14ac:dyDescent="0.25">
      <c r="H1917" s="3" t="s">
        <v>54</v>
      </c>
      <c r="I1917" s="3" t="s">
        <v>34</v>
      </c>
      <c r="J1917" s="3">
        <f>K1916</f>
        <v>23735</v>
      </c>
      <c r="K1917" s="3">
        <f>J1917+L1917</f>
        <v>23762</v>
      </c>
      <c r="L1917" s="3">
        <v>27</v>
      </c>
      <c r="M1917" s="3">
        <f>(E1917+M1916)-N1917</f>
        <v>3.4499999999998305</v>
      </c>
      <c r="N1917" s="3">
        <v>3.2</v>
      </c>
    </row>
    <row r="1918" spans="4:14" ht="15" customHeight="1" x14ac:dyDescent="0.25">
      <c r="D1918" s="13">
        <v>45670</v>
      </c>
      <c r="E1918" t="s">
        <v>50</v>
      </c>
    </row>
    <row r="1919" spans="4:14" ht="15" customHeight="1" x14ac:dyDescent="0.25">
      <c r="D1919" s="13">
        <v>45671</v>
      </c>
      <c r="E1919" t="s">
        <v>50</v>
      </c>
    </row>
    <row r="1920" spans="4:14" ht="15" customHeight="1" x14ac:dyDescent="0.25">
      <c r="D1920" s="13">
        <v>45672</v>
      </c>
      <c r="E1920" t="s">
        <v>50</v>
      </c>
    </row>
    <row r="1921" spans="4:14" ht="15" customHeight="1" x14ac:dyDescent="0.25">
      <c r="D1921" s="13">
        <v>45673</v>
      </c>
      <c r="E1921" t="s">
        <v>50</v>
      </c>
    </row>
    <row r="1922" spans="4:14" ht="15" customHeight="1" x14ac:dyDescent="0.25">
      <c r="D1922" s="13">
        <v>45674</v>
      </c>
      <c r="E1922" t="s">
        <v>50</v>
      </c>
    </row>
    <row r="1923" spans="4:14" ht="15" customHeight="1" x14ac:dyDescent="0.25">
      <c r="D1923" s="13">
        <v>45677</v>
      </c>
      <c r="E1923" t="s">
        <v>50</v>
      </c>
    </row>
    <row r="1924" spans="4:14" ht="15" customHeight="1" x14ac:dyDescent="0.25">
      <c r="D1924" s="13">
        <v>45678</v>
      </c>
      <c r="E1924" t="s">
        <v>50</v>
      </c>
    </row>
    <row r="1925" spans="4:14" ht="15" customHeight="1" x14ac:dyDescent="0.25">
      <c r="D1925" s="13">
        <v>45679</v>
      </c>
      <c r="E1925" t="s">
        <v>50</v>
      </c>
    </row>
    <row r="1926" spans="4:14" ht="15" customHeight="1" x14ac:dyDescent="0.25">
      <c r="D1926" s="13">
        <v>45680</v>
      </c>
      <c r="E1926" t="s">
        <v>50</v>
      </c>
    </row>
    <row r="1927" spans="4:14" ht="15" customHeight="1" x14ac:dyDescent="0.25">
      <c r="D1927" s="13">
        <v>45681</v>
      </c>
      <c r="E1927" t="s">
        <v>50</v>
      </c>
    </row>
    <row r="1928" spans="4:14" ht="15" customHeight="1" x14ac:dyDescent="0.25">
      <c r="D1928" s="13">
        <v>45684</v>
      </c>
      <c r="E1928" t="s">
        <v>50</v>
      </c>
    </row>
    <row r="1929" spans="4:14" ht="15" customHeight="1" x14ac:dyDescent="0.25">
      <c r="D1929" s="13">
        <v>45685</v>
      </c>
      <c r="H1929" s="3" t="s">
        <v>34</v>
      </c>
      <c r="I1929" s="3" t="s">
        <v>35</v>
      </c>
      <c r="J1929" s="3">
        <f>K1917</f>
        <v>23762</v>
      </c>
      <c r="K1929" s="3">
        <f t="shared" ref="K1929:K1936" si="158">J1929+L1929</f>
        <v>23774</v>
      </c>
      <c r="L1929" s="3">
        <v>12</v>
      </c>
      <c r="M1929" s="3">
        <f>(E1929+M1917)-N1929</f>
        <v>2.1999999999998305</v>
      </c>
      <c r="N1929" s="3">
        <v>1.25</v>
      </c>
    </row>
    <row r="1930" spans="4:14" ht="15" customHeight="1" x14ac:dyDescent="0.25">
      <c r="D1930" s="13"/>
      <c r="H1930" s="3" t="s">
        <v>35</v>
      </c>
      <c r="I1930" s="3" t="s">
        <v>34</v>
      </c>
      <c r="J1930" s="3">
        <f t="shared" ref="J1930:J1936" si="159">K1929</f>
        <v>23774</v>
      </c>
      <c r="K1930" s="3">
        <f t="shared" si="158"/>
        <v>23786</v>
      </c>
      <c r="L1930" s="3">
        <v>12</v>
      </c>
      <c r="M1930" s="3">
        <f t="shared" ref="M1930:M1936" si="160">(E1930+M1929)-N1930</f>
        <v>0.94999999999983054</v>
      </c>
      <c r="N1930" s="3">
        <v>1.25</v>
      </c>
    </row>
    <row r="1931" spans="4:14" ht="15" customHeight="1" x14ac:dyDescent="0.25">
      <c r="D1931" s="13">
        <v>45686</v>
      </c>
      <c r="E1931">
        <v>41.29</v>
      </c>
      <c r="F1931" s="3">
        <v>61.44</v>
      </c>
      <c r="G1931" s="8">
        <f>E1931*F1931</f>
        <v>2536.8575999999998</v>
      </c>
      <c r="H1931" s="3" t="s">
        <v>34</v>
      </c>
      <c r="I1931" s="3" t="s">
        <v>54</v>
      </c>
      <c r="J1931" s="3">
        <f t="shared" si="159"/>
        <v>23786</v>
      </c>
      <c r="K1931" s="3">
        <f t="shared" si="158"/>
        <v>23813</v>
      </c>
      <c r="L1931" s="3">
        <v>27</v>
      </c>
      <c r="M1931" s="3">
        <f t="shared" si="160"/>
        <v>39.039999999999829</v>
      </c>
      <c r="N1931" s="3">
        <v>3.2</v>
      </c>
    </row>
    <row r="1932" spans="4:14" ht="15" customHeight="1" x14ac:dyDescent="0.25">
      <c r="D1932" s="13"/>
      <c r="H1932" s="3" t="s">
        <v>54</v>
      </c>
      <c r="I1932" s="3" t="s">
        <v>34</v>
      </c>
      <c r="J1932" s="3">
        <f t="shared" si="159"/>
        <v>23813</v>
      </c>
      <c r="K1932" s="3">
        <f t="shared" si="158"/>
        <v>23840</v>
      </c>
      <c r="L1932" s="3">
        <v>27</v>
      </c>
      <c r="M1932" s="3">
        <f t="shared" si="160"/>
        <v>35.839999999999826</v>
      </c>
      <c r="N1932" s="3">
        <v>3.2</v>
      </c>
    </row>
    <row r="1933" spans="4:14" ht="15" customHeight="1" x14ac:dyDescent="0.25">
      <c r="D1933" s="13">
        <v>45687</v>
      </c>
      <c r="H1933" s="3" t="s">
        <v>34</v>
      </c>
      <c r="I1933" s="3" t="s">
        <v>85</v>
      </c>
      <c r="J1933" s="3">
        <f t="shared" si="159"/>
        <v>23840</v>
      </c>
      <c r="K1933" s="3">
        <f t="shared" si="158"/>
        <v>23884</v>
      </c>
      <c r="L1933" s="3">
        <v>44</v>
      </c>
      <c r="M1933" s="3">
        <f t="shared" si="160"/>
        <v>30.839999999999826</v>
      </c>
      <c r="N1933" s="3">
        <v>5</v>
      </c>
    </row>
    <row r="1934" spans="4:14" ht="15" customHeight="1" x14ac:dyDescent="0.25">
      <c r="D1934" s="13"/>
      <c r="H1934" s="3" t="s">
        <v>85</v>
      </c>
      <c r="I1934" s="3" t="s">
        <v>34</v>
      </c>
      <c r="J1934" s="3">
        <f t="shared" si="159"/>
        <v>23884</v>
      </c>
      <c r="K1934" s="3">
        <f t="shared" si="158"/>
        <v>23928</v>
      </c>
      <c r="L1934" s="3">
        <v>44</v>
      </c>
      <c r="M1934" s="3">
        <f t="shared" si="160"/>
        <v>25.839999999999826</v>
      </c>
      <c r="N1934" s="3">
        <v>5</v>
      </c>
    </row>
    <row r="1935" spans="4:14" ht="15" customHeight="1" x14ac:dyDescent="0.25">
      <c r="D1935" s="13">
        <v>45688</v>
      </c>
      <c r="H1935" s="3" t="s">
        <v>34</v>
      </c>
      <c r="I1935" s="3" t="s">
        <v>49</v>
      </c>
      <c r="J1935" s="3">
        <f t="shared" si="159"/>
        <v>23928</v>
      </c>
      <c r="K1935" s="3">
        <f t="shared" si="158"/>
        <v>23955</v>
      </c>
      <c r="L1935" s="3">
        <v>27</v>
      </c>
      <c r="M1935" s="3">
        <f t="shared" si="160"/>
        <v>22.639999999999826</v>
      </c>
      <c r="N1935" s="3">
        <v>3.2</v>
      </c>
    </row>
    <row r="1936" spans="4:14" ht="15" customHeight="1" x14ac:dyDescent="0.25">
      <c r="H1936" s="3" t="s">
        <v>49</v>
      </c>
      <c r="I1936" s="3" t="s">
        <v>34</v>
      </c>
      <c r="J1936" s="3">
        <f t="shared" si="159"/>
        <v>23955</v>
      </c>
      <c r="K1936" s="3">
        <f t="shared" si="158"/>
        <v>23982</v>
      </c>
      <c r="L1936" s="3">
        <v>27</v>
      </c>
      <c r="M1936" s="3">
        <f t="shared" si="160"/>
        <v>19.439999999999827</v>
      </c>
      <c r="N1936" s="3">
        <v>3.2</v>
      </c>
    </row>
    <row r="1938" spans="4:14" ht="15" customHeight="1" x14ac:dyDescent="0.25">
      <c r="D1938" s="2" t="s">
        <v>90</v>
      </c>
      <c r="E1938" s="2"/>
      <c r="F1938" s="2"/>
      <c r="G1938" s="2"/>
    </row>
    <row r="1940" spans="4:14" ht="15" customHeight="1" x14ac:dyDescent="0.25">
      <c r="D1940" s="13">
        <v>45691</v>
      </c>
      <c r="H1940" s="3" t="s">
        <v>34</v>
      </c>
      <c r="I1940" s="3" t="s">
        <v>49</v>
      </c>
      <c r="J1940" s="3">
        <f>K1936</f>
        <v>23982</v>
      </c>
      <c r="K1940" s="3">
        <f t="shared" ref="K1940:K1979" si="161">J1940+L1940</f>
        <v>24009</v>
      </c>
      <c r="L1940" s="3">
        <v>27</v>
      </c>
      <c r="M1940" s="3">
        <f>(E1940+M1936)-N1940</f>
        <v>16.239999999999828</v>
      </c>
      <c r="N1940" s="3">
        <v>3.2</v>
      </c>
    </row>
    <row r="1941" spans="4:14" ht="15" customHeight="1" x14ac:dyDescent="0.25">
      <c r="D1941" s="13"/>
      <c r="H1941" s="3" t="s">
        <v>49</v>
      </c>
      <c r="I1941" s="3" t="s">
        <v>34</v>
      </c>
      <c r="J1941" s="3">
        <f t="shared" ref="J1941:J1979" si="162">K1940</f>
        <v>24009</v>
      </c>
      <c r="K1941" s="3">
        <f t="shared" si="161"/>
        <v>24036</v>
      </c>
      <c r="L1941" s="3">
        <v>27</v>
      </c>
      <c r="M1941" s="3">
        <f t="shared" ref="M1941:M1979" si="163">(E1941+M1940)-N1941</f>
        <v>13.039999999999829</v>
      </c>
      <c r="N1941" s="3">
        <v>3.2</v>
      </c>
    </row>
    <row r="1942" spans="4:14" ht="15" customHeight="1" x14ac:dyDescent="0.25">
      <c r="D1942" s="13">
        <v>45692</v>
      </c>
      <c r="H1942" s="3" t="s">
        <v>34</v>
      </c>
      <c r="I1942" s="3" t="s">
        <v>35</v>
      </c>
      <c r="J1942" s="3">
        <f t="shared" si="162"/>
        <v>24036</v>
      </c>
      <c r="K1942" s="3">
        <f t="shared" si="161"/>
        <v>24048</v>
      </c>
      <c r="L1942" s="3">
        <v>12</v>
      </c>
      <c r="M1942" s="3">
        <f t="shared" si="163"/>
        <v>11.789999999999829</v>
      </c>
      <c r="N1942" s="3">
        <v>1.25</v>
      </c>
    </row>
    <row r="1943" spans="4:14" ht="15" customHeight="1" x14ac:dyDescent="0.25">
      <c r="D1943" s="13"/>
      <c r="H1943" s="3" t="s">
        <v>35</v>
      </c>
      <c r="I1943" s="3" t="s">
        <v>34</v>
      </c>
      <c r="J1943" s="3">
        <f t="shared" si="162"/>
        <v>24048</v>
      </c>
      <c r="K1943" s="3">
        <f t="shared" si="161"/>
        <v>24060</v>
      </c>
      <c r="L1943" s="3">
        <v>12</v>
      </c>
      <c r="M1943" s="3">
        <f t="shared" si="163"/>
        <v>10.539999999999829</v>
      </c>
      <c r="N1943" s="3">
        <v>1.25</v>
      </c>
    </row>
    <row r="1944" spans="4:14" ht="15" customHeight="1" x14ac:dyDescent="0.25">
      <c r="D1944" s="13">
        <v>45693</v>
      </c>
      <c r="H1944" s="3" t="s">
        <v>34</v>
      </c>
      <c r="I1944" s="3" t="s">
        <v>54</v>
      </c>
      <c r="J1944" s="3">
        <f t="shared" si="162"/>
        <v>24060</v>
      </c>
      <c r="K1944" s="3">
        <f t="shared" si="161"/>
        <v>24087</v>
      </c>
      <c r="L1944" s="3">
        <v>27</v>
      </c>
      <c r="M1944" s="3">
        <f t="shared" si="163"/>
        <v>7.3399999999998284</v>
      </c>
      <c r="N1944" s="3">
        <v>3.2</v>
      </c>
    </row>
    <row r="1945" spans="4:14" ht="15" customHeight="1" x14ac:dyDescent="0.25">
      <c r="D1945" s="13"/>
      <c r="H1945" s="3" t="s">
        <v>54</v>
      </c>
      <c r="I1945" s="3" t="s">
        <v>34</v>
      </c>
      <c r="J1945" s="3">
        <f t="shared" si="162"/>
        <v>24087</v>
      </c>
      <c r="K1945" s="3">
        <f t="shared" si="161"/>
        <v>24114</v>
      </c>
      <c r="L1945" s="3">
        <v>27</v>
      </c>
      <c r="M1945" s="3">
        <f t="shared" si="163"/>
        <v>4.1399999999998283</v>
      </c>
      <c r="N1945" s="3">
        <v>3.2</v>
      </c>
    </row>
    <row r="1946" spans="4:14" ht="15" customHeight="1" x14ac:dyDescent="0.25">
      <c r="D1946" s="13">
        <v>45694</v>
      </c>
      <c r="E1946">
        <v>42.24</v>
      </c>
      <c r="F1946" s="3">
        <v>61.44</v>
      </c>
      <c r="G1946" s="8">
        <f>E1946*F1946</f>
        <v>2595.2256000000002</v>
      </c>
      <c r="H1946" s="3" t="s">
        <v>34</v>
      </c>
      <c r="I1946" s="3" t="s">
        <v>85</v>
      </c>
      <c r="J1946" s="3">
        <f t="shared" si="162"/>
        <v>24114</v>
      </c>
      <c r="K1946" s="3">
        <f t="shared" si="161"/>
        <v>24158</v>
      </c>
      <c r="L1946" s="3">
        <v>44</v>
      </c>
      <c r="M1946" s="3">
        <f t="shared" si="163"/>
        <v>41.379999999999832</v>
      </c>
      <c r="N1946" s="3">
        <v>5</v>
      </c>
    </row>
    <row r="1947" spans="4:14" ht="15" customHeight="1" x14ac:dyDescent="0.25">
      <c r="D1947" s="13"/>
      <c r="H1947" s="3" t="s">
        <v>85</v>
      </c>
      <c r="I1947" s="3" t="s">
        <v>34</v>
      </c>
      <c r="J1947" s="3">
        <f t="shared" si="162"/>
        <v>24158</v>
      </c>
      <c r="K1947" s="3">
        <f t="shared" si="161"/>
        <v>24202</v>
      </c>
      <c r="L1947" s="3">
        <v>44</v>
      </c>
      <c r="M1947" s="3">
        <f t="shared" si="163"/>
        <v>36.379999999999832</v>
      </c>
      <c r="N1947" s="3">
        <v>5</v>
      </c>
    </row>
    <row r="1948" spans="4:14" ht="15" customHeight="1" x14ac:dyDescent="0.25">
      <c r="D1948" s="13">
        <v>45695</v>
      </c>
      <c r="H1948" s="3" t="s">
        <v>34</v>
      </c>
      <c r="I1948" s="3" t="s">
        <v>54</v>
      </c>
      <c r="J1948" s="3">
        <f t="shared" si="162"/>
        <v>24202</v>
      </c>
      <c r="K1948" s="3">
        <f t="shared" si="161"/>
        <v>24229</v>
      </c>
      <c r="L1948" s="3">
        <v>27</v>
      </c>
      <c r="M1948" s="3">
        <f t="shared" si="163"/>
        <v>33.179999999999829</v>
      </c>
      <c r="N1948" s="3">
        <v>3.2</v>
      </c>
    </row>
    <row r="1949" spans="4:14" ht="15" customHeight="1" x14ac:dyDescent="0.25">
      <c r="D1949" s="13"/>
      <c r="H1949" s="3" t="s">
        <v>54</v>
      </c>
      <c r="I1949" s="3" t="s">
        <v>34</v>
      </c>
      <c r="J1949" s="3">
        <f t="shared" si="162"/>
        <v>24229</v>
      </c>
      <c r="K1949" s="3">
        <f t="shared" si="161"/>
        <v>24256</v>
      </c>
      <c r="L1949" s="3">
        <v>27</v>
      </c>
      <c r="M1949" s="3">
        <f t="shared" si="163"/>
        <v>29.97999999999983</v>
      </c>
      <c r="N1949" s="3">
        <v>3.2</v>
      </c>
    </row>
    <row r="1950" spans="4:14" ht="15" customHeight="1" x14ac:dyDescent="0.25">
      <c r="D1950" s="13">
        <v>45698</v>
      </c>
      <c r="H1950" s="3" t="s">
        <v>34</v>
      </c>
      <c r="I1950" s="3" t="s">
        <v>44</v>
      </c>
      <c r="J1950" s="3">
        <f t="shared" si="162"/>
        <v>24256</v>
      </c>
      <c r="K1950" s="3">
        <f t="shared" si="161"/>
        <v>24296</v>
      </c>
      <c r="L1950" s="3">
        <v>40</v>
      </c>
      <c r="M1950" s="3">
        <f t="shared" si="163"/>
        <v>25.179999999999829</v>
      </c>
      <c r="N1950" s="3">
        <v>4.8</v>
      </c>
    </row>
    <row r="1951" spans="4:14" ht="15" customHeight="1" x14ac:dyDescent="0.25">
      <c r="D1951" s="13"/>
      <c r="H1951" s="3" t="s">
        <v>44</v>
      </c>
      <c r="I1951" s="3" t="s">
        <v>34</v>
      </c>
      <c r="J1951" s="3">
        <f t="shared" si="162"/>
        <v>24296</v>
      </c>
      <c r="K1951" s="3">
        <f t="shared" si="161"/>
        <v>24336</v>
      </c>
      <c r="L1951" s="3">
        <v>40</v>
      </c>
      <c r="M1951" s="3">
        <f t="shared" si="163"/>
        <v>20.379999999999828</v>
      </c>
      <c r="N1951" s="3">
        <v>4.8</v>
      </c>
    </row>
    <row r="1952" spans="4:14" ht="15" customHeight="1" x14ac:dyDescent="0.25">
      <c r="D1952" s="13">
        <v>45699</v>
      </c>
      <c r="H1952" s="3" t="s">
        <v>34</v>
      </c>
      <c r="I1952" s="3" t="s">
        <v>49</v>
      </c>
      <c r="J1952" s="3">
        <f t="shared" si="162"/>
        <v>24336</v>
      </c>
      <c r="K1952" s="3">
        <f t="shared" si="161"/>
        <v>24363</v>
      </c>
      <c r="L1952" s="3">
        <v>27</v>
      </c>
      <c r="M1952" s="3">
        <f t="shared" si="163"/>
        <v>17.179999999999829</v>
      </c>
      <c r="N1952" s="3">
        <v>3.2</v>
      </c>
    </row>
    <row r="1953" spans="4:14" ht="15" customHeight="1" x14ac:dyDescent="0.25">
      <c r="D1953" s="13"/>
      <c r="H1953" s="3" t="s">
        <v>49</v>
      </c>
      <c r="I1953" s="3" t="s">
        <v>34</v>
      </c>
      <c r="J1953" s="3">
        <f t="shared" si="162"/>
        <v>24363</v>
      </c>
      <c r="K1953" s="3">
        <f t="shared" si="161"/>
        <v>24390</v>
      </c>
      <c r="L1953" s="3">
        <v>27</v>
      </c>
      <c r="M1953" s="3">
        <f t="shared" si="163"/>
        <v>13.97999999999983</v>
      </c>
      <c r="N1953" s="3">
        <v>3.2</v>
      </c>
    </row>
    <row r="1954" spans="4:14" ht="15" customHeight="1" x14ac:dyDescent="0.25">
      <c r="D1954" s="13">
        <v>45700</v>
      </c>
      <c r="E1954">
        <v>45.2</v>
      </c>
      <c r="F1954" s="3">
        <v>61.44</v>
      </c>
      <c r="G1954" s="8">
        <f>E1954*F1954</f>
        <v>2777.0880000000002</v>
      </c>
      <c r="H1954" s="3" t="s">
        <v>34</v>
      </c>
      <c r="I1954" s="3" t="s">
        <v>85</v>
      </c>
      <c r="J1954" s="3">
        <f t="shared" si="162"/>
        <v>24390</v>
      </c>
      <c r="K1954" s="3">
        <f t="shared" si="161"/>
        <v>24434</v>
      </c>
      <c r="L1954" s="3">
        <v>44</v>
      </c>
      <c r="M1954" s="3">
        <f t="shared" si="163"/>
        <v>54.179999999999836</v>
      </c>
      <c r="N1954" s="3">
        <v>5</v>
      </c>
    </row>
    <row r="1955" spans="4:14" ht="15" customHeight="1" x14ac:dyDescent="0.25">
      <c r="D1955" s="13"/>
      <c r="H1955" s="3" t="s">
        <v>85</v>
      </c>
      <c r="I1955" s="3" t="s">
        <v>34</v>
      </c>
      <c r="J1955" s="3">
        <f t="shared" si="162"/>
        <v>24434</v>
      </c>
      <c r="K1955" s="3">
        <f t="shared" si="161"/>
        <v>24478</v>
      </c>
      <c r="L1955" s="3">
        <v>44</v>
      </c>
      <c r="M1955" s="3">
        <f t="shared" si="163"/>
        <v>49.179999999999836</v>
      </c>
      <c r="N1955" s="3">
        <v>5</v>
      </c>
    </row>
    <row r="1956" spans="4:14" ht="15" customHeight="1" x14ac:dyDescent="0.25">
      <c r="D1956" s="13">
        <v>45701</v>
      </c>
      <c r="H1956" s="3" t="s">
        <v>34</v>
      </c>
      <c r="I1956" s="3" t="s">
        <v>35</v>
      </c>
      <c r="J1956" s="3">
        <f t="shared" si="162"/>
        <v>24478</v>
      </c>
      <c r="K1956" s="3">
        <f t="shared" si="161"/>
        <v>24490</v>
      </c>
      <c r="L1956" s="3">
        <v>12</v>
      </c>
      <c r="M1956" s="3">
        <f t="shared" si="163"/>
        <v>47.929999999999836</v>
      </c>
      <c r="N1956" s="3">
        <v>1.25</v>
      </c>
    </row>
    <row r="1957" spans="4:14" ht="15" customHeight="1" x14ac:dyDescent="0.25">
      <c r="D1957" s="13"/>
      <c r="H1957" s="3" t="s">
        <v>35</v>
      </c>
      <c r="I1957" s="3" t="s">
        <v>34</v>
      </c>
      <c r="J1957" s="3">
        <f t="shared" si="162"/>
        <v>24490</v>
      </c>
      <c r="K1957" s="3">
        <f t="shared" si="161"/>
        <v>24502</v>
      </c>
      <c r="L1957" s="3">
        <v>12</v>
      </c>
      <c r="M1957" s="3">
        <f t="shared" si="163"/>
        <v>46.679999999999836</v>
      </c>
      <c r="N1957" s="3">
        <v>1.25</v>
      </c>
    </row>
    <row r="1958" spans="4:14" ht="15" customHeight="1" x14ac:dyDescent="0.25">
      <c r="D1958" s="13">
        <v>45702</v>
      </c>
      <c r="H1958" s="3" t="s">
        <v>34</v>
      </c>
      <c r="I1958" s="3" t="s">
        <v>54</v>
      </c>
      <c r="J1958" s="3">
        <f t="shared" si="162"/>
        <v>24502</v>
      </c>
      <c r="K1958" s="3">
        <f t="shared" si="161"/>
        <v>24529</v>
      </c>
      <c r="L1958" s="3">
        <v>27</v>
      </c>
      <c r="M1958" s="3">
        <f t="shared" si="163"/>
        <v>43.479999999999833</v>
      </c>
      <c r="N1958" s="3">
        <v>3.2</v>
      </c>
    </row>
    <row r="1959" spans="4:14" ht="15" customHeight="1" x14ac:dyDescent="0.25">
      <c r="D1959" s="13"/>
      <c r="H1959" s="3" t="s">
        <v>54</v>
      </c>
      <c r="I1959" s="3" t="s">
        <v>34</v>
      </c>
      <c r="J1959" s="3">
        <f t="shared" si="162"/>
        <v>24529</v>
      </c>
      <c r="K1959" s="3">
        <f t="shared" si="161"/>
        <v>24556</v>
      </c>
      <c r="L1959" s="3">
        <v>27</v>
      </c>
      <c r="M1959" s="3">
        <f t="shared" si="163"/>
        <v>40.279999999999831</v>
      </c>
      <c r="N1959" s="3">
        <v>3.2</v>
      </c>
    </row>
    <row r="1960" spans="4:14" ht="15" customHeight="1" x14ac:dyDescent="0.25">
      <c r="D1960" s="13">
        <v>45705</v>
      </c>
      <c r="H1960" s="3" t="s">
        <v>34</v>
      </c>
      <c r="I1960" s="3" t="s">
        <v>54</v>
      </c>
      <c r="J1960" s="3">
        <f t="shared" si="162"/>
        <v>24556</v>
      </c>
      <c r="K1960" s="3">
        <f t="shared" si="161"/>
        <v>24583</v>
      </c>
      <c r="L1960" s="3">
        <v>27</v>
      </c>
      <c r="M1960" s="3">
        <f t="shared" si="163"/>
        <v>37.079999999999828</v>
      </c>
      <c r="N1960" s="3">
        <v>3.2</v>
      </c>
    </row>
    <row r="1961" spans="4:14" ht="15" customHeight="1" x14ac:dyDescent="0.25">
      <c r="D1961" s="13"/>
      <c r="H1961" s="3" t="s">
        <v>54</v>
      </c>
      <c r="I1961" s="3" t="s">
        <v>34</v>
      </c>
      <c r="J1961" s="3">
        <f t="shared" si="162"/>
        <v>24583</v>
      </c>
      <c r="K1961" s="3">
        <f t="shared" si="161"/>
        <v>24610</v>
      </c>
      <c r="L1961" s="3">
        <v>27</v>
      </c>
      <c r="M1961" s="3">
        <f t="shared" si="163"/>
        <v>33.879999999999825</v>
      </c>
      <c r="N1961" s="3">
        <v>3.2</v>
      </c>
    </row>
    <row r="1962" spans="4:14" ht="15" customHeight="1" x14ac:dyDescent="0.25">
      <c r="D1962" s="13">
        <v>45706</v>
      </c>
      <c r="H1962" s="3" t="s">
        <v>34</v>
      </c>
      <c r="I1962" s="3" t="s">
        <v>81</v>
      </c>
      <c r="J1962" s="3">
        <f t="shared" si="162"/>
        <v>24610</v>
      </c>
      <c r="K1962" s="3">
        <f t="shared" si="161"/>
        <v>24634</v>
      </c>
      <c r="L1962" s="3">
        <v>24</v>
      </c>
      <c r="M1962" s="3">
        <f t="shared" si="163"/>
        <v>31.379999999999825</v>
      </c>
      <c r="N1962" s="3">
        <v>2.5</v>
      </c>
    </row>
    <row r="1963" spans="4:14" ht="15" customHeight="1" x14ac:dyDescent="0.25">
      <c r="D1963" s="13"/>
      <c r="H1963" s="3" t="s">
        <v>81</v>
      </c>
      <c r="I1963" s="3" t="s">
        <v>34</v>
      </c>
      <c r="J1963" s="3">
        <f t="shared" si="162"/>
        <v>24634</v>
      </c>
      <c r="K1963" s="3">
        <f t="shared" si="161"/>
        <v>24658</v>
      </c>
      <c r="L1963" s="3">
        <v>24</v>
      </c>
      <c r="M1963" s="3">
        <f t="shared" si="163"/>
        <v>28.879999999999825</v>
      </c>
      <c r="N1963" s="3">
        <v>2.5</v>
      </c>
    </row>
    <row r="1964" spans="4:14" ht="15" customHeight="1" x14ac:dyDescent="0.25">
      <c r="D1964" s="13">
        <v>45707</v>
      </c>
      <c r="H1964" s="3" t="s">
        <v>34</v>
      </c>
      <c r="I1964" s="3" t="s">
        <v>85</v>
      </c>
      <c r="J1964" s="3">
        <f t="shared" si="162"/>
        <v>24658</v>
      </c>
      <c r="K1964" s="3">
        <f t="shared" si="161"/>
        <v>24702</v>
      </c>
      <c r="L1964" s="3">
        <v>44</v>
      </c>
      <c r="M1964" s="3">
        <f t="shared" si="163"/>
        <v>23.879999999999825</v>
      </c>
      <c r="N1964" s="3">
        <v>5</v>
      </c>
    </row>
    <row r="1965" spans="4:14" ht="15" customHeight="1" x14ac:dyDescent="0.25">
      <c r="D1965" s="13"/>
      <c r="H1965" s="3" t="s">
        <v>85</v>
      </c>
      <c r="I1965" s="3" t="s">
        <v>34</v>
      </c>
      <c r="J1965" s="3">
        <f t="shared" si="162"/>
        <v>24702</v>
      </c>
      <c r="K1965" s="3">
        <f t="shared" si="161"/>
        <v>24746</v>
      </c>
      <c r="L1965" s="3">
        <v>44</v>
      </c>
      <c r="M1965" s="3">
        <f t="shared" si="163"/>
        <v>18.879999999999825</v>
      </c>
      <c r="N1965" s="3">
        <v>5</v>
      </c>
    </row>
    <row r="1966" spans="4:14" ht="15" customHeight="1" x14ac:dyDescent="0.25">
      <c r="D1966" s="13">
        <v>45708</v>
      </c>
      <c r="E1966">
        <v>44.86</v>
      </c>
      <c r="F1966" s="3">
        <v>61.44</v>
      </c>
      <c r="G1966" s="8">
        <f>E1966*F1966</f>
        <v>2756.1983999999998</v>
      </c>
      <c r="H1966" s="3" t="s">
        <v>34</v>
      </c>
      <c r="I1966" s="3" t="s">
        <v>54</v>
      </c>
      <c r="J1966" s="3">
        <f t="shared" si="162"/>
        <v>24746</v>
      </c>
      <c r="K1966" s="3">
        <f t="shared" si="161"/>
        <v>24773</v>
      </c>
      <c r="L1966" s="3">
        <v>27</v>
      </c>
      <c r="M1966" s="3">
        <f t="shared" si="163"/>
        <v>60.539999999999822</v>
      </c>
      <c r="N1966" s="3">
        <v>3.2</v>
      </c>
    </row>
    <row r="1967" spans="4:14" ht="15" customHeight="1" x14ac:dyDescent="0.25">
      <c r="D1967" s="13"/>
      <c r="H1967" s="3" t="s">
        <v>54</v>
      </c>
      <c r="I1967" s="3" t="s">
        <v>34</v>
      </c>
      <c r="J1967" s="3">
        <f t="shared" si="162"/>
        <v>24773</v>
      </c>
      <c r="K1967" s="3">
        <f t="shared" si="161"/>
        <v>24800</v>
      </c>
      <c r="L1967" s="3">
        <v>27</v>
      </c>
      <c r="M1967" s="3">
        <f t="shared" si="163"/>
        <v>57.339999999999819</v>
      </c>
      <c r="N1967" s="3">
        <v>3.2</v>
      </c>
    </row>
    <row r="1968" spans="4:14" ht="15" customHeight="1" x14ac:dyDescent="0.25">
      <c r="D1968" s="13">
        <v>45709</v>
      </c>
      <c r="H1968" s="3" t="s">
        <v>34</v>
      </c>
      <c r="I1968" s="3" t="s">
        <v>54</v>
      </c>
      <c r="J1968" s="3">
        <f t="shared" si="162"/>
        <v>24800</v>
      </c>
      <c r="K1968" s="3">
        <f t="shared" si="161"/>
        <v>24827</v>
      </c>
      <c r="L1968" s="3">
        <v>27</v>
      </c>
      <c r="M1968" s="3">
        <f t="shared" si="163"/>
        <v>54.139999999999816</v>
      </c>
      <c r="N1968" s="3">
        <v>3.2</v>
      </c>
    </row>
    <row r="1969" spans="4:14" ht="15" customHeight="1" x14ac:dyDescent="0.25">
      <c r="D1969" s="13"/>
      <c r="H1969" s="3" t="s">
        <v>54</v>
      </c>
      <c r="I1969" s="3" t="s">
        <v>34</v>
      </c>
      <c r="J1969" s="3">
        <f t="shared" si="162"/>
        <v>24827</v>
      </c>
      <c r="K1969" s="3">
        <f t="shared" si="161"/>
        <v>24854</v>
      </c>
      <c r="L1969" s="3">
        <v>27</v>
      </c>
      <c r="M1969" s="3">
        <f t="shared" si="163"/>
        <v>50.939999999999813</v>
      </c>
      <c r="N1969" s="3">
        <v>3.2</v>
      </c>
    </row>
    <row r="1970" spans="4:14" ht="15" customHeight="1" x14ac:dyDescent="0.25">
      <c r="D1970" s="13">
        <v>45712</v>
      </c>
      <c r="H1970" s="3" t="s">
        <v>34</v>
      </c>
      <c r="I1970" s="3" t="s">
        <v>54</v>
      </c>
      <c r="J1970" s="3">
        <f t="shared" si="162"/>
        <v>24854</v>
      </c>
      <c r="K1970" s="3">
        <f t="shared" si="161"/>
        <v>24881</v>
      </c>
      <c r="L1970" s="3">
        <v>27</v>
      </c>
      <c r="M1970" s="3">
        <f t="shared" si="163"/>
        <v>47.73999999999981</v>
      </c>
      <c r="N1970" s="3">
        <v>3.2</v>
      </c>
    </row>
    <row r="1971" spans="4:14" ht="15" customHeight="1" x14ac:dyDescent="0.25">
      <c r="D1971" s="13"/>
      <c r="H1971" s="3" t="s">
        <v>54</v>
      </c>
      <c r="I1971" s="3" t="s">
        <v>34</v>
      </c>
      <c r="J1971" s="3">
        <f t="shared" si="162"/>
        <v>24881</v>
      </c>
      <c r="K1971" s="3">
        <f t="shared" si="161"/>
        <v>24908</v>
      </c>
      <c r="L1971" s="3">
        <v>27</v>
      </c>
      <c r="M1971" s="3">
        <f t="shared" si="163"/>
        <v>44.539999999999807</v>
      </c>
      <c r="N1971" s="3">
        <v>3.2</v>
      </c>
    </row>
    <row r="1972" spans="4:14" ht="15" customHeight="1" x14ac:dyDescent="0.25">
      <c r="D1972" s="13">
        <v>45713</v>
      </c>
      <c r="H1972" s="3" t="s">
        <v>34</v>
      </c>
      <c r="I1972" s="3" t="s">
        <v>49</v>
      </c>
      <c r="J1972" s="3">
        <f t="shared" si="162"/>
        <v>24908</v>
      </c>
      <c r="K1972" s="3">
        <f t="shared" si="161"/>
        <v>24935</v>
      </c>
      <c r="L1972" s="3">
        <v>27</v>
      </c>
      <c r="M1972" s="3">
        <f t="shared" si="163"/>
        <v>41.339999999999804</v>
      </c>
      <c r="N1972" s="3">
        <v>3.2</v>
      </c>
    </row>
    <row r="1973" spans="4:14" ht="15" customHeight="1" x14ac:dyDescent="0.25">
      <c r="D1973" s="13"/>
      <c r="H1973" s="3" t="s">
        <v>49</v>
      </c>
      <c r="I1973" s="3" t="s">
        <v>34</v>
      </c>
      <c r="J1973" s="3">
        <f t="shared" si="162"/>
        <v>24935</v>
      </c>
      <c r="K1973" s="3">
        <f t="shared" si="161"/>
        <v>24962</v>
      </c>
      <c r="L1973" s="3">
        <v>27</v>
      </c>
      <c r="M1973" s="3">
        <f t="shared" si="163"/>
        <v>38.139999999999802</v>
      </c>
      <c r="N1973" s="3">
        <v>3.2</v>
      </c>
    </row>
    <row r="1974" spans="4:14" ht="15" customHeight="1" x14ac:dyDescent="0.25">
      <c r="D1974" s="13">
        <v>45714</v>
      </c>
      <c r="H1974" s="3" t="s">
        <v>34</v>
      </c>
      <c r="I1974" s="3" t="s">
        <v>44</v>
      </c>
      <c r="J1974" s="3">
        <f t="shared" si="162"/>
        <v>24962</v>
      </c>
      <c r="K1974" s="3">
        <f t="shared" si="161"/>
        <v>25002</v>
      </c>
      <c r="L1974" s="3">
        <v>40</v>
      </c>
      <c r="M1974" s="3">
        <f t="shared" si="163"/>
        <v>33.339999999999804</v>
      </c>
      <c r="N1974" s="3">
        <v>4.8</v>
      </c>
    </row>
    <row r="1975" spans="4:14" ht="15" customHeight="1" x14ac:dyDescent="0.25">
      <c r="D1975" s="13"/>
      <c r="H1975" s="3" t="s">
        <v>44</v>
      </c>
      <c r="I1975" s="3" t="s">
        <v>34</v>
      </c>
      <c r="J1975" s="3">
        <f t="shared" si="162"/>
        <v>25002</v>
      </c>
      <c r="K1975" s="3">
        <f t="shared" si="161"/>
        <v>25042</v>
      </c>
      <c r="L1975" s="3">
        <v>40</v>
      </c>
      <c r="M1975" s="3">
        <f t="shared" si="163"/>
        <v>28.539999999999804</v>
      </c>
      <c r="N1975" s="3">
        <v>4.8</v>
      </c>
    </row>
    <row r="1976" spans="4:14" ht="15" customHeight="1" x14ac:dyDescent="0.25">
      <c r="D1976" s="13">
        <v>45715</v>
      </c>
      <c r="H1976" s="3" t="s">
        <v>34</v>
      </c>
      <c r="I1976" s="3" t="s">
        <v>81</v>
      </c>
      <c r="J1976" s="3">
        <f t="shared" si="162"/>
        <v>25042</v>
      </c>
      <c r="K1976" s="3">
        <f t="shared" si="161"/>
        <v>25066</v>
      </c>
      <c r="L1976" s="3">
        <v>24</v>
      </c>
      <c r="M1976" s="3">
        <f t="shared" si="163"/>
        <v>26.039999999999804</v>
      </c>
      <c r="N1976" s="3">
        <v>2.5</v>
      </c>
    </row>
    <row r="1977" spans="4:14" ht="15" customHeight="1" x14ac:dyDescent="0.25">
      <c r="D1977" s="13"/>
      <c r="H1977" s="3" t="s">
        <v>81</v>
      </c>
      <c r="I1977" s="3" t="s">
        <v>34</v>
      </c>
      <c r="J1977" s="3">
        <f t="shared" si="162"/>
        <v>25066</v>
      </c>
      <c r="K1977" s="3">
        <f t="shared" si="161"/>
        <v>25090</v>
      </c>
      <c r="L1977" s="3">
        <v>24</v>
      </c>
      <c r="M1977" s="3">
        <f t="shared" si="163"/>
        <v>23.539999999999804</v>
      </c>
      <c r="N1977" s="3">
        <v>2.5</v>
      </c>
    </row>
    <row r="1978" spans="4:14" ht="15" customHeight="1" x14ac:dyDescent="0.25">
      <c r="D1978" s="13">
        <v>45716</v>
      </c>
      <c r="H1978" s="3" t="s">
        <v>34</v>
      </c>
      <c r="I1978" s="3" t="s">
        <v>54</v>
      </c>
      <c r="J1978" s="3">
        <f t="shared" si="162"/>
        <v>25090</v>
      </c>
      <c r="K1978" s="3">
        <f t="shared" si="161"/>
        <v>25117</v>
      </c>
      <c r="L1978" s="3">
        <v>27</v>
      </c>
      <c r="M1978" s="3">
        <f t="shared" si="163"/>
        <v>20.339999999999804</v>
      </c>
      <c r="N1978" s="3">
        <v>3.2</v>
      </c>
    </row>
    <row r="1979" spans="4:14" ht="15" customHeight="1" x14ac:dyDescent="0.25">
      <c r="H1979" s="3" t="s">
        <v>54</v>
      </c>
      <c r="I1979" s="3" t="s">
        <v>34</v>
      </c>
      <c r="J1979" s="3">
        <f t="shared" si="162"/>
        <v>25117</v>
      </c>
      <c r="K1979" s="3">
        <f t="shared" si="161"/>
        <v>25144</v>
      </c>
      <c r="L1979" s="3">
        <v>27</v>
      </c>
      <c r="M1979" s="3">
        <f t="shared" si="163"/>
        <v>17.139999999999805</v>
      </c>
      <c r="N1979" s="3">
        <v>3.2</v>
      </c>
    </row>
    <row r="1981" spans="4:14" ht="15" customHeight="1" x14ac:dyDescent="0.25">
      <c r="D1981" s="2" t="s">
        <v>91</v>
      </c>
      <c r="E1981" s="2"/>
      <c r="F1981" s="2"/>
      <c r="G1981" s="2"/>
    </row>
    <row r="1983" spans="4:14" ht="15" customHeight="1" x14ac:dyDescent="0.25">
      <c r="D1983" s="13">
        <v>45719</v>
      </c>
      <c r="H1983" s="3" t="s">
        <v>34</v>
      </c>
      <c r="I1983" s="3" t="s">
        <v>49</v>
      </c>
      <c r="J1983" s="3">
        <f>K1979</f>
        <v>25144</v>
      </c>
      <c r="K1983" s="3">
        <f t="shared" ref="K1983:K2014" si="164">J1983+L1983</f>
        <v>25171</v>
      </c>
      <c r="L1983" s="3">
        <v>27</v>
      </c>
      <c r="M1983" s="3">
        <f>(E1983+M1979)-N1983</f>
        <v>13.939999999999806</v>
      </c>
      <c r="N1983" s="3">
        <v>3.2</v>
      </c>
    </row>
    <row r="1984" spans="4:14" ht="15" customHeight="1" x14ac:dyDescent="0.25">
      <c r="D1984" s="13"/>
      <c r="H1984" s="3" t="s">
        <v>49</v>
      </c>
      <c r="I1984" s="3" t="s">
        <v>34</v>
      </c>
      <c r="J1984" s="3">
        <f t="shared" ref="J1984:J2015" si="165">K1983</f>
        <v>25171</v>
      </c>
      <c r="K1984" s="3">
        <f t="shared" si="164"/>
        <v>25198</v>
      </c>
      <c r="L1984" s="3">
        <v>27</v>
      </c>
      <c r="M1984" s="3">
        <f t="shared" ref="M1984:M2015" si="166">(E1984+M1983)-N1984</f>
        <v>10.739999999999807</v>
      </c>
      <c r="N1984" s="3">
        <v>3.2</v>
      </c>
    </row>
    <row r="1985" spans="4:14" ht="15" customHeight="1" x14ac:dyDescent="0.25">
      <c r="D1985" s="13">
        <v>45720</v>
      </c>
      <c r="H1985" s="3" t="s">
        <v>34</v>
      </c>
      <c r="I1985" s="3" t="s">
        <v>54</v>
      </c>
      <c r="J1985" s="3">
        <f t="shared" si="165"/>
        <v>25198</v>
      </c>
      <c r="K1985" s="3">
        <f t="shared" si="164"/>
        <v>25225</v>
      </c>
      <c r="L1985" s="3">
        <v>27</v>
      </c>
      <c r="M1985" s="3">
        <f t="shared" si="166"/>
        <v>7.5399999999998064</v>
      </c>
      <c r="N1985" s="3">
        <v>3.2</v>
      </c>
    </row>
    <row r="1986" spans="4:14" ht="15" customHeight="1" x14ac:dyDescent="0.25">
      <c r="D1986" s="13"/>
      <c r="H1986" s="3" t="s">
        <v>54</v>
      </c>
      <c r="I1986" s="3" t="s">
        <v>34</v>
      </c>
      <c r="J1986" s="3">
        <f t="shared" si="165"/>
        <v>25225</v>
      </c>
      <c r="K1986" s="3">
        <f t="shared" si="164"/>
        <v>25252</v>
      </c>
      <c r="L1986" s="3">
        <v>27</v>
      </c>
      <c r="M1986" s="3">
        <f t="shared" si="166"/>
        <v>4.3399999999998062</v>
      </c>
      <c r="N1986" s="3">
        <v>3.2</v>
      </c>
    </row>
    <row r="1987" spans="4:14" ht="15" customHeight="1" x14ac:dyDescent="0.25">
      <c r="D1987" s="13">
        <v>45721</v>
      </c>
      <c r="E1987">
        <v>43.34</v>
      </c>
      <c r="F1987" s="3">
        <v>62.04</v>
      </c>
      <c r="G1987" s="8">
        <f>E1987*F1987</f>
        <v>2688.8136</v>
      </c>
      <c r="H1987" s="3" t="s">
        <v>34</v>
      </c>
      <c r="I1987" s="3" t="s">
        <v>44</v>
      </c>
      <c r="J1987" s="3">
        <f t="shared" si="165"/>
        <v>25252</v>
      </c>
      <c r="K1987" s="3">
        <f t="shared" si="164"/>
        <v>25292</v>
      </c>
      <c r="L1987" s="3">
        <v>40</v>
      </c>
      <c r="M1987" s="3">
        <f t="shared" si="166"/>
        <v>42.879999999999811</v>
      </c>
      <c r="N1987" s="3">
        <v>4.8</v>
      </c>
    </row>
    <row r="1988" spans="4:14" ht="15" customHeight="1" x14ac:dyDescent="0.25">
      <c r="D1988" s="13"/>
      <c r="H1988" s="3" t="s">
        <v>44</v>
      </c>
      <c r="I1988" s="3" t="s">
        <v>34</v>
      </c>
      <c r="J1988" s="3">
        <f t="shared" si="165"/>
        <v>25292</v>
      </c>
      <c r="K1988" s="3">
        <f t="shared" si="164"/>
        <v>25332</v>
      </c>
      <c r="L1988" s="3">
        <v>40</v>
      </c>
      <c r="M1988" s="3">
        <f t="shared" si="166"/>
        <v>38.079999999999814</v>
      </c>
      <c r="N1988" s="3">
        <v>4.8</v>
      </c>
    </row>
    <row r="1989" spans="4:14" ht="15" customHeight="1" x14ac:dyDescent="0.25">
      <c r="D1989" s="13">
        <v>45722</v>
      </c>
      <c r="H1989" s="3" t="s">
        <v>34</v>
      </c>
      <c r="I1989" s="3" t="s">
        <v>35</v>
      </c>
      <c r="J1989" s="3">
        <f t="shared" si="165"/>
        <v>25332</v>
      </c>
      <c r="K1989" s="3">
        <f t="shared" si="164"/>
        <v>25344</v>
      </c>
      <c r="L1989" s="3">
        <v>12</v>
      </c>
      <c r="M1989" s="3">
        <f t="shared" si="166"/>
        <v>36.829999999999814</v>
      </c>
      <c r="N1989" s="3">
        <v>1.25</v>
      </c>
    </row>
    <row r="1990" spans="4:14" ht="15" customHeight="1" x14ac:dyDescent="0.25">
      <c r="D1990" s="13"/>
      <c r="H1990" s="3" t="s">
        <v>35</v>
      </c>
      <c r="I1990" s="3" t="s">
        <v>34</v>
      </c>
      <c r="J1990" s="3">
        <f t="shared" si="165"/>
        <v>25344</v>
      </c>
      <c r="K1990" s="3">
        <f t="shared" si="164"/>
        <v>25356</v>
      </c>
      <c r="L1990" s="3">
        <v>12</v>
      </c>
      <c r="M1990" s="3">
        <f t="shared" si="166"/>
        <v>35.579999999999814</v>
      </c>
      <c r="N1990" s="3">
        <v>1.25</v>
      </c>
    </row>
    <row r="1991" spans="4:14" ht="15" customHeight="1" x14ac:dyDescent="0.25">
      <c r="D1991" s="13">
        <v>45723</v>
      </c>
      <c r="H1991" s="3" t="s">
        <v>34</v>
      </c>
      <c r="I1991" s="3" t="s">
        <v>54</v>
      </c>
      <c r="J1991" s="3">
        <f t="shared" si="165"/>
        <v>25356</v>
      </c>
      <c r="K1991" s="3">
        <f t="shared" si="164"/>
        <v>25383</v>
      </c>
      <c r="L1991" s="3">
        <v>27</v>
      </c>
      <c r="M1991" s="3">
        <f t="shared" si="166"/>
        <v>32.379999999999811</v>
      </c>
      <c r="N1991" s="3">
        <v>3.2</v>
      </c>
    </row>
    <row r="1992" spans="4:14" ht="15" customHeight="1" x14ac:dyDescent="0.25">
      <c r="D1992" s="13"/>
      <c r="H1992" s="3" t="s">
        <v>54</v>
      </c>
      <c r="I1992" s="3" t="s">
        <v>34</v>
      </c>
      <c r="J1992" s="3">
        <f t="shared" si="165"/>
        <v>25383</v>
      </c>
      <c r="K1992" s="3">
        <f t="shared" si="164"/>
        <v>25410</v>
      </c>
      <c r="L1992" s="3">
        <v>27</v>
      </c>
      <c r="M1992" s="3">
        <f t="shared" si="166"/>
        <v>29.179999999999811</v>
      </c>
      <c r="N1992" s="3">
        <v>3.2</v>
      </c>
    </row>
    <row r="1993" spans="4:14" ht="15" customHeight="1" x14ac:dyDescent="0.25">
      <c r="D1993" s="13">
        <v>45726</v>
      </c>
      <c r="H1993" s="3" t="s">
        <v>34</v>
      </c>
      <c r="I1993" s="3" t="s">
        <v>43</v>
      </c>
      <c r="J1993" s="3">
        <f t="shared" si="165"/>
        <v>25410</v>
      </c>
      <c r="K1993" s="3">
        <f t="shared" si="164"/>
        <v>25422</v>
      </c>
      <c r="L1993" s="3">
        <v>12</v>
      </c>
      <c r="M1993" s="3">
        <f t="shared" si="166"/>
        <v>27.929999999999811</v>
      </c>
      <c r="N1993" s="3">
        <v>1.25</v>
      </c>
    </row>
    <row r="1994" spans="4:14" ht="15" customHeight="1" x14ac:dyDescent="0.25">
      <c r="D1994" s="13"/>
      <c r="H1994" s="3" t="s">
        <v>43</v>
      </c>
      <c r="I1994" s="3" t="s">
        <v>34</v>
      </c>
      <c r="J1994" s="3">
        <f t="shared" si="165"/>
        <v>25422</v>
      </c>
      <c r="K1994" s="3">
        <f t="shared" si="164"/>
        <v>25434</v>
      </c>
      <c r="L1994" s="3">
        <v>12</v>
      </c>
      <c r="M1994" s="3">
        <f t="shared" si="166"/>
        <v>26.679999999999811</v>
      </c>
      <c r="N1994" s="3">
        <v>1.25</v>
      </c>
    </row>
    <row r="1995" spans="4:14" ht="15" customHeight="1" x14ac:dyDescent="0.25">
      <c r="D1995" s="13">
        <v>45727</v>
      </c>
      <c r="H1995" s="3" t="s">
        <v>34</v>
      </c>
      <c r="I1995" s="3" t="s">
        <v>54</v>
      </c>
      <c r="J1995" s="3">
        <f t="shared" si="165"/>
        <v>25434</v>
      </c>
      <c r="K1995" s="3">
        <f t="shared" si="164"/>
        <v>25461</v>
      </c>
      <c r="L1995" s="3">
        <v>27</v>
      </c>
      <c r="M1995" s="3">
        <f t="shared" si="166"/>
        <v>23.479999999999812</v>
      </c>
      <c r="N1995" s="3">
        <v>3.2</v>
      </c>
    </row>
    <row r="1996" spans="4:14" ht="15" customHeight="1" x14ac:dyDescent="0.25">
      <c r="D1996" s="13"/>
      <c r="H1996" s="3" t="s">
        <v>54</v>
      </c>
      <c r="I1996" s="3" t="s">
        <v>34</v>
      </c>
      <c r="J1996" s="3">
        <f t="shared" si="165"/>
        <v>25461</v>
      </c>
      <c r="K1996" s="3">
        <f t="shared" si="164"/>
        <v>25488</v>
      </c>
      <c r="L1996" s="3">
        <v>27</v>
      </c>
      <c r="M1996" s="3">
        <f t="shared" si="166"/>
        <v>20.279999999999813</v>
      </c>
      <c r="N1996" s="3">
        <v>3.2</v>
      </c>
    </row>
    <row r="1997" spans="4:14" ht="15" customHeight="1" x14ac:dyDescent="0.25">
      <c r="D1997" s="13">
        <v>45728</v>
      </c>
      <c r="H1997" s="3" t="s">
        <v>34</v>
      </c>
      <c r="I1997" s="3" t="s">
        <v>85</v>
      </c>
      <c r="J1997" s="3">
        <f t="shared" si="165"/>
        <v>25488</v>
      </c>
      <c r="K1997" s="3">
        <f t="shared" si="164"/>
        <v>25532</v>
      </c>
      <c r="L1997" s="3">
        <v>44</v>
      </c>
      <c r="M1997" s="3">
        <f t="shared" si="166"/>
        <v>15.279999999999813</v>
      </c>
      <c r="N1997" s="3">
        <v>5</v>
      </c>
    </row>
    <row r="1998" spans="4:14" ht="15" customHeight="1" x14ac:dyDescent="0.25">
      <c r="D1998" s="13"/>
      <c r="H1998" s="3" t="s">
        <v>85</v>
      </c>
      <c r="I1998" s="3" t="s">
        <v>34</v>
      </c>
      <c r="J1998" s="3">
        <f t="shared" si="165"/>
        <v>25532</v>
      </c>
      <c r="K1998" s="3">
        <f t="shared" si="164"/>
        <v>25576</v>
      </c>
      <c r="L1998" s="3">
        <v>44</v>
      </c>
      <c r="M1998" s="3">
        <f t="shared" si="166"/>
        <v>10.279999999999813</v>
      </c>
      <c r="N1998" s="3">
        <v>5</v>
      </c>
    </row>
    <row r="1999" spans="4:14" ht="15" customHeight="1" x14ac:dyDescent="0.25">
      <c r="D1999" s="13">
        <v>45729</v>
      </c>
      <c r="E1999">
        <v>46.49</v>
      </c>
      <c r="F1999" s="3">
        <v>62.31</v>
      </c>
      <c r="G1999" s="8">
        <f>E1999*F1999</f>
        <v>2896.7919000000002</v>
      </c>
      <c r="H1999" s="3" t="s">
        <v>34</v>
      </c>
      <c r="I1999" s="3" t="s">
        <v>49</v>
      </c>
      <c r="J1999" s="3">
        <f t="shared" si="165"/>
        <v>25576</v>
      </c>
      <c r="K1999" s="3">
        <f t="shared" si="164"/>
        <v>25603</v>
      </c>
      <c r="L1999" s="3">
        <v>27</v>
      </c>
      <c r="M1999" s="3">
        <f t="shared" si="166"/>
        <v>53.569999999999808</v>
      </c>
      <c r="N1999" s="3">
        <v>3.2</v>
      </c>
    </row>
    <row r="2000" spans="4:14" ht="15" customHeight="1" x14ac:dyDescent="0.25">
      <c r="D2000" s="13"/>
      <c r="H2000" s="3" t="s">
        <v>49</v>
      </c>
      <c r="I2000" s="3" t="s">
        <v>34</v>
      </c>
      <c r="J2000" s="3">
        <f t="shared" si="165"/>
        <v>25603</v>
      </c>
      <c r="K2000" s="3">
        <f t="shared" si="164"/>
        <v>25630</v>
      </c>
      <c r="L2000" s="3">
        <v>27</v>
      </c>
      <c r="M2000" s="3">
        <f t="shared" si="166"/>
        <v>50.369999999999806</v>
      </c>
      <c r="N2000" s="3">
        <v>3.2</v>
      </c>
    </row>
    <row r="2001" spans="4:14" ht="15" customHeight="1" x14ac:dyDescent="0.25">
      <c r="D2001" s="13">
        <v>45730</v>
      </c>
      <c r="H2001" s="3" t="s">
        <v>34</v>
      </c>
      <c r="I2001" s="3" t="s">
        <v>44</v>
      </c>
      <c r="J2001" s="3">
        <f t="shared" si="165"/>
        <v>25630</v>
      </c>
      <c r="K2001" s="3">
        <f t="shared" si="164"/>
        <v>25670</v>
      </c>
      <c r="L2001" s="3">
        <v>40</v>
      </c>
      <c r="M2001" s="3">
        <f t="shared" si="166"/>
        <v>45.569999999999808</v>
      </c>
      <c r="N2001" s="3">
        <v>4.8</v>
      </c>
    </row>
    <row r="2002" spans="4:14" ht="15" customHeight="1" x14ac:dyDescent="0.25">
      <c r="D2002" s="13"/>
      <c r="H2002" s="3" t="s">
        <v>44</v>
      </c>
      <c r="I2002" s="3" t="s">
        <v>34</v>
      </c>
      <c r="J2002" s="3">
        <f t="shared" si="165"/>
        <v>25670</v>
      </c>
      <c r="K2002" s="3">
        <f t="shared" si="164"/>
        <v>25710</v>
      </c>
      <c r="L2002" s="3">
        <v>40</v>
      </c>
      <c r="M2002" s="3">
        <f t="shared" si="166"/>
        <v>40.769999999999811</v>
      </c>
      <c r="N2002" s="3">
        <v>4.8</v>
      </c>
    </row>
    <row r="2003" spans="4:14" ht="15" customHeight="1" x14ac:dyDescent="0.25">
      <c r="D2003" s="13">
        <v>45733</v>
      </c>
      <c r="H2003" s="3" t="s">
        <v>34</v>
      </c>
      <c r="I2003" s="3" t="s">
        <v>35</v>
      </c>
      <c r="J2003" s="3">
        <f t="shared" si="165"/>
        <v>25710</v>
      </c>
      <c r="K2003" s="3">
        <f t="shared" si="164"/>
        <v>25722</v>
      </c>
      <c r="L2003" s="3">
        <v>12</v>
      </c>
      <c r="M2003" s="3">
        <f t="shared" si="166"/>
        <v>39.519999999999811</v>
      </c>
      <c r="N2003" s="3">
        <v>1.25</v>
      </c>
    </row>
    <row r="2004" spans="4:14" ht="15" customHeight="1" x14ac:dyDescent="0.25">
      <c r="D2004" s="13"/>
      <c r="H2004" s="3" t="s">
        <v>35</v>
      </c>
      <c r="I2004" s="3" t="s">
        <v>34</v>
      </c>
      <c r="J2004" s="3">
        <f t="shared" si="165"/>
        <v>25722</v>
      </c>
      <c r="K2004" s="3">
        <f t="shared" si="164"/>
        <v>25734</v>
      </c>
      <c r="L2004" s="3">
        <v>12</v>
      </c>
      <c r="M2004" s="3">
        <f t="shared" si="166"/>
        <v>38.269999999999811</v>
      </c>
      <c r="N2004" s="3">
        <v>1.25</v>
      </c>
    </row>
    <row r="2005" spans="4:14" ht="15" customHeight="1" x14ac:dyDescent="0.25">
      <c r="D2005" s="13">
        <v>45734</v>
      </c>
      <c r="H2005" s="3" t="s">
        <v>34</v>
      </c>
      <c r="I2005" s="3" t="s">
        <v>54</v>
      </c>
      <c r="J2005" s="3">
        <f t="shared" si="165"/>
        <v>25734</v>
      </c>
      <c r="K2005" s="3">
        <f t="shared" si="164"/>
        <v>25761</v>
      </c>
      <c r="L2005" s="3">
        <v>27</v>
      </c>
      <c r="M2005" s="3">
        <f t="shared" si="166"/>
        <v>35.069999999999808</v>
      </c>
      <c r="N2005" s="3">
        <v>3.2</v>
      </c>
    </row>
    <row r="2006" spans="4:14" ht="15" customHeight="1" x14ac:dyDescent="0.25">
      <c r="D2006" s="13"/>
      <c r="H2006" s="3" t="s">
        <v>54</v>
      </c>
      <c r="I2006" s="3" t="s">
        <v>34</v>
      </c>
      <c r="J2006" s="3">
        <f t="shared" si="165"/>
        <v>25761</v>
      </c>
      <c r="K2006" s="3">
        <f t="shared" si="164"/>
        <v>25788</v>
      </c>
      <c r="L2006" s="3">
        <v>27</v>
      </c>
      <c r="M2006" s="3">
        <f t="shared" si="166"/>
        <v>31.869999999999809</v>
      </c>
      <c r="N2006" s="3">
        <v>3.2</v>
      </c>
    </row>
    <row r="2007" spans="4:14" ht="15" customHeight="1" x14ac:dyDescent="0.25">
      <c r="D2007" s="13">
        <v>45735</v>
      </c>
      <c r="H2007" s="3" t="s">
        <v>34</v>
      </c>
      <c r="I2007" s="3" t="s">
        <v>85</v>
      </c>
      <c r="J2007" s="3">
        <f t="shared" si="165"/>
        <v>25788</v>
      </c>
      <c r="K2007" s="3">
        <f t="shared" si="164"/>
        <v>25832</v>
      </c>
      <c r="L2007" s="3">
        <v>44</v>
      </c>
      <c r="M2007" s="3">
        <f t="shared" si="166"/>
        <v>26.869999999999809</v>
      </c>
      <c r="N2007" s="3">
        <v>5</v>
      </c>
    </row>
    <row r="2008" spans="4:14" ht="15" customHeight="1" x14ac:dyDescent="0.25">
      <c r="D2008" s="13"/>
      <c r="H2008" s="3" t="s">
        <v>85</v>
      </c>
      <c r="I2008" s="3" t="s">
        <v>34</v>
      </c>
      <c r="J2008" s="3">
        <f t="shared" si="165"/>
        <v>25832</v>
      </c>
      <c r="K2008" s="3">
        <f t="shared" si="164"/>
        <v>25876</v>
      </c>
      <c r="L2008" s="3">
        <v>44</v>
      </c>
      <c r="M2008" s="3">
        <f t="shared" si="166"/>
        <v>21.869999999999809</v>
      </c>
      <c r="N2008" s="3">
        <v>5</v>
      </c>
    </row>
    <row r="2009" spans="4:14" ht="15" customHeight="1" x14ac:dyDescent="0.25">
      <c r="D2009" s="13">
        <v>45736</v>
      </c>
      <c r="E2009">
        <v>45.94</v>
      </c>
      <c r="F2009" s="3">
        <v>62</v>
      </c>
      <c r="G2009" s="8">
        <f>E2009*F2009</f>
        <v>2848.2799999999997</v>
      </c>
      <c r="H2009" s="3" t="s">
        <v>34</v>
      </c>
      <c r="I2009" s="3" t="s">
        <v>44</v>
      </c>
      <c r="J2009" s="3">
        <f t="shared" si="165"/>
        <v>25876</v>
      </c>
      <c r="K2009" s="3">
        <f t="shared" si="164"/>
        <v>25916</v>
      </c>
      <c r="L2009" s="3">
        <v>40</v>
      </c>
      <c r="M2009" s="3">
        <f t="shared" si="166"/>
        <v>63.009999999999806</v>
      </c>
      <c r="N2009" s="3">
        <v>4.8</v>
      </c>
    </row>
    <row r="2010" spans="4:14" ht="15" customHeight="1" x14ac:dyDescent="0.25">
      <c r="D2010" s="13"/>
      <c r="H2010" s="3" t="s">
        <v>44</v>
      </c>
      <c r="I2010" s="3" t="s">
        <v>34</v>
      </c>
      <c r="J2010" s="3">
        <f t="shared" si="165"/>
        <v>25916</v>
      </c>
      <c r="K2010" s="3">
        <f t="shared" si="164"/>
        <v>25956</v>
      </c>
      <c r="L2010" s="3">
        <v>40</v>
      </c>
      <c r="M2010" s="3">
        <f t="shared" si="166"/>
        <v>58.209999999999809</v>
      </c>
      <c r="N2010" s="3">
        <v>4.8</v>
      </c>
    </row>
    <row r="2011" spans="4:14" ht="15" customHeight="1" x14ac:dyDescent="0.25">
      <c r="D2011" s="13">
        <v>45737</v>
      </c>
      <c r="H2011" s="3" t="s">
        <v>34</v>
      </c>
      <c r="I2011" s="3" t="s">
        <v>49</v>
      </c>
      <c r="J2011" s="3">
        <f t="shared" si="165"/>
        <v>25956</v>
      </c>
      <c r="K2011" s="3">
        <f t="shared" si="164"/>
        <v>25983</v>
      </c>
      <c r="L2011" s="3">
        <v>27</v>
      </c>
      <c r="M2011" s="3">
        <f t="shared" si="166"/>
        <v>55.009999999999806</v>
      </c>
      <c r="N2011" s="3">
        <v>3.2</v>
      </c>
    </row>
    <row r="2012" spans="4:14" ht="15" customHeight="1" x14ac:dyDescent="0.25">
      <c r="D2012" s="13"/>
      <c r="H2012" s="3" t="s">
        <v>49</v>
      </c>
      <c r="I2012" s="3" t="s">
        <v>34</v>
      </c>
      <c r="J2012" s="3">
        <f t="shared" si="165"/>
        <v>25983</v>
      </c>
      <c r="K2012" s="3">
        <f t="shared" si="164"/>
        <v>26010</v>
      </c>
      <c r="L2012" s="3">
        <v>27</v>
      </c>
      <c r="M2012" s="3">
        <f t="shared" si="166"/>
        <v>51.809999999999803</v>
      </c>
      <c r="N2012" s="3">
        <v>3.2</v>
      </c>
    </row>
    <row r="2013" spans="4:14" ht="15" customHeight="1" x14ac:dyDescent="0.25">
      <c r="D2013" s="13">
        <v>45740</v>
      </c>
      <c r="H2013" s="3" t="s">
        <v>34</v>
      </c>
      <c r="I2013" s="3" t="s">
        <v>35</v>
      </c>
      <c r="J2013" s="3">
        <f t="shared" si="165"/>
        <v>26010</v>
      </c>
      <c r="K2013" s="3">
        <f t="shared" si="164"/>
        <v>26022</v>
      </c>
      <c r="L2013" s="3">
        <v>12</v>
      </c>
      <c r="M2013" s="3">
        <f t="shared" si="166"/>
        <v>50.559999999999803</v>
      </c>
      <c r="N2013" s="3">
        <v>1.25</v>
      </c>
    </row>
    <row r="2014" spans="4:14" ht="15" customHeight="1" x14ac:dyDescent="0.25">
      <c r="D2014" s="13"/>
      <c r="H2014" s="3" t="s">
        <v>35</v>
      </c>
      <c r="I2014" s="3" t="s">
        <v>34</v>
      </c>
      <c r="J2014" s="3">
        <f t="shared" si="165"/>
        <v>26022</v>
      </c>
      <c r="K2014" s="3">
        <f t="shared" si="164"/>
        <v>26034</v>
      </c>
      <c r="L2014" s="3">
        <v>12</v>
      </c>
      <c r="M2014" s="3">
        <f t="shared" si="166"/>
        <v>49.309999999999803</v>
      </c>
      <c r="N2014" s="3">
        <v>1.25</v>
      </c>
    </row>
    <row r="2015" spans="4:14" ht="15" customHeight="1" x14ac:dyDescent="0.25">
      <c r="D2015" s="13"/>
      <c r="H2015" s="3" t="s">
        <v>34</v>
      </c>
      <c r="I2015" s="3" t="s">
        <v>49</v>
      </c>
      <c r="J2015" s="3">
        <f t="shared" si="165"/>
        <v>26034</v>
      </c>
      <c r="K2015" s="3">
        <f t="shared" ref="K2015:K2046" si="167">J2015+L2015</f>
        <v>26061</v>
      </c>
      <c r="L2015" s="3">
        <v>27</v>
      </c>
      <c r="M2015" s="3">
        <f t="shared" si="166"/>
        <v>46.1099999999998</v>
      </c>
      <c r="N2015" s="3">
        <v>3.2</v>
      </c>
    </row>
    <row r="2016" spans="4:14" ht="15" customHeight="1" x14ac:dyDescent="0.25">
      <c r="D2016" s="13"/>
      <c r="H2016" s="3" t="s">
        <v>49</v>
      </c>
      <c r="I2016" s="3" t="s">
        <v>34</v>
      </c>
      <c r="J2016" s="3">
        <f t="shared" ref="J2016:J2032" si="168">K2015</f>
        <v>26061</v>
      </c>
      <c r="K2016" s="3">
        <f t="shared" si="167"/>
        <v>26088</v>
      </c>
      <c r="L2016" s="3">
        <v>27</v>
      </c>
      <c r="M2016" s="3">
        <f t="shared" ref="M2016:M2047" si="169">(E2016+M2015)-N2016</f>
        <v>42.909999999999798</v>
      </c>
      <c r="N2016" s="3">
        <v>3.2</v>
      </c>
    </row>
    <row r="2017" spans="4:14" ht="15" customHeight="1" x14ac:dyDescent="0.25">
      <c r="D2017" s="13">
        <v>45741</v>
      </c>
      <c r="H2017" s="3" t="s">
        <v>34</v>
      </c>
      <c r="I2017" s="3" t="s">
        <v>85</v>
      </c>
      <c r="J2017" s="3">
        <f t="shared" si="168"/>
        <v>26088</v>
      </c>
      <c r="K2017" s="3">
        <f t="shared" si="167"/>
        <v>26132</v>
      </c>
      <c r="L2017" s="3">
        <v>44</v>
      </c>
      <c r="M2017" s="3">
        <f t="shared" si="169"/>
        <v>37.909999999999798</v>
      </c>
      <c r="N2017" s="3">
        <v>5</v>
      </c>
    </row>
    <row r="2018" spans="4:14" ht="15" customHeight="1" x14ac:dyDescent="0.25">
      <c r="D2018" s="13"/>
      <c r="H2018" s="3" t="s">
        <v>85</v>
      </c>
      <c r="I2018" s="3" t="s">
        <v>34</v>
      </c>
      <c r="J2018" s="3">
        <f t="shared" si="168"/>
        <v>26132</v>
      </c>
      <c r="K2018" s="3">
        <f t="shared" si="167"/>
        <v>26176</v>
      </c>
      <c r="L2018" s="3">
        <v>44</v>
      </c>
      <c r="M2018" s="3">
        <f t="shared" si="169"/>
        <v>32.909999999999798</v>
      </c>
      <c r="N2018" s="3">
        <v>5</v>
      </c>
    </row>
    <row r="2019" spans="4:14" ht="15" customHeight="1" x14ac:dyDescent="0.25">
      <c r="D2019" s="13">
        <v>45742</v>
      </c>
      <c r="H2019" s="3" t="s">
        <v>34</v>
      </c>
      <c r="I2019" s="3" t="s">
        <v>85</v>
      </c>
      <c r="J2019" s="3">
        <f t="shared" si="168"/>
        <v>26176</v>
      </c>
      <c r="K2019" s="3">
        <f t="shared" si="167"/>
        <v>26220</v>
      </c>
      <c r="L2019" s="3">
        <v>44</v>
      </c>
      <c r="M2019" s="3">
        <f t="shared" si="169"/>
        <v>27.909999999999798</v>
      </c>
      <c r="N2019" s="3">
        <v>5</v>
      </c>
    </row>
    <row r="2020" spans="4:14" ht="15" customHeight="1" x14ac:dyDescent="0.25">
      <c r="D2020" s="13"/>
      <c r="H2020" s="3" t="s">
        <v>85</v>
      </c>
      <c r="I2020" s="3" t="s">
        <v>34</v>
      </c>
      <c r="J2020" s="3">
        <f t="shared" si="168"/>
        <v>26220</v>
      </c>
      <c r="K2020" s="3">
        <f t="shared" si="167"/>
        <v>26264</v>
      </c>
      <c r="L2020" s="3">
        <v>44</v>
      </c>
      <c r="M2020" s="3">
        <f t="shared" si="169"/>
        <v>22.909999999999798</v>
      </c>
      <c r="N2020" s="3">
        <v>5</v>
      </c>
    </row>
    <row r="2021" spans="4:14" ht="15" customHeight="1" x14ac:dyDescent="0.25">
      <c r="D2021" s="13">
        <v>45743</v>
      </c>
      <c r="E2021">
        <v>51.19</v>
      </c>
      <c r="F2021" s="3">
        <v>62.43</v>
      </c>
      <c r="G2021" s="8">
        <f>E2021*F2021</f>
        <v>3195.7916999999998</v>
      </c>
      <c r="H2021" s="3" t="s">
        <v>34</v>
      </c>
      <c r="I2021" s="3" t="s">
        <v>44</v>
      </c>
      <c r="J2021" s="3">
        <f t="shared" si="168"/>
        <v>26264</v>
      </c>
      <c r="K2021" s="3">
        <f t="shared" si="167"/>
        <v>26304</v>
      </c>
      <c r="L2021" s="3">
        <v>40</v>
      </c>
      <c r="M2021" s="3">
        <f t="shared" si="169"/>
        <v>69.299999999999798</v>
      </c>
      <c r="N2021" s="3">
        <v>4.8</v>
      </c>
    </row>
    <row r="2022" spans="4:14" ht="15" customHeight="1" x14ac:dyDescent="0.25">
      <c r="D2022" s="13"/>
      <c r="H2022" s="3" t="s">
        <v>44</v>
      </c>
      <c r="I2022" s="3" t="s">
        <v>34</v>
      </c>
      <c r="J2022" s="3">
        <f t="shared" si="168"/>
        <v>26304</v>
      </c>
      <c r="K2022" s="3">
        <f t="shared" si="167"/>
        <v>26344</v>
      </c>
      <c r="L2022" s="3">
        <v>40</v>
      </c>
      <c r="M2022" s="3">
        <f t="shared" si="169"/>
        <v>64.499999999999801</v>
      </c>
      <c r="N2022" s="3">
        <v>4.8</v>
      </c>
    </row>
    <row r="2023" spans="4:14" ht="15" customHeight="1" x14ac:dyDescent="0.25">
      <c r="D2023" s="13"/>
      <c r="H2023" s="3" t="s">
        <v>34</v>
      </c>
      <c r="I2023" s="3" t="s">
        <v>54</v>
      </c>
      <c r="J2023" s="3">
        <f t="shared" si="168"/>
        <v>26344</v>
      </c>
      <c r="K2023" s="3">
        <f t="shared" si="167"/>
        <v>26371</v>
      </c>
      <c r="L2023" s="3">
        <v>27</v>
      </c>
      <c r="M2023" s="3">
        <f t="shared" si="169"/>
        <v>61.299999999999798</v>
      </c>
      <c r="N2023" s="3">
        <v>3.2</v>
      </c>
    </row>
    <row r="2024" spans="4:14" ht="15" customHeight="1" x14ac:dyDescent="0.25">
      <c r="D2024" s="13"/>
      <c r="H2024" s="3" t="s">
        <v>54</v>
      </c>
      <c r="I2024" s="3" t="s">
        <v>34</v>
      </c>
      <c r="J2024" s="3">
        <f t="shared" si="168"/>
        <v>26371</v>
      </c>
      <c r="K2024" s="3">
        <f t="shared" si="167"/>
        <v>26398</v>
      </c>
      <c r="L2024" s="3">
        <v>27</v>
      </c>
      <c r="M2024" s="3">
        <f t="shared" si="169"/>
        <v>58.099999999999795</v>
      </c>
      <c r="N2024" s="3">
        <v>3.2</v>
      </c>
    </row>
    <row r="2025" spans="4:14" ht="15" customHeight="1" x14ac:dyDescent="0.25">
      <c r="D2025" s="13">
        <v>45744</v>
      </c>
      <c r="H2025" s="3" t="s">
        <v>34</v>
      </c>
      <c r="I2025" s="3" t="s">
        <v>85</v>
      </c>
      <c r="J2025" s="3">
        <f t="shared" si="168"/>
        <v>26398</v>
      </c>
      <c r="K2025" s="3">
        <f t="shared" si="167"/>
        <v>26442</v>
      </c>
      <c r="L2025" s="3">
        <v>44</v>
      </c>
      <c r="M2025" s="3">
        <f t="shared" si="169"/>
        <v>53.099999999999795</v>
      </c>
      <c r="N2025" s="3">
        <v>5</v>
      </c>
    </row>
    <row r="2026" spans="4:14" ht="15" customHeight="1" x14ac:dyDescent="0.25">
      <c r="D2026" s="13"/>
      <c r="H2026" s="3" t="s">
        <v>85</v>
      </c>
      <c r="I2026" s="3" t="s">
        <v>34</v>
      </c>
      <c r="J2026" s="3">
        <f t="shared" si="168"/>
        <v>26442</v>
      </c>
      <c r="K2026" s="3">
        <f t="shared" si="167"/>
        <v>26486</v>
      </c>
      <c r="L2026" s="3">
        <v>44</v>
      </c>
      <c r="M2026" s="3">
        <f t="shared" si="169"/>
        <v>48.099999999999795</v>
      </c>
      <c r="N2026" s="3">
        <v>5</v>
      </c>
    </row>
    <row r="2027" spans="4:14" ht="15" customHeight="1" x14ac:dyDescent="0.25">
      <c r="D2027" s="13"/>
      <c r="H2027" s="3" t="s">
        <v>34</v>
      </c>
      <c r="I2027" s="3" t="s">
        <v>49</v>
      </c>
      <c r="J2027" s="3">
        <f t="shared" si="168"/>
        <v>26486</v>
      </c>
      <c r="K2027" s="3">
        <f t="shared" si="167"/>
        <v>26513</v>
      </c>
      <c r="L2027" s="3">
        <v>27</v>
      </c>
      <c r="M2027" s="3">
        <f t="shared" si="169"/>
        <v>44.899999999999793</v>
      </c>
      <c r="N2027" s="3">
        <v>3.2</v>
      </c>
    </row>
    <row r="2028" spans="4:14" ht="15" customHeight="1" x14ac:dyDescent="0.25">
      <c r="D2028" s="13"/>
      <c r="H2028" s="3" t="s">
        <v>49</v>
      </c>
      <c r="I2028" s="3" t="s">
        <v>34</v>
      </c>
      <c r="J2028" s="3">
        <f t="shared" si="168"/>
        <v>26513</v>
      </c>
      <c r="K2028" s="3">
        <f t="shared" si="167"/>
        <v>26540</v>
      </c>
      <c r="L2028" s="3">
        <v>27</v>
      </c>
      <c r="M2028" s="3">
        <f t="shared" si="169"/>
        <v>41.69999999999979</v>
      </c>
      <c r="N2028" s="3">
        <v>3.2</v>
      </c>
    </row>
    <row r="2029" spans="4:14" ht="15" customHeight="1" x14ac:dyDescent="0.25">
      <c r="D2029" s="13">
        <v>45747</v>
      </c>
      <c r="H2029" s="3" t="s">
        <v>34</v>
      </c>
      <c r="I2029" s="3" t="s">
        <v>54</v>
      </c>
      <c r="J2029" s="3">
        <f t="shared" si="168"/>
        <v>26540</v>
      </c>
      <c r="K2029" s="3">
        <f t="shared" si="167"/>
        <v>26567</v>
      </c>
      <c r="L2029" s="3">
        <v>27</v>
      </c>
      <c r="M2029" s="3">
        <f t="shared" si="169"/>
        <v>38.499999999999787</v>
      </c>
      <c r="N2029" s="3">
        <v>3.2</v>
      </c>
    </row>
    <row r="2030" spans="4:14" ht="15" customHeight="1" x14ac:dyDescent="0.25">
      <c r="D2030" s="13"/>
      <c r="H2030" s="3" t="s">
        <v>54</v>
      </c>
      <c r="I2030" s="3" t="s">
        <v>34</v>
      </c>
      <c r="J2030" s="3">
        <f t="shared" si="168"/>
        <v>26567</v>
      </c>
      <c r="K2030" s="3">
        <f t="shared" si="167"/>
        <v>26594</v>
      </c>
      <c r="L2030" s="3">
        <v>27</v>
      </c>
      <c r="M2030" s="3">
        <f t="shared" si="169"/>
        <v>35.299999999999784</v>
      </c>
      <c r="N2030" s="3">
        <v>3.2</v>
      </c>
    </row>
    <row r="2031" spans="4:14" ht="15" customHeight="1" x14ac:dyDescent="0.25">
      <c r="H2031" s="3" t="s">
        <v>34</v>
      </c>
      <c r="I2031" s="3" t="s">
        <v>35</v>
      </c>
      <c r="J2031" s="3">
        <f t="shared" si="168"/>
        <v>26594</v>
      </c>
      <c r="K2031" s="3">
        <f t="shared" si="167"/>
        <v>26606</v>
      </c>
      <c r="L2031" s="3">
        <v>12</v>
      </c>
      <c r="M2031" s="3">
        <f t="shared" si="169"/>
        <v>34.049999999999784</v>
      </c>
      <c r="N2031" s="3">
        <v>1.25</v>
      </c>
    </row>
    <row r="2032" spans="4:14" ht="15" customHeight="1" x14ac:dyDescent="0.25">
      <c r="H2032" s="3" t="s">
        <v>35</v>
      </c>
      <c r="I2032" s="3" t="s">
        <v>34</v>
      </c>
      <c r="J2032" s="3">
        <f t="shared" si="168"/>
        <v>26606</v>
      </c>
      <c r="K2032" s="3">
        <f t="shared" si="167"/>
        <v>26618</v>
      </c>
      <c r="L2032" s="3">
        <v>12</v>
      </c>
      <c r="M2032" s="3">
        <f t="shared" si="169"/>
        <v>32.799999999999784</v>
      </c>
      <c r="N2032" s="3">
        <v>1.25</v>
      </c>
    </row>
    <row r="2034" spans="4:14" ht="15" customHeight="1" x14ac:dyDescent="0.25">
      <c r="D2034" s="2" t="s">
        <v>92</v>
      </c>
      <c r="E2034" s="2"/>
      <c r="F2034" s="2"/>
      <c r="G2034" s="2"/>
    </row>
    <row r="2036" spans="4:14" ht="15" customHeight="1" x14ac:dyDescent="0.25">
      <c r="D2036" s="13">
        <v>45748</v>
      </c>
      <c r="H2036" s="3" t="s">
        <v>34</v>
      </c>
      <c r="I2036" s="3" t="s">
        <v>85</v>
      </c>
      <c r="J2036" s="3">
        <f>K2032</f>
        <v>26618</v>
      </c>
      <c r="K2036" s="3">
        <f t="shared" ref="K2036:K2079" si="170">J2036+L2036</f>
        <v>26662</v>
      </c>
      <c r="L2036" s="3">
        <v>44</v>
      </c>
      <c r="M2036" s="3">
        <f>(E2036+M2032)-N2036</f>
        <v>27.799999999999784</v>
      </c>
      <c r="N2036" s="3">
        <v>5</v>
      </c>
    </row>
    <row r="2037" spans="4:14" ht="15" customHeight="1" x14ac:dyDescent="0.25">
      <c r="H2037" s="3" t="s">
        <v>85</v>
      </c>
      <c r="I2037" s="3" t="s">
        <v>34</v>
      </c>
      <c r="J2037" s="3">
        <f t="shared" ref="J2037:J2079" si="171">K2036</f>
        <v>26662</v>
      </c>
      <c r="K2037" s="3">
        <f t="shared" si="170"/>
        <v>26706</v>
      </c>
      <c r="L2037" s="3">
        <v>44</v>
      </c>
      <c r="M2037" s="3">
        <f t="shared" ref="M2037:M2079" si="172">(E2037+M2036)-N2037</f>
        <v>22.799999999999784</v>
      </c>
      <c r="N2037" s="3">
        <v>5</v>
      </c>
    </row>
    <row r="2038" spans="4:14" ht="15" customHeight="1" x14ac:dyDescent="0.25">
      <c r="D2038" s="13">
        <v>45749</v>
      </c>
      <c r="H2038" s="3" t="s">
        <v>34</v>
      </c>
      <c r="I2038" s="3" t="s">
        <v>54</v>
      </c>
      <c r="J2038" s="3">
        <f t="shared" si="171"/>
        <v>26706</v>
      </c>
      <c r="K2038" s="3">
        <f t="shared" si="170"/>
        <v>26733</v>
      </c>
      <c r="L2038" s="3">
        <v>27</v>
      </c>
      <c r="M2038" s="3">
        <f t="shared" si="172"/>
        <v>19.599999999999785</v>
      </c>
      <c r="N2038" s="3">
        <v>3.2</v>
      </c>
    </row>
    <row r="2039" spans="4:14" ht="15" customHeight="1" x14ac:dyDescent="0.25">
      <c r="D2039" s="13"/>
      <c r="H2039" s="3" t="s">
        <v>54</v>
      </c>
      <c r="I2039" s="3" t="s">
        <v>34</v>
      </c>
      <c r="J2039" s="3">
        <f t="shared" si="171"/>
        <v>26733</v>
      </c>
      <c r="K2039" s="3">
        <f t="shared" si="170"/>
        <v>26760</v>
      </c>
      <c r="L2039" s="3">
        <v>27</v>
      </c>
      <c r="M2039" s="3">
        <f t="shared" si="172"/>
        <v>16.399999999999785</v>
      </c>
      <c r="N2039" s="3">
        <v>3.2</v>
      </c>
    </row>
    <row r="2040" spans="4:14" ht="15" customHeight="1" x14ac:dyDescent="0.25">
      <c r="D2040" s="13">
        <v>45750</v>
      </c>
      <c r="E2040">
        <v>39.75</v>
      </c>
      <c r="F2040" s="3">
        <v>62.51</v>
      </c>
      <c r="G2040" s="8">
        <f>E2040*F2040</f>
        <v>2484.7725</v>
      </c>
      <c r="H2040" s="3" t="s">
        <v>34</v>
      </c>
      <c r="I2040" s="3" t="s">
        <v>44</v>
      </c>
      <c r="J2040" s="3">
        <f t="shared" si="171"/>
        <v>26760</v>
      </c>
      <c r="K2040" s="3">
        <f t="shared" si="170"/>
        <v>26800</v>
      </c>
      <c r="L2040" s="3">
        <v>40</v>
      </c>
      <c r="M2040" s="3">
        <f t="shared" si="172"/>
        <v>51.349999999999788</v>
      </c>
      <c r="N2040" s="3">
        <v>4.8</v>
      </c>
    </row>
    <row r="2041" spans="4:14" ht="15" customHeight="1" x14ac:dyDescent="0.25">
      <c r="D2041" s="13"/>
      <c r="H2041" s="3" t="s">
        <v>44</v>
      </c>
      <c r="I2041" s="3" t="s">
        <v>34</v>
      </c>
      <c r="J2041" s="3">
        <f t="shared" si="171"/>
        <v>26800</v>
      </c>
      <c r="K2041" s="3">
        <f t="shared" si="170"/>
        <v>26840</v>
      </c>
      <c r="L2041" s="3">
        <v>40</v>
      </c>
      <c r="M2041" s="3">
        <f t="shared" si="172"/>
        <v>46.549999999999791</v>
      </c>
      <c r="N2041" s="3">
        <v>4.8</v>
      </c>
    </row>
    <row r="2042" spans="4:14" ht="15" customHeight="1" x14ac:dyDescent="0.25">
      <c r="D2042" s="13">
        <v>45751</v>
      </c>
      <c r="H2042" s="3" t="s">
        <v>34</v>
      </c>
      <c r="I2042" s="3" t="s">
        <v>35</v>
      </c>
      <c r="J2042" s="3">
        <f t="shared" si="171"/>
        <v>26840</v>
      </c>
      <c r="K2042" s="3">
        <f t="shared" si="170"/>
        <v>26852</v>
      </c>
      <c r="L2042" s="3">
        <v>12</v>
      </c>
      <c r="M2042" s="3">
        <f t="shared" si="172"/>
        <v>45.299999999999791</v>
      </c>
      <c r="N2042" s="3">
        <v>1.25</v>
      </c>
    </row>
    <row r="2043" spans="4:14" ht="15" customHeight="1" x14ac:dyDescent="0.25">
      <c r="H2043" s="3" t="s">
        <v>35</v>
      </c>
      <c r="I2043" s="3" t="s">
        <v>34</v>
      </c>
      <c r="J2043" s="3">
        <f t="shared" si="171"/>
        <v>26852</v>
      </c>
      <c r="K2043" s="3">
        <f t="shared" si="170"/>
        <v>26864</v>
      </c>
      <c r="L2043" s="3">
        <v>12</v>
      </c>
      <c r="M2043" s="3">
        <f t="shared" si="172"/>
        <v>44.049999999999791</v>
      </c>
      <c r="N2043" s="3">
        <v>1.25</v>
      </c>
    </row>
    <row r="2044" spans="4:14" ht="15" customHeight="1" x14ac:dyDescent="0.25">
      <c r="D2044" s="13">
        <v>45754</v>
      </c>
      <c r="H2044" s="3" t="s">
        <v>34</v>
      </c>
      <c r="I2044" s="3" t="s">
        <v>54</v>
      </c>
      <c r="J2044" s="3">
        <f t="shared" si="171"/>
        <v>26864</v>
      </c>
      <c r="K2044" s="3">
        <f t="shared" si="170"/>
        <v>26891</v>
      </c>
      <c r="L2044" s="3">
        <v>27</v>
      </c>
      <c r="M2044" s="3">
        <f t="shared" si="172"/>
        <v>40.849999999999788</v>
      </c>
      <c r="N2044" s="3">
        <v>3.2</v>
      </c>
    </row>
    <row r="2045" spans="4:14" ht="15" customHeight="1" x14ac:dyDescent="0.25">
      <c r="D2045" s="13"/>
      <c r="H2045" s="3" t="s">
        <v>54</v>
      </c>
      <c r="I2045" s="3" t="s">
        <v>34</v>
      </c>
      <c r="J2045" s="3">
        <f t="shared" si="171"/>
        <v>26891</v>
      </c>
      <c r="K2045" s="3">
        <f t="shared" si="170"/>
        <v>26918</v>
      </c>
      <c r="L2045" s="3">
        <v>27</v>
      </c>
      <c r="M2045" s="3">
        <f t="shared" si="172"/>
        <v>37.649999999999785</v>
      </c>
      <c r="N2045" s="3">
        <v>3.2</v>
      </c>
    </row>
    <row r="2046" spans="4:14" ht="15" customHeight="1" x14ac:dyDescent="0.25">
      <c r="D2046" s="13">
        <v>45755</v>
      </c>
      <c r="H2046" s="3" t="s">
        <v>34</v>
      </c>
      <c r="I2046" s="3" t="s">
        <v>54</v>
      </c>
      <c r="J2046" s="3">
        <f t="shared" si="171"/>
        <v>26918</v>
      </c>
      <c r="K2046" s="3">
        <f t="shared" si="170"/>
        <v>26945</v>
      </c>
      <c r="L2046" s="3">
        <v>27</v>
      </c>
      <c r="M2046" s="3">
        <f t="shared" si="172"/>
        <v>34.449999999999783</v>
      </c>
      <c r="N2046" s="3">
        <v>3.2</v>
      </c>
    </row>
    <row r="2047" spans="4:14" ht="15" customHeight="1" x14ac:dyDescent="0.25">
      <c r="D2047" s="13"/>
      <c r="H2047" s="3" t="s">
        <v>54</v>
      </c>
      <c r="I2047" s="3" t="s">
        <v>34</v>
      </c>
      <c r="J2047" s="3">
        <f t="shared" si="171"/>
        <v>26945</v>
      </c>
      <c r="K2047" s="3">
        <f t="shared" si="170"/>
        <v>26972</v>
      </c>
      <c r="L2047" s="3">
        <v>27</v>
      </c>
      <c r="M2047" s="3">
        <f t="shared" si="172"/>
        <v>31.249999999999783</v>
      </c>
      <c r="N2047" s="3">
        <v>3.2</v>
      </c>
    </row>
    <row r="2048" spans="4:14" ht="15" customHeight="1" x14ac:dyDescent="0.25">
      <c r="D2048" s="13">
        <v>45756</v>
      </c>
      <c r="H2048" s="3" t="s">
        <v>34</v>
      </c>
      <c r="I2048" s="3" t="s">
        <v>54</v>
      </c>
      <c r="J2048" s="3">
        <f t="shared" si="171"/>
        <v>26972</v>
      </c>
      <c r="K2048" s="3">
        <f t="shared" si="170"/>
        <v>26999</v>
      </c>
      <c r="L2048" s="3">
        <v>27</v>
      </c>
      <c r="M2048" s="3">
        <f t="shared" si="172"/>
        <v>28.049999999999784</v>
      </c>
      <c r="N2048" s="3">
        <v>3.2</v>
      </c>
    </row>
    <row r="2049" spans="4:14" ht="15" customHeight="1" x14ac:dyDescent="0.25">
      <c r="D2049" s="13"/>
      <c r="H2049" s="3" t="s">
        <v>54</v>
      </c>
      <c r="I2049" s="3" t="s">
        <v>34</v>
      </c>
      <c r="J2049" s="3">
        <f t="shared" si="171"/>
        <v>26999</v>
      </c>
      <c r="K2049" s="3">
        <f t="shared" si="170"/>
        <v>27026</v>
      </c>
      <c r="L2049" s="3">
        <v>27</v>
      </c>
      <c r="M2049" s="3">
        <f t="shared" si="172"/>
        <v>24.849999999999785</v>
      </c>
      <c r="N2049" s="3">
        <v>3.2</v>
      </c>
    </row>
    <row r="2050" spans="4:14" ht="15" customHeight="1" x14ac:dyDescent="0.25">
      <c r="D2050" s="13">
        <v>45757</v>
      </c>
      <c r="H2050" s="3" t="s">
        <v>34</v>
      </c>
      <c r="I2050" s="3" t="s">
        <v>49</v>
      </c>
      <c r="J2050" s="3">
        <f t="shared" si="171"/>
        <v>27026</v>
      </c>
      <c r="K2050" s="3">
        <f t="shared" si="170"/>
        <v>27053</v>
      </c>
      <c r="L2050" s="3">
        <v>27</v>
      </c>
      <c r="M2050" s="3">
        <f t="shared" si="172"/>
        <v>21.649999999999785</v>
      </c>
      <c r="N2050" s="3">
        <v>3.2</v>
      </c>
    </row>
    <row r="2051" spans="4:14" ht="15" customHeight="1" x14ac:dyDescent="0.25">
      <c r="D2051" s="13"/>
      <c r="H2051" s="3" t="s">
        <v>49</v>
      </c>
      <c r="I2051" s="3" t="s">
        <v>34</v>
      </c>
      <c r="J2051" s="3">
        <f t="shared" si="171"/>
        <v>27053</v>
      </c>
      <c r="K2051" s="3">
        <f t="shared" si="170"/>
        <v>27080</v>
      </c>
      <c r="L2051" s="3">
        <v>27</v>
      </c>
      <c r="M2051" s="3">
        <f t="shared" si="172"/>
        <v>18.449999999999786</v>
      </c>
      <c r="N2051" s="3">
        <v>3.2</v>
      </c>
    </row>
    <row r="2052" spans="4:14" ht="15" customHeight="1" x14ac:dyDescent="0.25">
      <c r="D2052" s="13">
        <v>45758</v>
      </c>
      <c r="H2052" s="3" t="s">
        <v>34</v>
      </c>
      <c r="I2052" s="3" t="s">
        <v>43</v>
      </c>
      <c r="J2052" s="3">
        <f t="shared" si="171"/>
        <v>27080</v>
      </c>
      <c r="K2052" s="3">
        <f t="shared" si="170"/>
        <v>27092</v>
      </c>
      <c r="L2052" s="3">
        <v>12</v>
      </c>
      <c r="M2052" s="3">
        <f t="shared" si="172"/>
        <v>17.199999999999786</v>
      </c>
      <c r="N2052" s="3">
        <v>1.25</v>
      </c>
    </row>
    <row r="2053" spans="4:14" ht="15" customHeight="1" x14ac:dyDescent="0.25">
      <c r="H2053" s="3" t="s">
        <v>43</v>
      </c>
      <c r="I2053" s="3" t="s">
        <v>34</v>
      </c>
      <c r="J2053" s="3">
        <f t="shared" si="171"/>
        <v>27092</v>
      </c>
      <c r="K2053" s="3">
        <f t="shared" si="170"/>
        <v>27104</v>
      </c>
      <c r="L2053" s="3">
        <v>12</v>
      </c>
      <c r="M2053" s="3">
        <f t="shared" si="172"/>
        <v>15.949999999999786</v>
      </c>
      <c r="N2053" s="3">
        <v>1.25</v>
      </c>
    </row>
    <row r="2054" spans="4:14" ht="15" customHeight="1" x14ac:dyDescent="0.25">
      <c r="D2054" s="13">
        <v>45761</v>
      </c>
      <c r="H2054" s="3" t="s">
        <v>34</v>
      </c>
      <c r="I2054" s="3" t="s">
        <v>85</v>
      </c>
      <c r="J2054" s="3">
        <f t="shared" si="171"/>
        <v>27104</v>
      </c>
      <c r="K2054" s="3">
        <f t="shared" si="170"/>
        <v>27148</v>
      </c>
      <c r="L2054" s="3">
        <v>44</v>
      </c>
      <c r="M2054" s="3">
        <f t="shared" si="172"/>
        <v>10.949999999999786</v>
      </c>
      <c r="N2054" s="3">
        <v>5</v>
      </c>
    </row>
    <row r="2055" spans="4:14" ht="15" customHeight="1" x14ac:dyDescent="0.25">
      <c r="D2055" s="13"/>
      <c r="H2055" s="3" t="s">
        <v>85</v>
      </c>
      <c r="I2055" s="3" t="s">
        <v>34</v>
      </c>
      <c r="J2055" s="3">
        <f t="shared" si="171"/>
        <v>27148</v>
      </c>
      <c r="K2055" s="3">
        <f t="shared" si="170"/>
        <v>27192</v>
      </c>
      <c r="L2055" s="3">
        <v>44</v>
      </c>
      <c r="M2055" s="3">
        <f t="shared" si="172"/>
        <v>5.9499999999997861</v>
      </c>
      <c r="N2055" s="3">
        <v>5</v>
      </c>
    </row>
    <row r="2056" spans="4:14" ht="15" customHeight="1" x14ac:dyDescent="0.25">
      <c r="D2056" s="13">
        <v>45762</v>
      </c>
      <c r="E2056">
        <v>49.06</v>
      </c>
      <c r="F2056" s="3">
        <v>62.63</v>
      </c>
      <c r="G2056" s="8">
        <f>E2056*F2056</f>
        <v>3072.6278000000002</v>
      </c>
      <c r="H2056" s="3" t="s">
        <v>34</v>
      </c>
      <c r="I2056" s="3" t="s">
        <v>44</v>
      </c>
      <c r="J2056" s="3">
        <f t="shared" si="171"/>
        <v>27192</v>
      </c>
      <c r="K2056" s="3">
        <f t="shared" si="170"/>
        <v>27232</v>
      </c>
      <c r="L2056" s="3">
        <v>40</v>
      </c>
      <c r="M2056" s="3">
        <f t="shared" si="172"/>
        <v>50.209999999999795</v>
      </c>
      <c r="N2056" s="3">
        <v>4.8</v>
      </c>
    </row>
    <row r="2057" spans="4:14" ht="15" customHeight="1" x14ac:dyDescent="0.25">
      <c r="D2057" s="13"/>
      <c r="H2057" s="3" t="s">
        <v>44</v>
      </c>
      <c r="I2057" s="3" t="s">
        <v>34</v>
      </c>
      <c r="J2057" s="3">
        <f t="shared" si="171"/>
        <v>27232</v>
      </c>
      <c r="K2057" s="3">
        <f t="shared" si="170"/>
        <v>27272</v>
      </c>
      <c r="L2057" s="3">
        <v>40</v>
      </c>
      <c r="M2057" s="3">
        <f t="shared" si="172"/>
        <v>45.409999999999798</v>
      </c>
      <c r="N2057" s="3">
        <v>4.8</v>
      </c>
    </row>
    <row r="2058" spans="4:14" ht="15" customHeight="1" x14ac:dyDescent="0.25">
      <c r="D2058" s="13">
        <v>45763</v>
      </c>
      <c r="H2058" s="3" t="s">
        <v>34</v>
      </c>
      <c r="I2058" s="3" t="s">
        <v>44</v>
      </c>
      <c r="J2058" s="3">
        <f t="shared" si="171"/>
        <v>27272</v>
      </c>
      <c r="K2058" s="3">
        <f t="shared" si="170"/>
        <v>27312</v>
      </c>
      <c r="L2058" s="3">
        <v>40</v>
      </c>
      <c r="M2058" s="3">
        <f t="shared" si="172"/>
        <v>40.6099999999998</v>
      </c>
      <c r="N2058" s="3">
        <v>4.8</v>
      </c>
    </row>
    <row r="2059" spans="4:14" ht="15" customHeight="1" x14ac:dyDescent="0.25">
      <c r="D2059" s="13"/>
      <c r="H2059" s="3" t="s">
        <v>44</v>
      </c>
      <c r="I2059" s="3" t="s">
        <v>34</v>
      </c>
      <c r="J2059" s="3">
        <f t="shared" si="171"/>
        <v>27312</v>
      </c>
      <c r="K2059" s="3">
        <f t="shared" si="170"/>
        <v>27352</v>
      </c>
      <c r="L2059" s="3">
        <v>40</v>
      </c>
      <c r="M2059" s="3">
        <f t="shared" si="172"/>
        <v>35.809999999999803</v>
      </c>
      <c r="N2059" s="3">
        <v>4.8</v>
      </c>
    </row>
    <row r="2060" spans="4:14" ht="15" customHeight="1" x14ac:dyDescent="0.25">
      <c r="D2060" s="13">
        <v>45764</v>
      </c>
      <c r="H2060" s="3" t="s">
        <v>34</v>
      </c>
      <c r="I2060" s="3" t="s">
        <v>54</v>
      </c>
      <c r="J2060" s="3">
        <f t="shared" si="171"/>
        <v>27352</v>
      </c>
      <c r="K2060" s="3">
        <f t="shared" si="170"/>
        <v>27379</v>
      </c>
      <c r="L2060" s="3">
        <v>27</v>
      </c>
      <c r="M2060" s="3">
        <f t="shared" si="172"/>
        <v>32.6099999999998</v>
      </c>
      <c r="N2060" s="3">
        <v>3.2</v>
      </c>
    </row>
    <row r="2061" spans="4:14" ht="15" customHeight="1" x14ac:dyDescent="0.25">
      <c r="D2061" s="13"/>
      <c r="H2061" s="3" t="s">
        <v>54</v>
      </c>
      <c r="I2061" s="3" t="s">
        <v>34</v>
      </c>
      <c r="J2061" s="3">
        <f t="shared" si="171"/>
        <v>27379</v>
      </c>
      <c r="K2061" s="3">
        <f t="shared" si="170"/>
        <v>27406</v>
      </c>
      <c r="L2061" s="3">
        <v>27</v>
      </c>
      <c r="M2061" s="3">
        <f t="shared" si="172"/>
        <v>29.409999999999801</v>
      </c>
      <c r="N2061" s="3">
        <v>3.2</v>
      </c>
    </row>
    <row r="2062" spans="4:14" ht="15" customHeight="1" x14ac:dyDescent="0.25">
      <c r="D2062" s="13">
        <v>45765</v>
      </c>
      <c r="H2062" s="3" t="s">
        <v>34</v>
      </c>
      <c r="I2062" s="3" t="s">
        <v>81</v>
      </c>
      <c r="J2062" s="3">
        <f t="shared" si="171"/>
        <v>27406</v>
      </c>
      <c r="K2062" s="3">
        <f t="shared" si="170"/>
        <v>27430</v>
      </c>
      <c r="L2062" s="3">
        <v>24</v>
      </c>
      <c r="M2062" s="3">
        <f t="shared" si="172"/>
        <v>26.909999999999801</v>
      </c>
      <c r="N2062" s="3">
        <v>2.5</v>
      </c>
    </row>
    <row r="2063" spans="4:14" ht="15" customHeight="1" x14ac:dyDescent="0.25">
      <c r="H2063" s="3" t="s">
        <v>81</v>
      </c>
      <c r="I2063" s="3" t="s">
        <v>34</v>
      </c>
      <c r="J2063" s="3">
        <f t="shared" si="171"/>
        <v>27430</v>
      </c>
      <c r="K2063" s="3">
        <f t="shared" si="170"/>
        <v>27454</v>
      </c>
      <c r="L2063" s="3">
        <v>24</v>
      </c>
      <c r="M2063" s="3">
        <f t="shared" si="172"/>
        <v>24.409999999999801</v>
      </c>
      <c r="N2063" s="3">
        <v>2.5</v>
      </c>
    </row>
    <row r="2064" spans="4:14" ht="15" customHeight="1" x14ac:dyDescent="0.25">
      <c r="D2064" s="13">
        <v>45768</v>
      </c>
      <c r="H2064" s="3" t="s">
        <v>34</v>
      </c>
      <c r="I2064" s="3" t="s">
        <v>81</v>
      </c>
      <c r="J2064" s="3">
        <f t="shared" si="171"/>
        <v>27454</v>
      </c>
      <c r="K2064" s="3">
        <f t="shared" si="170"/>
        <v>27478</v>
      </c>
      <c r="L2064" s="3">
        <v>24</v>
      </c>
      <c r="M2064" s="3">
        <f t="shared" si="172"/>
        <v>21.909999999999801</v>
      </c>
      <c r="N2064" s="3">
        <v>2.5</v>
      </c>
    </row>
    <row r="2065" spans="4:14" ht="15" customHeight="1" x14ac:dyDescent="0.25">
      <c r="D2065" s="13"/>
      <c r="H2065" s="3" t="s">
        <v>81</v>
      </c>
      <c r="I2065" s="3" t="s">
        <v>34</v>
      </c>
      <c r="J2065" s="3">
        <f t="shared" si="171"/>
        <v>27478</v>
      </c>
      <c r="K2065" s="3">
        <f t="shared" si="170"/>
        <v>27502</v>
      </c>
      <c r="L2065" s="3">
        <v>24</v>
      </c>
      <c r="M2065" s="3">
        <f t="shared" si="172"/>
        <v>19.409999999999801</v>
      </c>
      <c r="N2065" s="3">
        <v>2.5</v>
      </c>
    </row>
    <row r="2066" spans="4:14" ht="15" customHeight="1" x14ac:dyDescent="0.25">
      <c r="D2066" s="13">
        <v>45769</v>
      </c>
      <c r="H2066" s="3" t="s">
        <v>34</v>
      </c>
      <c r="I2066" s="3" t="s">
        <v>44</v>
      </c>
      <c r="J2066" s="3">
        <f t="shared" si="171"/>
        <v>27502</v>
      </c>
      <c r="K2066" s="3">
        <f t="shared" si="170"/>
        <v>27542</v>
      </c>
      <c r="L2066" s="3">
        <v>40</v>
      </c>
      <c r="M2066" s="3">
        <f t="shared" si="172"/>
        <v>14.6099999999998</v>
      </c>
      <c r="N2066" s="3">
        <v>4.8</v>
      </c>
    </row>
    <row r="2067" spans="4:14" ht="15" customHeight="1" x14ac:dyDescent="0.25">
      <c r="D2067" s="13"/>
      <c r="H2067" s="3" t="s">
        <v>44</v>
      </c>
      <c r="I2067" s="3" t="s">
        <v>34</v>
      </c>
      <c r="J2067" s="3">
        <f t="shared" si="171"/>
        <v>27542</v>
      </c>
      <c r="K2067" s="3">
        <f t="shared" si="170"/>
        <v>27582</v>
      </c>
      <c r="L2067" s="3">
        <v>40</v>
      </c>
      <c r="M2067" s="3">
        <f t="shared" si="172"/>
        <v>9.8099999999997998</v>
      </c>
      <c r="N2067" s="3">
        <v>4.8</v>
      </c>
    </row>
    <row r="2068" spans="4:14" ht="15" customHeight="1" x14ac:dyDescent="0.25">
      <c r="D2068" s="13">
        <v>45770</v>
      </c>
      <c r="E2068">
        <v>49.54</v>
      </c>
      <c r="F2068" s="3">
        <v>62.47</v>
      </c>
      <c r="G2068" s="8">
        <f>E2068*F2068</f>
        <v>3094.7637999999997</v>
      </c>
      <c r="H2068" s="3" t="s">
        <v>34</v>
      </c>
      <c r="I2068" s="3" t="s">
        <v>85</v>
      </c>
      <c r="J2068" s="3">
        <f t="shared" si="171"/>
        <v>27582</v>
      </c>
      <c r="K2068" s="3">
        <f t="shared" si="170"/>
        <v>27626</v>
      </c>
      <c r="L2068" s="3">
        <v>44</v>
      </c>
      <c r="M2068" s="3">
        <f t="shared" si="172"/>
        <v>54.349999999999795</v>
      </c>
      <c r="N2068" s="3">
        <v>5</v>
      </c>
    </row>
    <row r="2069" spans="4:14" ht="15" customHeight="1" x14ac:dyDescent="0.25">
      <c r="D2069" s="13"/>
      <c r="H2069" s="3" t="s">
        <v>85</v>
      </c>
      <c r="I2069" s="3" t="s">
        <v>34</v>
      </c>
      <c r="J2069" s="3">
        <f t="shared" si="171"/>
        <v>27626</v>
      </c>
      <c r="K2069" s="3">
        <f t="shared" si="170"/>
        <v>27670</v>
      </c>
      <c r="L2069" s="3">
        <v>44</v>
      </c>
      <c r="M2069" s="3">
        <f t="shared" si="172"/>
        <v>49.349999999999795</v>
      </c>
      <c r="N2069" s="3">
        <v>5</v>
      </c>
    </row>
    <row r="2070" spans="4:14" ht="15" customHeight="1" x14ac:dyDescent="0.25">
      <c r="D2070" s="13">
        <v>45771</v>
      </c>
      <c r="H2070" s="3" t="s">
        <v>34</v>
      </c>
      <c r="I2070" s="3" t="s">
        <v>44</v>
      </c>
      <c r="J2070" s="3">
        <f t="shared" si="171"/>
        <v>27670</v>
      </c>
      <c r="K2070" s="3">
        <f t="shared" si="170"/>
        <v>27710</v>
      </c>
      <c r="L2070" s="3">
        <v>40</v>
      </c>
      <c r="M2070" s="3">
        <f t="shared" si="172"/>
        <v>44.549999999999798</v>
      </c>
      <c r="N2070" s="3">
        <v>4.8</v>
      </c>
    </row>
    <row r="2071" spans="4:14" ht="15" customHeight="1" x14ac:dyDescent="0.25">
      <c r="D2071" s="13"/>
      <c r="H2071" s="3" t="s">
        <v>44</v>
      </c>
      <c r="I2071" s="3" t="s">
        <v>34</v>
      </c>
      <c r="J2071" s="3">
        <f t="shared" si="171"/>
        <v>27710</v>
      </c>
      <c r="K2071" s="3">
        <f t="shared" si="170"/>
        <v>27750</v>
      </c>
      <c r="L2071" s="3">
        <v>40</v>
      </c>
      <c r="M2071" s="3">
        <f t="shared" si="172"/>
        <v>39.749999999999801</v>
      </c>
      <c r="N2071" s="3">
        <v>4.8</v>
      </c>
    </row>
    <row r="2072" spans="4:14" ht="15" customHeight="1" x14ac:dyDescent="0.25">
      <c r="D2072" s="13">
        <v>45772</v>
      </c>
      <c r="H2072" s="3" t="s">
        <v>34</v>
      </c>
      <c r="I2072" s="3" t="s">
        <v>54</v>
      </c>
      <c r="J2072" s="3">
        <f t="shared" si="171"/>
        <v>27750</v>
      </c>
      <c r="K2072" s="3">
        <f t="shared" si="170"/>
        <v>27777</v>
      </c>
      <c r="L2072" s="3">
        <v>27</v>
      </c>
      <c r="M2072" s="3">
        <f t="shared" si="172"/>
        <v>36.549999999999798</v>
      </c>
      <c r="N2072" s="3">
        <v>3.2</v>
      </c>
    </row>
    <row r="2073" spans="4:14" ht="15" customHeight="1" x14ac:dyDescent="0.25">
      <c r="H2073" s="3" t="s">
        <v>54</v>
      </c>
      <c r="I2073" s="3" t="s">
        <v>34</v>
      </c>
      <c r="J2073" s="3">
        <f t="shared" si="171"/>
        <v>27777</v>
      </c>
      <c r="K2073" s="3">
        <f t="shared" si="170"/>
        <v>27804</v>
      </c>
      <c r="L2073" s="3">
        <v>27</v>
      </c>
      <c r="M2073" s="3">
        <f t="shared" si="172"/>
        <v>33.349999999999795</v>
      </c>
      <c r="N2073" s="3">
        <v>3.2</v>
      </c>
    </row>
    <row r="2074" spans="4:14" ht="15" customHeight="1" x14ac:dyDescent="0.25">
      <c r="D2074" s="13">
        <v>45775</v>
      </c>
      <c r="H2074" s="3" t="s">
        <v>34</v>
      </c>
      <c r="I2074" s="3" t="s">
        <v>81</v>
      </c>
      <c r="J2074" s="3">
        <f t="shared" si="171"/>
        <v>27804</v>
      </c>
      <c r="K2074" s="3">
        <f t="shared" si="170"/>
        <v>27828</v>
      </c>
      <c r="L2074" s="3">
        <v>24</v>
      </c>
      <c r="M2074" s="3">
        <f t="shared" si="172"/>
        <v>30.849999999999795</v>
      </c>
      <c r="N2074" s="3">
        <v>2.5</v>
      </c>
    </row>
    <row r="2075" spans="4:14" ht="15" customHeight="1" x14ac:dyDescent="0.25">
      <c r="D2075" s="13"/>
      <c r="H2075" s="3" t="s">
        <v>81</v>
      </c>
      <c r="I2075" s="3" t="s">
        <v>34</v>
      </c>
      <c r="J2075" s="3">
        <f t="shared" si="171"/>
        <v>27828</v>
      </c>
      <c r="K2075" s="3">
        <f t="shared" si="170"/>
        <v>27852</v>
      </c>
      <c r="L2075" s="3">
        <v>24</v>
      </c>
      <c r="M2075" s="3">
        <f t="shared" si="172"/>
        <v>28.349999999999795</v>
      </c>
      <c r="N2075" s="3">
        <v>2.5</v>
      </c>
    </row>
    <row r="2076" spans="4:14" ht="15" customHeight="1" x14ac:dyDescent="0.25">
      <c r="D2076" s="13">
        <v>45776</v>
      </c>
      <c r="H2076" s="3" t="s">
        <v>34</v>
      </c>
      <c r="I2076" s="3" t="s">
        <v>85</v>
      </c>
      <c r="J2076" s="3">
        <f t="shared" si="171"/>
        <v>27852</v>
      </c>
      <c r="K2076" s="3">
        <f t="shared" si="170"/>
        <v>27896</v>
      </c>
      <c r="L2076" s="3">
        <v>44</v>
      </c>
      <c r="M2076" s="3">
        <f t="shared" si="172"/>
        <v>23.349999999999795</v>
      </c>
      <c r="N2076" s="3">
        <v>5</v>
      </c>
    </row>
    <row r="2077" spans="4:14" ht="15" customHeight="1" x14ac:dyDescent="0.25">
      <c r="D2077" s="13"/>
      <c r="H2077" s="3" t="s">
        <v>85</v>
      </c>
      <c r="I2077" s="3" t="s">
        <v>34</v>
      </c>
      <c r="J2077" s="3">
        <f t="shared" si="171"/>
        <v>27896</v>
      </c>
      <c r="K2077" s="3">
        <f t="shared" si="170"/>
        <v>27940</v>
      </c>
      <c r="L2077" s="3">
        <v>44</v>
      </c>
      <c r="M2077" s="3">
        <f t="shared" si="172"/>
        <v>18.349999999999795</v>
      </c>
      <c r="N2077" s="3">
        <v>5</v>
      </c>
    </row>
    <row r="2078" spans="4:14" ht="15" customHeight="1" x14ac:dyDescent="0.25">
      <c r="D2078" s="13">
        <v>45777</v>
      </c>
      <c r="E2078">
        <v>28.02</v>
      </c>
      <c r="F2078" s="3">
        <v>62.86</v>
      </c>
      <c r="G2078" s="8">
        <f>E2078*F2078</f>
        <v>1761.3371999999999</v>
      </c>
      <c r="H2078" s="3" t="s">
        <v>34</v>
      </c>
      <c r="I2078" s="3" t="s">
        <v>44</v>
      </c>
      <c r="J2078" s="3">
        <f t="shared" si="171"/>
        <v>27940</v>
      </c>
      <c r="K2078" s="3">
        <f t="shared" si="170"/>
        <v>27980</v>
      </c>
      <c r="L2078" s="3">
        <v>40</v>
      </c>
      <c r="M2078" s="3">
        <f t="shared" si="172"/>
        <v>41.569999999999794</v>
      </c>
      <c r="N2078" s="3">
        <v>4.8</v>
      </c>
    </row>
    <row r="2079" spans="4:14" ht="15" customHeight="1" x14ac:dyDescent="0.25">
      <c r="H2079" s="3" t="s">
        <v>44</v>
      </c>
      <c r="I2079" s="3" t="s">
        <v>34</v>
      </c>
      <c r="J2079" s="3">
        <f t="shared" si="171"/>
        <v>27980</v>
      </c>
      <c r="K2079" s="3">
        <f t="shared" si="170"/>
        <v>28020</v>
      </c>
      <c r="L2079" s="3">
        <v>40</v>
      </c>
      <c r="M2079" s="3">
        <f t="shared" si="172"/>
        <v>36.769999999999797</v>
      </c>
      <c r="N2079" s="3">
        <v>4.8</v>
      </c>
    </row>
    <row r="2081" spans="4:14" ht="15" customHeight="1" x14ac:dyDescent="0.25">
      <c r="D2081" s="2" t="s">
        <v>93</v>
      </c>
      <c r="E2081" s="2"/>
      <c r="F2081" s="2"/>
      <c r="G2081" s="2"/>
    </row>
    <row r="2083" spans="4:14" ht="15" customHeight="1" x14ac:dyDescent="0.25">
      <c r="D2083" s="13">
        <v>45789</v>
      </c>
      <c r="H2083" s="3" t="s">
        <v>34</v>
      </c>
      <c r="I2083" s="3" t="s">
        <v>85</v>
      </c>
      <c r="J2083" s="3">
        <v>38020</v>
      </c>
      <c r="K2083" s="3">
        <f t="shared" ref="K2083:K2112" si="173">J2083+L2083</f>
        <v>38064</v>
      </c>
      <c r="L2083" s="3">
        <v>44</v>
      </c>
      <c r="M2083" s="3">
        <f>(E2083+M2079)-N2083</f>
        <v>31.769999999999797</v>
      </c>
      <c r="N2083" s="3">
        <v>5</v>
      </c>
    </row>
    <row r="2084" spans="4:14" ht="15" customHeight="1" x14ac:dyDescent="0.25">
      <c r="D2084" s="13"/>
      <c r="H2084" s="3" t="s">
        <v>85</v>
      </c>
      <c r="I2084" s="3" t="s">
        <v>34</v>
      </c>
      <c r="J2084" s="3">
        <f t="shared" ref="J2084:J2112" si="174">K2083</f>
        <v>38064</v>
      </c>
      <c r="K2084" s="3">
        <f t="shared" si="173"/>
        <v>38108</v>
      </c>
      <c r="L2084" s="3">
        <v>44</v>
      </c>
      <c r="M2084" s="3">
        <f t="shared" ref="M2084:M2112" si="175">(E2084+M2083)-N2084</f>
        <v>26.769999999999797</v>
      </c>
      <c r="N2084" s="3">
        <v>5</v>
      </c>
    </row>
    <row r="2085" spans="4:14" ht="15" customHeight="1" x14ac:dyDescent="0.25">
      <c r="D2085" s="13">
        <v>45790</v>
      </c>
      <c r="H2085" s="3" t="s">
        <v>34</v>
      </c>
      <c r="I2085" s="3" t="s">
        <v>44</v>
      </c>
      <c r="J2085" s="3">
        <f t="shared" si="174"/>
        <v>38108</v>
      </c>
      <c r="K2085" s="3">
        <f t="shared" si="173"/>
        <v>38148</v>
      </c>
      <c r="L2085" s="3">
        <v>40</v>
      </c>
      <c r="M2085" s="3">
        <f t="shared" si="175"/>
        <v>21.969999999999796</v>
      </c>
      <c r="N2085" s="3">
        <v>4.8</v>
      </c>
    </row>
    <row r="2086" spans="4:14" ht="15" customHeight="1" x14ac:dyDescent="0.25">
      <c r="D2086" s="13"/>
      <c r="H2086" s="3" t="s">
        <v>44</v>
      </c>
      <c r="I2086" s="3" t="s">
        <v>34</v>
      </c>
      <c r="J2086" s="3">
        <f t="shared" si="174"/>
        <v>38148</v>
      </c>
      <c r="K2086" s="3">
        <f t="shared" si="173"/>
        <v>38188</v>
      </c>
      <c r="L2086" s="3">
        <v>40</v>
      </c>
      <c r="M2086" s="3">
        <f t="shared" si="175"/>
        <v>17.169999999999796</v>
      </c>
      <c r="N2086" s="3">
        <v>4.8</v>
      </c>
    </row>
    <row r="2087" spans="4:14" ht="15" customHeight="1" x14ac:dyDescent="0.25">
      <c r="D2087" s="13">
        <v>45791</v>
      </c>
      <c r="E2087">
        <v>44.69</v>
      </c>
      <c r="F2087" s="3">
        <v>62.86</v>
      </c>
      <c r="G2087" s="8">
        <f>E2087*F2087</f>
        <v>2809.2133999999996</v>
      </c>
      <c r="H2087" s="3" t="s">
        <v>34</v>
      </c>
      <c r="I2087" s="3" t="s">
        <v>85</v>
      </c>
      <c r="J2087" s="3">
        <f t="shared" si="174"/>
        <v>38188</v>
      </c>
      <c r="K2087" s="3">
        <f t="shared" si="173"/>
        <v>38232</v>
      </c>
      <c r="L2087" s="3">
        <v>44</v>
      </c>
      <c r="M2087" s="3">
        <f t="shared" si="175"/>
        <v>56.859999999999793</v>
      </c>
      <c r="N2087" s="3">
        <v>5</v>
      </c>
    </row>
    <row r="2088" spans="4:14" ht="15" customHeight="1" x14ac:dyDescent="0.25">
      <c r="D2088" s="13"/>
      <c r="H2088" s="3" t="s">
        <v>85</v>
      </c>
      <c r="I2088" s="3" t="s">
        <v>34</v>
      </c>
      <c r="J2088" s="3">
        <f t="shared" si="174"/>
        <v>38232</v>
      </c>
      <c r="K2088" s="3">
        <f t="shared" si="173"/>
        <v>38276</v>
      </c>
      <c r="L2088" s="3">
        <v>44</v>
      </c>
      <c r="M2088" s="3">
        <f t="shared" si="175"/>
        <v>51.859999999999793</v>
      </c>
      <c r="N2088" s="3">
        <v>5</v>
      </c>
    </row>
    <row r="2089" spans="4:14" ht="15" customHeight="1" x14ac:dyDescent="0.25">
      <c r="D2089" s="13">
        <v>45792</v>
      </c>
      <c r="H2089" s="3" t="s">
        <v>34</v>
      </c>
      <c r="I2089" s="3" t="s">
        <v>54</v>
      </c>
      <c r="J2089" s="3">
        <f t="shared" si="174"/>
        <v>38276</v>
      </c>
      <c r="K2089" s="3">
        <f t="shared" si="173"/>
        <v>38303</v>
      </c>
      <c r="L2089" s="3">
        <v>27</v>
      </c>
      <c r="M2089" s="3">
        <f t="shared" si="175"/>
        <v>48.659999999999791</v>
      </c>
      <c r="N2089" s="3">
        <v>3.2</v>
      </c>
    </row>
    <row r="2090" spans="4:14" ht="15" customHeight="1" x14ac:dyDescent="0.25">
      <c r="D2090" s="13"/>
      <c r="H2090" s="3" t="s">
        <v>54</v>
      </c>
      <c r="I2090" s="3" t="s">
        <v>34</v>
      </c>
      <c r="J2090" s="3">
        <f t="shared" si="174"/>
        <v>38303</v>
      </c>
      <c r="K2090" s="3">
        <f t="shared" si="173"/>
        <v>38330</v>
      </c>
      <c r="L2090" s="3">
        <v>27</v>
      </c>
      <c r="M2090" s="3">
        <f t="shared" si="175"/>
        <v>45.459999999999788</v>
      </c>
      <c r="N2090" s="3">
        <v>3.2</v>
      </c>
    </row>
    <row r="2091" spans="4:14" ht="15" customHeight="1" x14ac:dyDescent="0.25">
      <c r="D2091" s="13">
        <v>45793</v>
      </c>
      <c r="H2091" s="3" t="s">
        <v>34</v>
      </c>
      <c r="I2091" s="3" t="s">
        <v>54</v>
      </c>
      <c r="J2091" s="3">
        <f t="shared" si="174"/>
        <v>38330</v>
      </c>
      <c r="K2091" s="3">
        <f t="shared" si="173"/>
        <v>38357</v>
      </c>
      <c r="L2091" s="3">
        <v>27</v>
      </c>
      <c r="M2091" s="3">
        <f t="shared" si="175"/>
        <v>42.259999999999785</v>
      </c>
      <c r="N2091" s="3">
        <v>3.2</v>
      </c>
    </row>
    <row r="2092" spans="4:14" ht="15" customHeight="1" x14ac:dyDescent="0.25">
      <c r="D2092" s="13"/>
      <c r="H2092" s="3" t="s">
        <v>54</v>
      </c>
      <c r="I2092" s="3" t="s">
        <v>34</v>
      </c>
      <c r="J2092" s="3">
        <f t="shared" si="174"/>
        <v>38357</v>
      </c>
      <c r="K2092" s="3">
        <f t="shared" si="173"/>
        <v>38384</v>
      </c>
      <c r="L2092" s="3">
        <v>27</v>
      </c>
      <c r="M2092" s="3">
        <f t="shared" si="175"/>
        <v>39.059999999999782</v>
      </c>
      <c r="N2092" s="3">
        <v>3.2</v>
      </c>
    </row>
    <row r="2093" spans="4:14" ht="15" customHeight="1" x14ac:dyDescent="0.25">
      <c r="D2093" s="13">
        <v>45796</v>
      </c>
      <c r="H2093" s="3" t="s">
        <v>34</v>
      </c>
      <c r="I2093" s="3" t="s">
        <v>44</v>
      </c>
      <c r="J2093" s="3">
        <f t="shared" si="174"/>
        <v>38384</v>
      </c>
      <c r="K2093" s="3">
        <f t="shared" si="173"/>
        <v>38424</v>
      </c>
      <c r="L2093" s="3">
        <v>40</v>
      </c>
      <c r="M2093" s="3">
        <f t="shared" si="175"/>
        <v>34.259999999999785</v>
      </c>
      <c r="N2093" s="3">
        <v>4.8</v>
      </c>
    </row>
    <row r="2094" spans="4:14" ht="15" customHeight="1" x14ac:dyDescent="0.25">
      <c r="D2094" s="13"/>
      <c r="H2094" s="3" t="s">
        <v>44</v>
      </c>
      <c r="I2094" s="3" t="s">
        <v>34</v>
      </c>
      <c r="J2094" s="3">
        <f t="shared" si="174"/>
        <v>38424</v>
      </c>
      <c r="K2094" s="3">
        <f t="shared" si="173"/>
        <v>38464</v>
      </c>
      <c r="L2094" s="3">
        <v>40</v>
      </c>
      <c r="M2094" s="3">
        <f t="shared" si="175"/>
        <v>29.459999999999784</v>
      </c>
      <c r="N2094" s="3">
        <v>4.8</v>
      </c>
    </row>
    <row r="2095" spans="4:14" ht="15" customHeight="1" x14ac:dyDescent="0.25">
      <c r="D2095" s="13">
        <v>45797</v>
      </c>
      <c r="E2095">
        <v>44.54</v>
      </c>
      <c r="F2095" s="3">
        <v>62.64</v>
      </c>
      <c r="G2095" s="8">
        <f>E2095*F2095</f>
        <v>2789.9856</v>
      </c>
      <c r="H2095" s="3" t="s">
        <v>34</v>
      </c>
      <c r="I2095" s="3" t="s">
        <v>85</v>
      </c>
      <c r="J2095" s="3">
        <f t="shared" si="174"/>
        <v>38464</v>
      </c>
      <c r="K2095" s="3">
        <f t="shared" si="173"/>
        <v>38508</v>
      </c>
      <c r="L2095" s="3">
        <v>44</v>
      </c>
      <c r="M2095" s="3">
        <f t="shared" si="175"/>
        <v>68.999999999999787</v>
      </c>
      <c r="N2095" s="3">
        <v>5</v>
      </c>
    </row>
    <row r="2096" spans="4:14" ht="15" customHeight="1" x14ac:dyDescent="0.25">
      <c r="D2096" s="13"/>
      <c r="H2096" s="3" t="s">
        <v>85</v>
      </c>
      <c r="I2096" s="3" t="s">
        <v>34</v>
      </c>
      <c r="J2096" s="3">
        <f t="shared" si="174"/>
        <v>38508</v>
      </c>
      <c r="K2096" s="3">
        <f t="shared" si="173"/>
        <v>38552</v>
      </c>
      <c r="L2096" s="3">
        <v>44</v>
      </c>
      <c r="M2096" s="3">
        <f t="shared" si="175"/>
        <v>63.999999999999787</v>
      </c>
      <c r="N2096" s="3">
        <v>5</v>
      </c>
    </row>
    <row r="2097" spans="4:14" ht="15" customHeight="1" x14ac:dyDescent="0.25">
      <c r="D2097" s="13">
        <v>45798</v>
      </c>
      <c r="H2097" s="3" t="s">
        <v>34</v>
      </c>
      <c r="I2097" s="3" t="s">
        <v>81</v>
      </c>
      <c r="J2097" s="3">
        <f t="shared" si="174"/>
        <v>38552</v>
      </c>
      <c r="K2097" s="3">
        <f t="shared" si="173"/>
        <v>38576</v>
      </c>
      <c r="L2097" s="3">
        <v>24</v>
      </c>
      <c r="M2097" s="3">
        <f t="shared" si="175"/>
        <v>61.499999999999787</v>
      </c>
      <c r="N2097" s="3">
        <v>2.5</v>
      </c>
    </row>
    <row r="2098" spans="4:14" ht="15" customHeight="1" x14ac:dyDescent="0.25">
      <c r="D2098" s="13"/>
      <c r="H2098" s="3" t="s">
        <v>81</v>
      </c>
      <c r="I2098" s="3" t="s">
        <v>34</v>
      </c>
      <c r="J2098" s="3">
        <f t="shared" si="174"/>
        <v>38576</v>
      </c>
      <c r="K2098" s="3">
        <f t="shared" si="173"/>
        <v>38600</v>
      </c>
      <c r="L2098" s="3">
        <v>24</v>
      </c>
      <c r="M2098" s="3">
        <f t="shared" si="175"/>
        <v>58.999999999999787</v>
      </c>
      <c r="N2098" s="3">
        <v>2.5</v>
      </c>
    </row>
    <row r="2099" spans="4:14" ht="15" customHeight="1" x14ac:dyDescent="0.25">
      <c r="D2099" s="13">
        <v>45799</v>
      </c>
      <c r="H2099" s="3" t="s">
        <v>34</v>
      </c>
      <c r="I2099" s="3" t="s">
        <v>54</v>
      </c>
      <c r="J2099" s="3">
        <f t="shared" si="174"/>
        <v>38600</v>
      </c>
      <c r="K2099" s="3">
        <f t="shared" si="173"/>
        <v>38627</v>
      </c>
      <c r="L2099" s="3">
        <v>27</v>
      </c>
      <c r="M2099" s="3">
        <f t="shared" si="175"/>
        <v>55.799999999999784</v>
      </c>
      <c r="N2099" s="3">
        <v>3.2</v>
      </c>
    </row>
    <row r="2100" spans="4:14" ht="15" customHeight="1" x14ac:dyDescent="0.25">
      <c r="D2100" s="13"/>
      <c r="H2100" s="3" t="s">
        <v>54</v>
      </c>
      <c r="I2100" s="3" t="s">
        <v>34</v>
      </c>
      <c r="J2100" s="3">
        <f t="shared" si="174"/>
        <v>38627</v>
      </c>
      <c r="K2100" s="3">
        <f t="shared" si="173"/>
        <v>38654</v>
      </c>
      <c r="L2100" s="3">
        <v>27</v>
      </c>
      <c r="M2100" s="3">
        <f t="shared" si="175"/>
        <v>52.599999999999781</v>
      </c>
      <c r="N2100" s="3">
        <v>3.2</v>
      </c>
    </row>
    <row r="2101" spans="4:14" ht="15" customHeight="1" x14ac:dyDescent="0.25">
      <c r="D2101" s="13">
        <v>45800</v>
      </c>
      <c r="H2101" s="3" t="s">
        <v>34</v>
      </c>
      <c r="I2101" s="3" t="s">
        <v>54</v>
      </c>
      <c r="J2101" s="3">
        <f t="shared" si="174"/>
        <v>38654</v>
      </c>
      <c r="K2101" s="3">
        <f t="shared" si="173"/>
        <v>38681</v>
      </c>
      <c r="L2101" s="3">
        <v>27</v>
      </c>
      <c r="M2101" s="3">
        <f t="shared" si="175"/>
        <v>49.399999999999778</v>
      </c>
      <c r="N2101" s="3">
        <v>3.2</v>
      </c>
    </row>
    <row r="2102" spans="4:14" ht="15" customHeight="1" x14ac:dyDescent="0.25">
      <c r="H2102" s="3" t="s">
        <v>54</v>
      </c>
      <c r="I2102" s="3" t="s">
        <v>34</v>
      </c>
      <c r="J2102" s="3">
        <f t="shared" si="174"/>
        <v>38681</v>
      </c>
      <c r="K2102" s="3">
        <f t="shared" si="173"/>
        <v>38708</v>
      </c>
      <c r="L2102" s="3">
        <v>27</v>
      </c>
      <c r="M2102" s="3">
        <f t="shared" si="175"/>
        <v>46.199999999999775</v>
      </c>
      <c r="N2102" s="3">
        <v>3.2</v>
      </c>
    </row>
    <row r="2103" spans="4:14" ht="15" customHeight="1" x14ac:dyDescent="0.25">
      <c r="D2103" s="13">
        <v>45803</v>
      </c>
      <c r="H2103" s="3" t="s">
        <v>34</v>
      </c>
      <c r="I2103" s="3" t="s">
        <v>44</v>
      </c>
      <c r="J2103" s="3">
        <f t="shared" si="174"/>
        <v>38708</v>
      </c>
      <c r="K2103" s="3">
        <f t="shared" si="173"/>
        <v>38748</v>
      </c>
      <c r="L2103" s="3">
        <v>40</v>
      </c>
      <c r="M2103" s="3">
        <f t="shared" si="175"/>
        <v>41.399999999999778</v>
      </c>
      <c r="N2103" s="3">
        <v>4.8</v>
      </c>
    </row>
    <row r="2104" spans="4:14" ht="15" customHeight="1" x14ac:dyDescent="0.25">
      <c r="D2104" s="13"/>
      <c r="H2104" s="3" t="s">
        <v>44</v>
      </c>
      <c r="I2104" s="3" t="s">
        <v>34</v>
      </c>
      <c r="J2104" s="3">
        <f t="shared" si="174"/>
        <v>38748</v>
      </c>
      <c r="K2104" s="3">
        <f t="shared" si="173"/>
        <v>38788</v>
      </c>
      <c r="L2104" s="3">
        <v>40</v>
      </c>
      <c r="M2104" s="3">
        <f t="shared" si="175"/>
        <v>36.599999999999781</v>
      </c>
      <c r="N2104" s="3">
        <v>4.8</v>
      </c>
    </row>
    <row r="2105" spans="4:14" ht="15" customHeight="1" x14ac:dyDescent="0.25">
      <c r="D2105" s="13">
        <v>45804</v>
      </c>
      <c r="H2105" s="3" t="s">
        <v>34</v>
      </c>
      <c r="I2105" s="3" t="s">
        <v>54</v>
      </c>
      <c r="J2105" s="3">
        <f t="shared" si="174"/>
        <v>38788</v>
      </c>
      <c r="K2105" s="3">
        <f t="shared" si="173"/>
        <v>38815</v>
      </c>
      <c r="L2105" s="3">
        <v>27</v>
      </c>
      <c r="M2105" s="3">
        <f t="shared" si="175"/>
        <v>33.399999999999778</v>
      </c>
      <c r="N2105" s="3">
        <v>3.2</v>
      </c>
    </row>
    <row r="2106" spans="4:14" ht="15" customHeight="1" x14ac:dyDescent="0.25">
      <c r="D2106" s="13"/>
      <c r="H2106" s="3" t="s">
        <v>54</v>
      </c>
      <c r="I2106" s="3" t="s">
        <v>34</v>
      </c>
      <c r="J2106" s="3">
        <f t="shared" si="174"/>
        <v>38815</v>
      </c>
      <c r="K2106" s="3">
        <f t="shared" si="173"/>
        <v>38842</v>
      </c>
      <c r="L2106" s="3">
        <v>27</v>
      </c>
      <c r="M2106" s="3">
        <f t="shared" si="175"/>
        <v>30.199999999999779</v>
      </c>
      <c r="N2106" s="3">
        <v>3.2</v>
      </c>
    </row>
    <row r="2107" spans="4:14" ht="15" customHeight="1" x14ac:dyDescent="0.25">
      <c r="D2107" s="13">
        <v>45805</v>
      </c>
      <c r="E2107">
        <v>44.94</v>
      </c>
      <c r="F2107" s="3">
        <v>62.64</v>
      </c>
      <c r="G2107" s="8">
        <f>E2107*F2107</f>
        <v>2815.0416</v>
      </c>
      <c r="H2107" s="3" t="s">
        <v>34</v>
      </c>
      <c r="I2107" s="3" t="s">
        <v>85</v>
      </c>
      <c r="J2107" s="3">
        <f t="shared" si="174"/>
        <v>38842</v>
      </c>
      <c r="K2107" s="3">
        <f t="shared" si="173"/>
        <v>38886</v>
      </c>
      <c r="L2107" s="3">
        <v>44</v>
      </c>
      <c r="M2107" s="3">
        <f t="shared" si="175"/>
        <v>70.139999999999773</v>
      </c>
      <c r="N2107" s="3">
        <v>5</v>
      </c>
    </row>
    <row r="2108" spans="4:14" ht="15" customHeight="1" x14ac:dyDescent="0.25">
      <c r="D2108" s="13"/>
      <c r="H2108" s="3" t="s">
        <v>85</v>
      </c>
      <c r="I2108" s="3" t="s">
        <v>34</v>
      </c>
      <c r="J2108" s="3">
        <f t="shared" si="174"/>
        <v>38886</v>
      </c>
      <c r="K2108" s="3">
        <f t="shared" si="173"/>
        <v>38930</v>
      </c>
      <c r="L2108" s="3">
        <v>44</v>
      </c>
      <c r="M2108" s="3">
        <f t="shared" si="175"/>
        <v>65.139999999999773</v>
      </c>
      <c r="N2108" s="3">
        <v>5</v>
      </c>
    </row>
    <row r="2109" spans="4:14" ht="15" customHeight="1" x14ac:dyDescent="0.25">
      <c r="D2109" s="13">
        <v>45806</v>
      </c>
      <c r="H2109" s="3" t="s">
        <v>34</v>
      </c>
      <c r="I2109" s="3" t="s">
        <v>44</v>
      </c>
      <c r="J2109" s="3">
        <f t="shared" si="174"/>
        <v>38930</v>
      </c>
      <c r="K2109" s="3">
        <f t="shared" si="173"/>
        <v>38970</v>
      </c>
      <c r="L2109" s="3">
        <v>40</v>
      </c>
      <c r="M2109" s="3">
        <f t="shared" si="175"/>
        <v>60.339999999999776</v>
      </c>
      <c r="N2109" s="3">
        <v>4.8</v>
      </c>
    </row>
    <row r="2110" spans="4:14" ht="15" customHeight="1" x14ac:dyDescent="0.25">
      <c r="D2110" s="13"/>
      <c r="H2110" s="3" t="s">
        <v>44</v>
      </c>
      <c r="I2110" s="3" t="s">
        <v>34</v>
      </c>
      <c r="J2110" s="3">
        <f t="shared" si="174"/>
        <v>38970</v>
      </c>
      <c r="K2110" s="3">
        <f t="shared" si="173"/>
        <v>39010</v>
      </c>
      <c r="L2110" s="3">
        <v>40</v>
      </c>
      <c r="M2110" s="3">
        <f t="shared" si="175"/>
        <v>55.539999999999779</v>
      </c>
      <c r="N2110" s="3">
        <v>4.8</v>
      </c>
    </row>
    <row r="2111" spans="4:14" ht="15" customHeight="1" x14ac:dyDescent="0.25">
      <c r="D2111" s="13">
        <v>45807</v>
      </c>
      <c r="H2111" s="3" t="s">
        <v>34</v>
      </c>
      <c r="I2111" s="3" t="s">
        <v>44</v>
      </c>
      <c r="J2111" s="3">
        <f t="shared" si="174"/>
        <v>39010</v>
      </c>
      <c r="K2111" s="3">
        <f t="shared" si="173"/>
        <v>39050</v>
      </c>
      <c r="L2111" s="3">
        <v>40</v>
      </c>
      <c r="M2111" s="3">
        <f t="shared" si="175"/>
        <v>50.739999999999782</v>
      </c>
      <c r="N2111" s="3">
        <v>4.8</v>
      </c>
    </row>
    <row r="2112" spans="4:14" ht="15" customHeight="1" x14ac:dyDescent="0.25">
      <c r="H2112" s="3" t="s">
        <v>44</v>
      </c>
      <c r="I2112" s="3" t="s">
        <v>34</v>
      </c>
      <c r="J2112" s="3">
        <f t="shared" si="174"/>
        <v>39050</v>
      </c>
      <c r="K2112" s="3">
        <f t="shared" si="173"/>
        <v>39090</v>
      </c>
      <c r="L2112" s="3">
        <v>40</v>
      </c>
      <c r="M2112" s="3">
        <f t="shared" si="175"/>
        <v>45.939999999999785</v>
      </c>
      <c r="N2112" s="3">
        <v>4.8</v>
      </c>
    </row>
    <row r="2114" spans="4:14" ht="15" customHeight="1" x14ac:dyDescent="0.25">
      <c r="D2114" s="13"/>
    </row>
    <row r="2115" spans="4:14" ht="15" customHeight="1" x14ac:dyDescent="0.25">
      <c r="D2115" s="2" t="s">
        <v>94</v>
      </c>
      <c r="E2115" s="2"/>
      <c r="F2115" s="2"/>
      <c r="G2115" s="2"/>
    </row>
    <row r="2117" spans="4:14" ht="15" customHeight="1" x14ac:dyDescent="0.25">
      <c r="D2117" s="13">
        <v>45810</v>
      </c>
      <c r="H2117" s="3" t="s">
        <v>34</v>
      </c>
      <c r="I2117" s="3" t="s">
        <v>54</v>
      </c>
      <c r="J2117" s="3">
        <f>K2112</f>
        <v>39090</v>
      </c>
      <c r="K2117" s="3">
        <f t="shared" ref="K2117:K2156" si="176">J2117+L2117</f>
        <v>39117</v>
      </c>
      <c r="L2117" s="3">
        <v>27</v>
      </c>
      <c r="M2117" s="3">
        <f>(E2117+M2112)-N2117</f>
        <v>42.739999999999782</v>
      </c>
      <c r="N2117" s="3">
        <v>3.2</v>
      </c>
    </row>
    <row r="2118" spans="4:14" ht="15" customHeight="1" x14ac:dyDescent="0.25">
      <c r="H2118" s="3" t="s">
        <v>54</v>
      </c>
      <c r="I2118" s="3" t="s">
        <v>34</v>
      </c>
      <c r="J2118" s="3">
        <f t="shared" ref="J2118:J2156" si="177">K2117</f>
        <v>39117</v>
      </c>
      <c r="K2118" s="3">
        <f t="shared" si="176"/>
        <v>39144</v>
      </c>
      <c r="L2118" s="3">
        <v>27</v>
      </c>
      <c r="M2118" s="3">
        <f t="shared" ref="M2118:M2156" si="178">(E2118+M2117)-N2118</f>
        <v>39.539999999999779</v>
      </c>
      <c r="N2118" s="3">
        <v>3.2</v>
      </c>
    </row>
    <row r="2119" spans="4:14" ht="15" customHeight="1" x14ac:dyDescent="0.25">
      <c r="D2119" s="13">
        <v>45811</v>
      </c>
      <c r="H2119" s="3" t="s">
        <v>34</v>
      </c>
      <c r="I2119" s="3" t="s">
        <v>85</v>
      </c>
      <c r="J2119" s="3">
        <f t="shared" si="177"/>
        <v>39144</v>
      </c>
      <c r="K2119" s="3">
        <f t="shared" si="176"/>
        <v>39188</v>
      </c>
      <c r="L2119" s="3">
        <v>44</v>
      </c>
      <c r="M2119" s="3">
        <f t="shared" si="178"/>
        <v>34.539999999999779</v>
      </c>
      <c r="N2119" s="3">
        <v>5</v>
      </c>
    </row>
    <row r="2120" spans="4:14" ht="15" customHeight="1" x14ac:dyDescent="0.25">
      <c r="D2120" s="13"/>
      <c r="H2120" s="3" t="s">
        <v>85</v>
      </c>
      <c r="I2120" s="3" t="s">
        <v>34</v>
      </c>
      <c r="J2120" s="3">
        <f t="shared" si="177"/>
        <v>39188</v>
      </c>
      <c r="K2120" s="3">
        <f t="shared" si="176"/>
        <v>39232</v>
      </c>
      <c r="L2120" s="3">
        <v>44</v>
      </c>
      <c r="M2120" s="3">
        <f t="shared" si="178"/>
        <v>29.539999999999779</v>
      </c>
      <c r="N2120" s="3">
        <v>5</v>
      </c>
    </row>
    <row r="2121" spans="4:14" ht="15" customHeight="1" x14ac:dyDescent="0.25">
      <c r="D2121" s="13">
        <v>45812</v>
      </c>
      <c r="H2121" s="3" t="s">
        <v>34</v>
      </c>
      <c r="I2121" s="3" t="s">
        <v>44</v>
      </c>
      <c r="J2121" s="3">
        <f t="shared" si="177"/>
        <v>39232</v>
      </c>
      <c r="K2121" s="3">
        <f t="shared" si="176"/>
        <v>39272</v>
      </c>
      <c r="L2121" s="3">
        <v>40</v>
      </c>
      <c r="M2121" s="3">
        <f t="shared" si="178"/>
        <v>24.739999999999778</v>
      </c>
      <c r="N2121" s="3">
        <v>4.8</v>
      </c>
    </row>
    <row r="2122" spans="4:14" ht="15" customHeight="1" x14ac:dyDescent="0.25">
      <c r="D2122" s="13"/>
      <c r="H2122" s="3" t="s">
        <v>44</v>
      </c>
      <c r="I2122" s="3" t="s">
        <v>34</v>
      </c>
      <c r="J2122" s="3">
        <f t="shared" si="177"/>
        <v>39272</v>
      </c>
      <c r="K2122" s="3">
        <f t="shared" si="176"/>
        <v>39312</v>
      </c>
      <c r="L2122" s="3">
        <v>40</v>
      </c>
      <c r="M2122" s="3">
        <f t="shared" si="178"/>
        <v>19.939999999999777</v>
      </c>
      <c r="N2122" s="3">
        <v>4.8</v>
      </c>
    </row>
    <row r="2123" spans="4:14" ht="15" customHeight="1" x14ac:dyDescent="0.25">
      <c r="D2123" s="13">
        <v>45813</v>
      </c>
      <c r="E2123">
        <v>47.14</v>
      </c>
      <c r="F2123" s="3">
        <v>62.64</v>
      </c>
      <c r="G2123" s="8">
        <f>E2123*F2123</f>
        <v>2952.8496</v>
      </c>
      <c r="H2123" s="3" t="s">
        <v>34</v>
      </c>
      <c r="I2123" s="3" t="s">
        <v>54</v>
      </c>
      <c r="J2123" s="3">
        <f t="shared" si="177"/>
        <v>39312</v>
      </c>
      <c r="K2123" s="3">
        <f t="shared" si="176"/>
        <v>39339</v>
      </c>
      <c r="L2123" s="3">
        <v>27</v>
      </c>
      <c r="M2123" s="3">
        <f t="shared" si="178"/>
        <v>63.879999999999782</v>
      </c>
      <c r="N2123" s="3">
        <v>3.2</v>
      </c>
    </row>
    <row r="2124" spans="4:14" ht="15" customHeight="1" x14ac:dyDescent="0.25">
      <c r="D2124" s="13"/>
      <c r="H2124" s="3" t="s">
        <v>54</v>
      </c>
      <c r="I2124" s="3" t="s">
        <v>34</v>
      </c>
      <c r="J2124" s="3">
        <f t="shared" si="177"/>
        <v>39339</v>
      </c>
      <c r="K2124" s="3">
        <f t="shared" si="176"/>
        <v>39366</v>
      </c>
      <c r="L2124" s="3">
        <v>27</v>
      </c>
      <c r="M2124" s="3">
        <f t="shared" si="178"/>
        <v>60.679999999999779</v>
      </c>
      <c r="N2124" s="3">
        <v>3.2</v>
      </c>
    </row>
    <row r="2125" spans="4:14" ht="15" customHeight="1" x14ac:dyDescent="0.25">
      <c r="D2125" s="13">
        <v>45814</v>
      </c>
      <c r="H2125" s="3" t="s">
        <v>34</v>
      </c>
      <c r="I2125" s="3" t="s">
        <v>49</v>
      </c>
      <c r="J2125" s="3">
        <f t="shared" si="177"/>
        <v>39366</v>
      </c>
      <c r="K2125" s="3">
        <f t="shared" si="176"/>
        <v>39393</v>
      </c>
      <c r="L2125" s="3">
        <v>27</v>
      </c>
      <c r="M2125" s="3">
        <f t="shared" si="178"/>
        <v>57.479999999999777</v>
      </c>
      <c r="N2125" s="3">
        <v>3.2</v>
      </c>
    </row>
    <row r="2126" spans="4:14" ht="15" customHeight="1" x14ac:dyDescent="0.25">
      <c r="D2126" s="13"/>
      <c r="H2126" s="3" t="s">
        <v>49</v>
      </c>
      <c r="I2126" s="3" t="s">
        <v>34</v>
      </c>
      <c r="J2126" s="3">
        <f t="shared" si="177"/>
        <v>39393</v>
      </c>
      <c r="K2126" s="3">
        <f t="shared" si="176"/>
        <v>39420</v>
      </c>
      <c r="L2126" s="3">
        <v>27</v>
      </c>
      <c r="M2126" s="3">
        <f t="shared" si="178"/>
        <v>54.279999999999774</v>
      </c>
      <c r="N2126" s="3">
        <v>3.2</v>
      </c>
    </row>
    <row r="2127" spans="4:14" ht="15" customHeight="1" x14ac:dyDescent="0.25">
      <c r="D2127" s="13">
        <v>45817</v>
      </c>
      <c r="H2127" s="3" t="s">
        <v>34</v>
      </c>
      <c r="I2127" s="3" t="s">
        <v>85</v>
      </c>
      <c r="J2127" s="3">
        <f t="shared" si="177"/>
        <v>39420</v>
      </c>
      <c r="K2127" s="3">
        <f t="shared" si="176"/>
        <v>39464</v>
      </c>
      <c r="L2127" s="3">
        <v>44</v>
      </c>
      <c r="M2127" s="3">
        <f t="shared" si="178"/>
        <v>49.279999999999774</v>
      </c>
      <c r="N2127" s="3">
        <v>5</v>
      </c>
    </row>
    <row r="2128" spans="4:14" ht="15" customHeight="1" x14ac:dyDescent="0.25">
      <c r="D2128" s="13"/>
      <c r="H2128" s="3" t="s">
        <v>85</v>
      </c>
      <c r="I2128" s="3" t="s">
        <v>34</v>
      </c>
      <c r="J2128" s="3">
        <f t="shared" si="177"/>
        <v>39464</v>
      </c>
      <c r="K2128" s="3">
        <f t="shared" si="176"/>
        <v>39508</v>
      </c>
      <c r="L2128" s="3">
        <v>44</v>
      </c>
      <c r="M2128" s="3">
        <f t="shared" si="178"/>
        <v>44.279999999999774</v>
      </c>
      <c r="N2128" s="3">
        <v>5</v>
      </c>
    </row>
    <row r="2129" spans="4:14" ht="15" customHeight="1" x14ac:dyDescent="0.25">
      <c r="D2129" s="13">
        <v>45818</v>
      </c>
      <c r="H2129" s="3" t="s">
        <v>34</v>
      </c>
      <c r="I2129" s="3" t="s">
        <v>44</v>
      </c>
      <c r="J2129" s="3">
        <f t="shared" si="177"/>
        <v>39508</v>
      </c>
      <c r="K2129" s="3">
        <f t="shared" si="176"/>
        <v>39548</v>
      </c>
      <c r="L2129" s="3">
        <v>40</v>
      </c>
      <c r="M2129" s="3">
        <f t="shared" si="178"/>
        <v>39.479999999999777</v>
      </c>
      <c r="N2129" s="3">
        <v>4.8</v>
      </c>
    </row>
    <row r="2130" spans="4:14" ht="15" customHeight="1" x14ac:dyDescent="0.25">
      <c r="D2130" s="13"/>
      <c r="H2130" s="3" t="s">
        <v>44</v>
      </c>
      <c r="I2130" s="3" t="s">
        <v>34</v>
      </c>
      <c r="J2130" s="3">
        <f t="shared" si="177"/>
        <v>39548</v>
      </c>
      <c r="K2130" s="3">
        <f t="shared" si="176"/>
        <v>39588</v>
      </c>
      <c r="L2130" s="3">
        <v>40</v>
      </c>
      <c r="M2130" s="3">
        <f t="shared" si="178"/>
        <v>34.679999999999779</v>
      </c>
      <c r="N2130" s="3">
        <v>4.8</v>
      </c>
    </row>
    <row r="2131" spans="4:14" ht="15" customHeight="1" x14ac:dyDescent="0.25">
      <c r="D2131" s="13">
        <v>45819</v>
      </c>
      <c r="H2131" s="3" t="s">
        <v>34</v>
      </c>
      <c r="I2131" s="3" t="s">
        <v>85</v>
      </c>
      <c r="J2131" s="3">
        <f t="shared" si="177"/>
        <v>39588</v>
      </c>
      <c r="K2131" s="3">
        <f t="shared" si="176"/>
        <v>39632</v>
      </c>
      <c r="L2131" s="3">
        <v>44</v>
      </c>
      <c r="M2131" s="3">
        <f t="shared" si="178"/>
        <v>29.679999999999779</v>
      </c>
      <c r="N2131" s="3">
        <v>5</v>
      </c>
    </row>
    <row r="2132" spans="4:14" ht="15" customHeight="1" x14ac:dyDescent="0.25">
      <c r="H2132" s="3" t="s">
        <v>85</v>
      </c>
      <c r="I2132" s="3" t="s">
        <v>34</v>
      </c>
      <c r="J2132" s="3">
        <f t="shared" si="177"/>
        <v>39632</v>
      </c>
      <c r="K2132" s="3">
        <f t="shared" si="176"/>
        <v>39676</v>
      </c>
      <c r="L2132" s="3">
        <v>44</v>
      </c>
      <c r="M2132" s="3">
        <f t="shared" si="178"/>
        <v>24.679999999999779</v>
      </c>
      <c r="N2132" s="3">
        <v>5</v>
      </c>
    </row>
    <row r="2133" spans="4:14" ht="15" customHeight="1" x14ac:dyDescent="0.25">
      <c r="D2133" s="13">
        <v>45824</v>
      </c>
      <c r="E2133">
        <v>51.13</v>
      </c>
      <c r="F2133" s="3">
        <v>62.64</v>
      </c>
      <c r="G2133" s="8">
        <f>E2133*F2133</f>
        <v>3202.7832000000003</v>
      </c>
      <c r="H2133" s="3" t="s">
        <v>34</v>
      </c>
      <c r="I2133" s="3" t="s">
        <v>54</v>
      </c>
      <c r="J2133" s="3">
        <f t="shared" si="177"/>
        <v>39676</v>
      </c>
      <c r="K2133" s="3">
        <f t="shared" si="176"/>
        <v>39703</v>
      </c>
      <c r="L2133" s="3">
        <v>27</v>
      </c>
      <c r="M2133" s="3">
        <f t="shared" si="178"/>
        <v>72.609999999999772</v>
      </c>
      <c r="N2133" s="3">
        <v>3.2</v>
      </c>
    </row>
    <row r="2134" spans="4:14" ht="15" customHeight="1" x14ac:dyDescent="0.25">
      <c r="H2134" s="3" t="s">
        <v>54</v>
      </c>
      <c r="I2134" s="3" t="s">
        <v>34</v>
      </c>
      <c r="J2134" s="3">
        <f t="shared" si="177"/>
        <v>39703</v>
      </c>
      <c r="K2134" s="3">
        <f t="shared" si="176"/>
        <v>39730</v>
      </c>
      <c r="L2134" s="3">
        <v>27</v>
      </c>
      <c r="M2134" s="3">
        <f t="shared" si="178"/>
        <v>69.409999999999769</v>
      </c>
      <c r="N2134" s="3">
        <v>3.2</v>
      </c>
    </row>
    <row r="2135" spans="4:14" ht="15" customHeight="1" x14ac:dyDescent="0.25">
      <c r="D2135" s="13">
        <v>45825</v>
      </c>
      <c r="H2135" s="3" t="s">
        <v>34</v>
      </c>
      <c r="I2135" s="3" t="s">
        <v>43</v>
      </c>
      <c r="J2135" s="3">
        <f t="shared" si="177"/>
        <v>39730</v>
      </c>
      <c r="K2135" s="3">
        <f t="shared" si="176"/>
        <v>39742</v>
      </c>
      <c r="L2135" s="3">
        <v>12</v>
      </c>
      <c r="M2135" s="3">
        <f t="shared" si="178"/>
        <v>68.159999999999769</v>
      </c>
      <c r="N2135" s="3">
        <v>1.25</v>
      </c>
    </row>
    <row r="2136" spans="4:14" ht="15" customHeight="1" x14ac:dyDescent="0.25">
      <c r="H2136" s="3" t="s">
        <v>43</v>
      </c>
      <c r="I2136" s="3" t="s">
        <v>34</v>
      </c>
      <c r="J2136" s="3">
        <f t="shared" si="177"/>
        <v>39742</v>
      </c>
      <c r="K2136" s="3">
        <f t="shared" si="176"/>
        <v>39754</v>
      </c>
      <c r="L2136" s="3">
        <v>12</v>
      </c>
      <c r="M2136" s="3">
        <f t="shared" si="178"/>
        <v>66.909999999999769</v>
      </c>
      <c r="N2136" s="3">
        <v>1.25</v>
      </c>
    </row>
    <row r="2137" spans="4:14" ht="15" customHeight="1" x14ac:dyDescent="0.25">
      <c r="D2137" s="13">
        <v>45826</v>
      </c>
      <c r="H2137" s="3" t="s">
        <v>34</v>
      </c>
      <c r="I2137" s="3" t="s">
        <v>35</v>
      </c>
      <c r="J2137" s="3">
        <f t="shared" si="177"/>
        <v>39754</v>
      </c>
      <c r="K2137" s="3">
        <f t="shared" si="176"/>
        <v>39766</v>
      </c>
      <c r="L2137" s="3">
        <v>12</v>
      </c>
      <c r="M2137" s="3">
        <f t="shared" si="178"/>
        <v>65.659999999999769</v>
      </c>
      <c r="N2137" s="3">
        <v>1.25</v>
      </c>
    </row>
    <row r="2138" spans="4:14" ht="15" customHeight="1" x14ac:dyDescent="0.25">
      <c r="H2138" s="3" t="s">
        <v>35</v>
      </c>
      <c r="I2138" s="3" t="s">
        <v>34</v>
      </c>
      <c r="J2138" s="3">
        <f t="shared" si="177"/>
        <v>39766</v>
      </c>
      <c r="K2138" s="3">
        <f t="shared" si="176"/>
        <v>39778</v>
      </c>
      <c r="L2138" s="3">
        <v>12</v>
      </c>
      <c r="M2138" s="3">
        <f t="shared" si="178"/>
        <v>64.409999999999769</v>
      </c>
      <c r="N2138" s="3">
        <v>1.25</v>
      </c>
    </row>
    <row r="2139" spans="4:14" ht="15" customHeight="1" x14ac:dyDescent="0.25">
      <c r="D2139" s="13">
        <v>45827</v>
      </c>
      <c r="H2139" s="3" t="s">
        <v>34</v>
      </c>
      <c r="I2139" s="3" t="s">
        <v>49</v>
      </c>
      <c r="J2139" s="3">
        <f t="shared" si="177"/>
        <v>39778</v>
      </c>
      <c r="K2139" s="3">
        <f t="shared" si="176"/>
        <v>39805</v>
      </c>
      <c r="L2139" s="3">
        <v>27</v>
      </c>
      <c r="M2139" s="3">
        <f t="shared" si="178"/>
        <v>61.209999999999766</v>
      </c>
      <c r="N2139" s="3">
        <v>3.2</v>
      </c>
    </row>
    <row r="2140" spans="4:14" ht="15" customHeight="1" x14ac:dyDescent="0.25">
      <c r="H2140" s="3" t="s">
        <v>49</v>
      </c>
      <c r="I2140" s="3" t="s">
        <v>34</v>
      </c>
      <c r="J2140" s="3">
        <f t="shared" si="177"/>
        <v>39805</v>
      </c>
      <c r="K2140" s="3">
        <f t="shared" si="176"/>
        <v>39832</v>
      </c>
      <c r="L2140" s="3">
        <v>27</v>
      </c>
      <c r="M2140" s="3">
        <f t="shared" si="178"/>
        <v>58.009999999999764</v>
      </c>
      <c r="N2140" s="3">
        <v>3.2</v>
      </c>
    </row>
    <row r="2141" spans="4:14" ht="15" customHeight="1" x14ac:dyDescent="0.25">
      <c r="D2141" s="13">
        <v>45828</v>
      </c>
      <c r="H2141" s="3" t="s">
        <v>34</v>
      </c>
      <c r="I2141" s="3" t="s">
        <v>44</v>
      </c>
      <c r="J2141" s="3">
        <f t="shared" si="177"/>
        <v>39832</v>
      </c>
      <c r="K2141" s="3">
        <f t="shared" si="176"/>
        <v>39872</v>
      </c>
      <c r="L2141" s="3">
        <v>40</v>
      </c>
      <c r="M2141" s="3">
        <f t="shared" si="178"/>
        <v>53.209999999999766</v>
      </c>
      <c r="N2141" s="3">
        <v>4.8</v>
      </c>
    </row>
    <row r="2142" spans="4:14" ht="15" customHeight="1" x14ac:dyDescent="0.25">
      <c r="D2142" s="13"/>
      <c r="H2142" s="3" t="s">
        <v>44</v>
      </c>
      <c r="I2142" s="3" t="s">
        <v>34</v>
      </c>
      <c r="J2142" s="3">
        <f t="shared" si="177"/>
        <v>39872</v>
      </c>
      <c r="K2142" s="3">
        <f t="shared" si="176"/>
        <v>39912</v>
      </c>
      <c r="L2142" s="3">
        <v>40</v>
      </c>
      <c r="M2142" s="3">
        <f t="shared" si="178"/>
        <v>48.409999999999769</v>
      </c>
      <c r="N2142" s="3">
        <v>4.8</v>
      </c>
    </row>
    <row r="2143" spans="4:14" ht="15" customHeight="1" x14ac:dyDescent="0.25">
      <c r="D2143" s="13">
        <v>45831</v>
      </c>
      <c r="H2143" s="3" t="s">
        <v>34</v>
      </c>
      <c r="I2143" s="3" t="s">
        <v>85</v>
      </c>
      <c r="J2143" s="3">
        <f t="shared" si="177"/>
        <v>39912</v>
      </c>
      <c r="K2143" s="3">
        <f t="shared" si="176"/>
        <v>39956</v>
      </c>
      <c r="L2143" s="3">
        <v>44</v>
      </c>
      <c r="M2143" s="3">
        <f t="shared" si="178"/>
        <v>43.409999999999769</v>
      </c>
      <c r="N2143" s="3">
        <v>5</v>
      </c>
    </row>
    <row r="2144" spans="4:14" ht="15" customHeight="1" x14ac:dyDescent="0.25">
      <c r="D2144" s="13"/>
      <c r="H2144" s="3" t="s">
        <v>85</v>
      </c>
      <c r="I2144" s="3" t="s">
        <v>34</v>
      </c>
      <c r="J2144" s="3">
        <f t="shared" si="177"/>
        <v>39956</v>
      </c>
      <c r="K2144" s="3">
        <f t="shared" si="176"/>
        <v>40000</v>
      </c>
      <c r="L2144" s="3">
        <v>44</v>
      </c>
      <c r="M2144" s="3">
        <f t="shared" si="178"/>
        <v>38.409999999999769</v>
      </c>
      <c r="N2144" s="3">
        <v>5</v>
      </c>
    </row>
    <row r="2145" spans="4:14" ht="15" customHeight="1" x14ac:dyDescent="0.25">
      <c r="D2145" s="13">
        <v>45832</v>
      </c>
      <c r="H2145" s="3" t="s">
        <v>34</v>
      </c>
      <c r="I2145" s="3" t="s">
        <v>44</v>
      </c>
      <c r="J2145" s="3">
        <f t="shared" si="177"/>
        <v>40000</v>
      </c>
      <c r="K2145" s="3">
        <f t="shared" si="176"/>
        <v>40040</v>
      </c>
      <c r="L2145" s="3">
        <v>40</v>
      </c>
      <c r="M2145" s="3">
        <f t="shared" si="178"/>
        <v>33.609999999999772</v>
      </c>
      <c r="N2145" s="3">
        <v>4.8</v>
      </c>
    </row>
    <row r="2146" spans="4:14" ht="15" customHeight="1" x14ac:dyDescent="0.25">
      <c r="D2146" s="13"/>
      <c r="H2146" s="3" t="s">
        <v>44</v>
      </c>
      <c r="I2146" s="3" t="s">
        <v>34</v>
      </c>
      <c r="J2146" s="3">
        <f t="shared" si="177"/>
        <v>40040</v>
      </c>
      <c r="K2146" s="3">
        <f t="shared" si="176"/>
        <v>40080</v>
      </c>
      <c r="L2146" s="3">
        <v>40</v>
      </c>
      <c r="M2146" s="3">
        <f t="shared" si="178"/>
        <v>28.809999999999771</v>
      </c>
      <c r="N2146" s="3">
        <v>4.8</v>
      </c>
    </row>
    <row r="2147" spans="4:14" ht="15" customHeight="1" x14ac:dyDescent="0.25">
      <c r="D2147" s="13">
        <v>45833</v>
      </c>
      <c r="E2147">
        <v>51.5</v>
      </c>
      <c r="F2147" s="3">
        <v>62.86</v>
      </c>
      <c r="G2147" s="8">
        <f>E2147*F2147</f>
        <v>3237.29</v>
      </c>
      <c r="H2147" s="3" t="s">
        <v>34</v>
      </c>
      <c r="I2147" s="3" t="s">
        <v>54</v>
      </c>
      <c r="J2147" s="3">
        <f t="shared" si="177"/>
        <v>40080</v>
      </c>
      <c r="K2147" s="3">
        <f t="shared" si="176"/>
        <v>40107</v>
      </c>
      <c r="L2147" s="3">
        <v>27</v>
      </c>
      <c r="M2147" s="3">
        <f t="shared" si="178"/>
        <v>77.109999999999772</v>
      </c>
      <c r="N2147" s="3">
        <v>3.2</v>
      </c>
    </row>
    <row r="2148" spans="4:14" ht="15" customHeight="1" x14ac:dyDescent="0.25">
      <c r="D2148" s="13"/>
      <c r="H2148" s="3" t="s">
        <v>54</v>
      </c>
      <c r="I2148" s="3" t="s">
        <v>34</v>
      </c>
      <c r="J2148" s="3">
        <f t="shared" si="177"/>
        <v>40107</v>
      </c>
      <c r="K2148" s="3">
        <f t="shared" si="176"/>
        <v>40134</v>
      </c>
      <c r="L2148" s="3">
        <v>27</v>
      </c>
      <c r="M2148" s="3">
        <f t="shared" si="178"/>
        <v>73.909999999999769</v>
      </c>
      <c r="N2148" s="3">
        <v>3.2</v>
      </c>
    </row>
    <row r="2149" spans="4:14" ht="15" customHeight="1" x14ac:dyDescent="0.25">
      <c r="D2149" s="13"/>
      <c r="H2149" s="3" t="s">
        <v>34</v>
      </c>
      <c r="I2149" s="3" t="s">
        <v>49</v>
      </c>
      <c r="J2149" s="3">
        <f t="shared" si="177"/>
        <v>40134</v>
      </c>
      <c r="K2149" s="3">
        <f t="shared" si="176"/>
        <v>40161</v>
      </c>
      <c r="L2149" s="3">
        <v>27</v>
      </c>
      <c r="M2149" s="3">
        <f t="shared" si="178"/>
        <v>70.709999999999766</v>
      </c>
      <c r="N2149" s="3">
        <v>3.2</v>
      </c>
    </row>
    <row r="2150" spans="4:14" ht="15" customHeight="1" x14ac:dyDescent="0.25">
      <c r="D2150" s="13"/>
      <c r="H2150" s="3" t="s">
        <v>49</v>
      </c>
      <c r="I2150" s="3" t="s">
        <v>34</v>
      </c>
      <c r="J2150" s="3">
        <f t="shared" si="177"/>
        <v>40161</v>
      </c>
      <c r="K2150" s="3">
        <f t="shared" si="176"/>
        <v>40188</v>
      </c>
      <c r="L2150" s="3">
        <v>27</v>
      </c>
      <c r="M2150" s="3">
        <f t="shared" si="178"/>
        <v>67.509999999999764</v>
      </c>
      <c r="N2150" s="3">
        <v>3.2</v>
      </c>
    </row>
    <row r="2151" spans="4:14" ht="15" customHeight="1" x14ac:dyDescent="0.25">
      <c r="D2151" s="13">
        <v>45834</v>
      </c>
      <c r="H2151" s="3" t="s">
        <v>34</v>
      </c>
      <c r="I2151" s="3" t="s">
        <v>35</v>
      </c>
      <c r="J2151" s="3">
        <f t="shared" si="177"/>
        <v>40188</v>
      </c>
      <c r="K2151" s="3">
        <f t="shared" si="176"/>
        <v>40200</v>
      </c>
      <c r="L2151" s="3">
        <v>12</v>
      </c>
      <c r="M2151" s="3">
        <f t="shared" si="178"/>
        <v>66.259999999999764</v>
      </c>
      <c r="N2151" s="3">
        <v>1.25</v>
      </c>
    </row>
    <row r="2152" spans="4:14" ht="15" customHeight="1" x14ac:dyDescent="0.25">
      <c r="D2152" s="13"/>
      <c r="H2152" s="3" t="s">
        <v>35</v>
      </c>
      <c r="I2152" s="3" t="s">
        <v>34</v>
      </c>
      <c r="J2152" s="3">
        <f t="shared" si="177"/>
        <v>40200</v>
      </c>
      <c r="K2152" s="3">
        <f t="shared" si="176"/>
        <v>40212</v>
      </c>
      <c r="L2152" s="3">
        <v>12</v>
      </c>
      <c r="M2152" s="3">
        <f t="shared" si="178"/>
        <v>65.009999999999764</v>
      </c>
      <c r="N2152" s="3">
        <v>1.25</v>
      </c>
    </row>
    <row r="2153" spans="4:14" ht="15" customHeight="1" x14ac:dyDescent="0.25">
      <c r="D2153" s="13">
        <v>45835</v>
      </c>
      <c r="H2153" s="3" t="s">
        <v>34</v>
      </c>
      <c r="I2153" s="3" t="s">
        <v>85</v>
      </c>
      <c r="J2153" s="3">
        <f t="shared" si="177"/>
        <v>40212</v>
      </c>
      <c r="K2153" s="3">
        <f t="shared" si="176"/>
        <v>40256</v>
      </c>
      <c r="L2153" s="3">
        <v>44</v>
      </c>
      <c r="M2153" s="3">
        <f t="shared" si="178"/>
        <v>60.009999999999764</v>
      </c>
      <c r="N2153" s="3">
        <v>5</v>
      </c>
    </row>
    <row r="2154" spans="4:14" ht="15" customHeight="1" x14ac:dyDescent="0.25">
      <c r="H2154" s="3" t="s">
        <v>85</v>
      </c>
      <c r="I2154" s="3" t="s">
        <v>34</v>
      </c>
      <c r="J2154" s="3">
        <f t="shared" si="177"/>
        <v>40256</v>
      </c>
      <c r="K2154" s="3">
        <f t="shared" si="176"/>
        <v>40300</v>
      </c>
      <c r="L2154" s="3">
        <v>44</v>
      </c>
      <c r="M2154" s="3">
        <f t="shared" si="178"/>
        <v>55.009999999999764</v>
      </c>
      <c r="N2154" s="3">
        <v>5</v>
      </c>
    </row>
    <row r="2155" spans="4:14" ht="15" customHeight="1" x14ac:dyDescent="0.25">
      <c r="D2155" s="13">
        <v>45838</v>
      </c>
      <c r="H2155" s="3" t="s">
        <v>34</v>
      </c>
      <c r="I2155" s="3" t="s">
        <v>44</v>
      </c>
      <c r="J2155" s="3">
        <f t="shared" si="177"/>
        <v>40300</v>
      </c>
      <c r="K2155" s="3">
        <f t="shared" si="176"/>
        <v>40340</v>
      </c>
      <c r="L2155" s="3">
        <v>40</v>
      </c>
      <c r="M2155" s="3">
        <f t="shared" si="178"/>
        <v>50.209999999999766</v>
      </c>
      <c r="N2155" s="3">
        <v>4.8</v>
      </c>
    </row>
    <row r="2156" spans="4:14" ht="15" customHeight="1" x14ac:dyDescent="0.25">
      <c r="D2156" s="13"/>
      <c r="H2156" s="3" t="s">
        <v>44</v>
      </c>
      <c r="I2156" s="3" t="s">
        <v>34</v>
      </c>
      <c r="J2156" s="3">
        <f t="shared" si="177"/>
        <v>40340</v>
      </c>
      <c r="K2156" s="3">
        <f t="shared" si="176"/>
        <v>40380</v>
      </c>
      <c r="L2156" s="3">
        <v>40</v>
      </c>
      <c r="M2156" s="3">
        <f t="shared" si="178"/>
        <v>45.409999999999769</v>
      </c>
      <c r="N2156" s="3">
        <v>4.8</v>
      </c>
    </row>
    <row r="2159" spans="4:14" ht="15" customHeight="1" x14ac:dyDescent="0.25">
      <c r="D2159" s="2" t="s">
        <v>95</v>
      </c>
      <c r="E2159" s="2"/>
      <c r="F2159" s="2"/>
      <c r="G2159" s="2"/>
    </row>
    <row r="2161" spans="4:14" ht="15" customHeight="1" x14ac:dyDescent="0.25">
      <c r="D2161" s="13">
        <v>45839</v>
      </c>
      <c r="H2161" s="3" t="s">
        <v>34</v>
      </c>
      <c r="I2161" s="3" t="s">
        <v>44</v>
      </c>
      <c r="J2161" s="3">
        <f>K2156</f>
        <v>40380</v>
      </c>
      <c r="K2161" s="3">
        <f t="shared" ref="K2161:K2192" si="179">J2161+L2161</f>
        <v>40420</v>
      </c>
      <c r="L2161" s="3">
        <v>40</v>
      </c>
      <c r="M2161" s="3">
        <f>(E2161+M2156)-N2161</f>
        <v>40.609999999999772</v>
      </c>
      <c r="N2161" s="3">
        <v>4.8</v>
      </c>
    </row>
    <row r="2162" spans="4:14" ht="15" customHeight="1" x14ac:dyDescent="0.25">
      <c r="D2162" s="13"/>
      <c r="H2162" s="3" t="s">
        <v>44</v>
      </c>
      <c r="I2162" s="3" t="s">
        <v>34</v>
      </c>
      <c r="J2162" s="3">
        <f t="shared" ref="J2162:J2193" si="180">K2161</f>
        <v>40420</v>
      </c>
      <c r="K2162" s="3">
        <f t="shared" si="179"/>
        <v>40460</v>
      </c>
      <c r="L2162" s="3">
        <v>40</v>
      </c>
      <c r="M2162" s="3">
        <f t="shared" ref="M2162:M2193" si="181">(E2162+M2161)-N2162</f>
        <v>35.809999999999775</v>
      </c>
      <c r="N2162" s="3">
        <v>4.8</v>
      </c>
    </row>
    <row r="2163" spans="4:14" ht="15" customHeight="1" x14ac:dyDescent="0.25">
      <c r="D2163" s="13">
        <v>45840</v>
      </c>
      <c r="E2163">
        <v>51.57</v>
      </c>
      <c r="F2163" s="3">
        <v>63.06</v>
      </c>
      <c r="G2163" s="8">
        <f>E2163*F2163</f>
        <v>3252.0042000000003</v>
      </c>
      <c r="H2163" s="3" t="s">
        <v>34</v>
      </c>
      <c r="I2163" s="3" t="s">
        <v>49</v>
      </c>
      <c r="J2163" s="3">
        <f t="shared" si="180"/>
        <v>40460</v>
      </c>
      <c r="K2163" s="3">
        <f t="shared" si="179"/>
        <v>40487</v>
      </c>
      <c r="L2163" s="3">
        <v>27</v>
      </c>
      <c r="M2163" s="3">
        <f t="shared" si="181"/>
        <v>84.179999999999765</v>
      </c>
      <c r="N2163" s="3">
        <v>3.2</v>
      </c>
    </row>
    <row r="2164" spans="4:14" ht="15" customHeight="1" x14ac:dyDescent="0.25">
      <c r="D2164" s="13"/>
      <c r="H2164" s="3" t="s">
        <v>49</v>
      </c>
      <c r="I2164" s="3" t="s">
        <v>34</v>
      </c>
      <c r="J2164" s="3">
        <f t="shared" si="180"/>
        <v>40487</v>
      </c>
      <c r="K2164" s="3">
        <f t="shared" si="179"/>
        <v>40514</v>
      </c>
      <c r="L2164" s="3">
        <v>27</v>
      </c>
      <c r="M2164" s="3">
        <f t="shared" si="181"/>
        <v>80.979999999999762</v>
      </c>
      <c r="N2164" s="3">
        <v>3.2</v>
      </c>
    </row>
    <row r="2165" spans="4:14" ht="15" customHeight="1" x14ac:dyDescent="0.25">
      <c r="D2165" s="13">
        <v>45841</v>
      </c>
      <c r="H2165" s="3" t="s">
        <v>34</v>
      </c>
      <c r="I2165" s="3" t="s">
        <v>54</v>
      </c>
      <c r="J2165" s="3">
        <f t="shared" si="180"/>
        <v>40514</v>
      </c>
      <c r="K2165" s="3">
        <f t="shared" si="179"/>
        <v>40541</v>
      </c>
      <c r="L2165" s="3">
        <v>27</v>
      </c>
      <c r="M2165" s="3">
        <f t="shared" si="181"/>
        <v>77.77999999999976</v>
      </c>
      <c r="N2165" s="3">
        <v>3.2</v>
      </c>
    </row>
    <row r="2166" spans="4:14" ht="15" customHeight="1" x14ac:dyDescent="0.25">
      <c r="D2166" s="13"/>
      <c r="H2166" s="3" t="s">
        <v>54</v>
      </c>
      <c r="I2166" s="3" t="s">
        <v>34</v>
      </c>
      <c r="J2166" s="3">
        <f t="shared" si="180"/>
        <v>40541</v>
      </c>
      <c r="K2166" s="3">
        <f t="shared" si="179"/>
        <v>40568</v>
      </c>
      <c r="L2166" s="3">
        <v>27</v>
      </c>
      <c r="M2166" s="3">
        <f t="shared" si="181"/>
        <v>74.579999999999757</v>
      </c>
      <c r="N2166" s="3">
        <v>3.2</v>
      </c>
    </row>
    <row r="2167" spans="4:14" ht="15" customHeight="1" x14ac:dyDescent="0.25">
      <c r="D2167" s="13">
        <v>45842</v>
      </c>
      <c r="H2167" s="3" t="s">
        <v>34</v>
      </c>
      <c r="I2167" s="3" t="s">
        <v>54</v>
      </c>
      <c r="J2167" s="3">
        <f t="shared" si="180"/>
        <v>40568</v>
      </c>
      <c r="K2167" s="3">
        <f t="shared" si="179"/>
        <v>40595</v>
      </c>
      <c r="L2167" s="3">
        <v>27</v>
      </c>
      <c r="M2167" s="3">
        <f t="shared" si="181"/>
        <v>71.379999999999754</v>
      </c>
      <c r="N2167" s="3">
        <v>3.2</v>
      </c>
    </row>
    <row r="2168" spans="4:14" ht="15" customHeight="1" x14ac:dyDescent="0.25">
      <c r="D2168" s="13"/>
      <c r="H2168" s="3" t="s">
        <v>54</v>
      </c>
      <c r="I2168" s="3" t="s">
        <v>34</v>
      </c>
      <c r="J2168" s="3">
        <f t="shared" si="180"/>
        <v>40595</v>
      </c>
      <c r="K2168" s="3">
        <f t="shared" si="179"/>
        <v>40622</v>
      </c>
      <c r="L2168" s="3">
        <v>27</v>
      </c>
      <c r="M2168" s="3">
        <f t="shared" si="181"/>
        <v>68.179999999999751</v>
      </c>
      <c r="N2168" s="3">
        <v>3.2</v>
      </c>
    </row>
    <row r="2169" spans="4:14" ht="15" customHeight="1" x14ac:dyDescent="0.25">
      <c r="D2169" s="13">
        <v>45845</v>
      </c>
      <c r="H2169" s="3" t="s">
        <v>34</v>
      </c>
      <c r="I2169" s="3" t="s">
        <v>85</v>
      </c>
      <c r="J2169" s="3">
        <f t="shared" si="180"/>
        <v>40622</v>
      </c>
      <c r="K2169" s="3">
        <f t="shared" si="179"/>
        <v>40666</v>
      </c>
      <c r="L2169" s="3">
        <v>44</v>
      </c>
      <c r="M2169" s="3">
        <f t="shared" si="181"/>
        <v>63.179999999999751</v>
      </c>
      <c r="N2169" s="3">
        <v>5</v>
      </c>
    </row>
    <row r="2170" spans="4:14" ht="15" customHeight="1" x14ac:dyDescent="0.25">
      <c r="D2170" s="13"/>
      <c r="H2170" s="3" t="s">
        <v>85</v>
      </c>
      <c r="I2170" s="3" t="s">
        <v>34</v>
      </c>
      <c r="J2170" s="3">
        <f t="shared" si="180"/>
        <v>40666</v>
      </c>
      <c r="K2170" s="3">
        <f t="shared" si="179"/>
        <v>40710</v>
      </c>
      <c r="L2170" s="3">
        <v>44</v>
      </c>
      <c r="M2170" s="3">
        <f t="shared" si="181"/>
        <v>58.179999999999751</v>
      </c>
      <c r="N2170" s="3">
        <v>5</v>
      </c>
    </row>
    <row r="2171" spans="4:14" ht="15" customHeight="1" x14ac:dyDescent="0.25">
      <c r="D2171" s="13">
        <v>45846</v>
      </c>
      <c r="H2171" s="3" t="s">
        <v>34</v>
      </c>
      <c r="I2171" s="3" t="s">
        <v>44</v>
      </c>
      <c r="J2171" s="3">
        <f t="shared" si="180"/>
        <v>40710</v>
      </c>
      <c r="K2171" s="3">
        <f t="shared" si="179"/>
        <v>40750</v>
      </c>
      <c r="L2171" s="3">
        <v>40</v>
      </c>
      <c r="M2171" s="3">
        <f t="shared" si="181"/>
        <v>53.379999999999754</v>
      </c>
      <c r="N2171" s="3">
        <v>4.8</v>
      </c>
    </row>
    <row r="2172" spans="4:14" ht="15" customHeight="1" x14ac:dyDescent="0.25">
      <c r="D2172" s="13"/>
      <c r="H2172" s="3" t="s">
        <v>44</v>
      </c>
      <c r="I2172" s="3" t="s">
        <v>34</v>
      </c>
      <c r="J2172" s="3">
        <f t="shared" si="180"/>
        <v>40750</v>
      </c>
      <c r="K2172" s="3">
        <f t="shared" si="179"/>
        <v>40790</v>
      </c>
      <c r="L2172" s="3">
        <v>40</v>
      </c>
      <c r="M2172" s="3">
        <f t="shared" si="181"/>
        <v>48.579999999999757</v>
      </c>
      <c r="N2172" s="3">
        <v>4.8</v>
      </c>
    </row>
    <row r="2173" spans="4:14" ht="15" customHeight="1" x14ac:dyDescent="0.25">
      <c r="D2173" s="13">
        <v>45847</v>
      </c>
      <c r="E2173">
        <v>46.41</v>
      </c>
      <c r="F2173" s="3">
        <v>62.91</v>
      </c>
      <c r="G2173" s="8">
        <f>E2173*F2173</f>
        <v>2919.6530999999995</v>
      </c>
      <c r="H2173" s="3" t="s">
        <v>34</v>
      </c>
      <c r="I2173" s="3" t="s">
        <v>44</v>
      </c>
      <c r="J2173" s="3">
        <f t="shared" si="180"/>
        <v>40790</v>
      </c>
      <c r="K2173" s="3">
        <f t="shared" si="179"/>
        <v>40830</v>
      </c>
      <c r="L2173" s="3">
        <v>40</v>
      </c>
      <c r="M2173" s="3">
        <f t="shared" si="181"/>
        <v>90.189999999999756</v>
      </c>
      <c r="N2173" s="3">
        <v>4.8</v>
      </c>
    </row>
    <row r="2174" spans="4:14" ht="15" customHeight="1" x14ac:dyDescent="0.25">
      <c r="D2174" s="13"/>
      <c r="H2174" s="3" t="s">
        <v>44</v>
      </c>
      <c r="I2174" s="3" t="s">
        <v>34</v>
      </c>
      <c r="J2174" s="3">
        <f t="shared" si="180"/>
        <v>40830</v>
      </c>
      <c r="K2174" s="3">
        <f t="shared" si="179"/>
        <v>40870</v>
      </c>
      <c r="L2174" s="3">
        <v>40</v>
      </c>
      <c r="M2174" s="3">
        <f t="shared" si="181"/>
        <v>85.389999999999759</v>
      </c>
      <c r="N2174" s="3">
        <v>4.8</v>
      </c>
    </row>
    <row r="2175" spans="4:14" ht="15" customHeight="1" x14ac:dyDescent="0.25">
      <c r="D2175" s="13">
        <v>45848</v>
      </c>
      <c r="H2175" s="3" t="s">
        <v>34</v>
      </c>
      <c r="I2175" s="3" t="s">
        <v>35</v>
      </c>
      <c r="J2175" s="3">
        <f t="shared" si="180"/>
        <v>40870</v>
      </c>
      <c r="K2175" s="3">
        <f t="shared" si="179"/>
        <v>40882</v>
      </c>
      <c r="L2175" s="3">
        <v>12</v>
      </c>
      <c r="M2175" s="3">
        <f t="shared" si="181"/>
        <v>84.139999999999759</v>
      </c>
      <c r="N2175" s="3">
        <v>1.25</v>
      </c>
    </row>
    <row r="2176" spans="4:14" ht="15" customHeight="1" x14ac:dyDescent="0.25">
      <c r="D2176" s="13"/>
      <c r="H2176" s="3" t="s">
        <v>35</v>
      </c>
      <c r="I2176" s="3" t="s">
        <v>34</v>
      </c>
      <c r="J2176" s="3">
        <f t="shared" si="180"/>
        <v>40882</v>
      </c>
      <c r="K2176" s="3">
        <f t="shared" si="179"/>
        <v>40894</v>
      </c>
      <c r="L2176" s="3">
        <v>12</v>
      </c>
      <c r="M2176" s="3">
        <f t="shared" si="181"/>
        <v>82.889999999999759</v>
      </c>
      <c r="N2176" s="3">
        <v>1.25</v>
      </c>
    </row>
    <row r="2177" spans="4:14" ht="15" customHeight="1" x14ac:dyDescent="0.25">
      <c r="D2177" s="13">
        <v>45849</v>
      </c>
      <c r="H2177" s="3" t="s">
        <v>34</v>
      </c>
      <c r="I2177" s="3" t="s">
        <v>54</v>
      </c>
      <c r="J2177" s="3">
        <f t="shared" si="180"/>
        <v>40894</v>
      </c>
      <c r="K2177" s="3">
        <f t="shared" si="179"/>
        <v>40921</v>
      </c>
      <c r="L2177" s="3">
        <v>27</v>
      </c>
      <c r="M2177" s="3">
        <f t="shared" si="181"/>
        <v>79.689999999999756</v>
      </c>
      <c r="N2177" s="3">
        <v>3.2</v>
      </c>
    </row>
    <row r="2178" spans="4:14" ht="15" customHeight="1" x14ac:dyDescent="0.25">
      <c r="D2178" s="13"/>
      <c r="H2178" s="3" t="s">
        <v>54</v>
      </c>
      <c r="I2178" s="3" t="s">
        <v>34</v>
      </c>
      <c r="J2178" s="3">
        <f t="shared" si="180"/>
        <v>40921</v>
      </c>
      <c r="K2178" s="3">
        <f t="shared" si="179"/>
        <v>40948</v>
      </c>
      <c r="L2178" s="3">
        <v>27</v>
      </c>
      <c r="M2178" s="3">
        <f t="shared" si="181"/>
        <v>76.489999999999753</v>
      </c>
      <c r="N2178" s="3">
        <v>3.2</v>
      </c>
    </row>
    <row r="2179" spans="4:14" ht="15" customHeight="1" x14ac:dyDescent="0.25">
      <c r="D2179" s="13">
        <v>45852</v>
      </c>
      <c r="H2179" s="3" t="s">
        <v>34</v>
      </c>
      <c r="I2179" s="3" t="s">
        <v>85</v>
      </c>
      <c r="J2179" s="3">
        <f t="shared" si="180"/>
        <v>40948</v>
      </c>
      <c r="K2179" s="3">
        <f t="shared" si="179"/>
        <v>40992</v>
      </c>
      <c r="L2179" s="3">
        <v>44</v>
      </c>
      <c r="M2179" s="3">
        <f t="shared" si="181"/>
        <v>71.489999999999753</v>
      </c>
      <c r="N2179" s="3">
        <v>5</v>
      </c>
    </row>
    <row r="2180" spans="4:14" ht="15" customHeight="1" x14ac:dyDescent="0.25">
      <c r="D2180" s="13"/>
      <c r="H2180" s="3" t="s">
        <v>85</v>
      </c>
      <c r="I2180" s="3" t="s">
        <v>34</v>
      </c>
      <c r="J2180" s="3">
        <f t="shared" si="180"/>
        <v>40992</v>
      </c>
      <c r="K2180" s="3">
        <f t="shared" si="179"/>
        <v>41036</v>
      </c>
      <c r="L2180" s="3">
        <v>44</v>
      </c>
      <c r="M2180" s="3">
        <f t="shared" si="181"/>
        <v>66.489999999999753</v>
      </c>
      <c r="N2180" s="3">
        <v>5</v>
      </c>
    </row>
    <row r="2181" spans="4:14" ht="15" customHeight="1" x14ac:dyDescent="0.25">
      <c r="D2181" s="13">
        <v>45853</v>
      </c>
      <c r="H2181" s="3" t="s">
        <v>34</v>
      </c>
      <c r="I2181" s="3" t="s">
        <v>44</v>
      </c>
      <c r="J2181" s="3">
        <f t="shared" si="180"/>
        <v>41036</v>
      </c>
      <c r="K2181" s="3">
        <f t="shared" si="179"/>
        <v>41076</v>
      </c>
      <c r="L2181" s="3">
        <v>40</v>
      </c>
      <c r="M2181" s="3">
        <f t="shared" si="181"/>
        <v>61.689999999999756</v>
      </c>
      <c r="N2181" s="3">
        <v>4.8</v>
      </c>
    </row>
    <row r="2182" spans="4:14" ht="15" customHeight="1" x14ac:dyDescent="0.25">
      <c r="D2182" s="13"/>
      <c r="H2182" s="3" t="s">
        <v>44</v>
      </c>
      <c r="I2182" s="3" t="s">
        <v>34</v>
      </c>
      <c r="J2182" s="3">
        <f t="shared" si="180"/>
        <v>41076</v>
      </c>
      <c r="K2182" s="3">
        <f t="shared" si="179"/>
        <v>41116</v>
      </c>
      <c r="L2182" s="3">
        <v>40</v>
      </c>
      <c r="M2182" s="3">
        <f t="shared" si="181"/>
        <v>56.889999999999759</v>
      </c>
      <c r="N2182" s="3">
        <v>4.8</v>
      </c>
    </row>
    <row r="2183" spans="4:14" ht="15" customHeight="1" x14ac:dyDescent="0.25">
      <c r="D2183" s="13">
        <v>45854</v>
      </c>
      <c r="H2183" s="3" t="s">
        <v>34</v>
      </c>
      <c r="I2183" s="3" t="s">
        <v>54</v>
      </c>
      <c r="J2183" s="3">
        <f t="shared" si="180"/>
        <v>41116</v>
      </c>
      <c r="K2183" s="3">
        <f t="shared" si="179"/>
        <v>41143</v>
      </c>
      <c r="L2183" s="3">
        <v>27</v>
      </c>
      <c r="M2183" s="3">
        <f t="shared" si="181"/>
        <v>53.689999999999756</v>
      </c>
      <c r="N2183" s="3">
        <v>3.2</v>
      </c>
    </row>
    <row r="2184" spans="4:14" ht="15" customHeight="1" x14ac:dyDescent="0.25">
      <c r="D2184" s="13"/>
      <c r="H2184" s="3" t="s">
        <v>54</v>
      </c>
      <c r="I2184" s="3" t="s">
        <v>34</v>
      </c>
      <c r="J2184" s="3">
        <f t="shared" si="180"/>
        <v>41143</v>
      </c>
      <c r="K2184" s="3">
        <f t="shared" si="179"/>
        <v>41170</v>
      </c>
      <c r="L2184" s="3">
        <v>27</v>
      </c>
      <c r="M2184" s="3">
        <f t="shared" si="181"/>
        <v>50.489999999999753</v>
      </c>
      <c r="N2184" s="3">
        <v>3.2</v>
      </c>
    </row>
    <row r="2185" spans="4:14" ht="15" customHeight="1" x14ac:dyDescent="0.25">
      <c r="D2185" s="13">
        <v>45855</v>
      </c>
      <c r="H2185" s="3" t="s">
        <v>34</v>
      </c>
      <c r="I2185" s="3" t="s">
        <v>32</v>
      </c>
      <c r="J2185" s="3">
        <f t="shared" si="180"/>
        <v>41170</v>
      </c>
      <c r="K2185" s="3">
        <f t="shared" si="179"/>
        <v>41195</v>
      </c>
      <c r="L2185" s="3">
        <v>25</v>
      </c>
      <c r="M2185" s="3">
        <f t="shared" si="181"/>
        <v>47.489999999999753</v>
      </c>
      <c r="N2185" s="3">
        <v>3</v>
      </c>
    </row>
    <row r="2186" spans="4:14" ht="15" customHeight="1" x14ac:dyDescent="0.25">
      <c r="D2186" s="13"/>
      <c r="H2186" s="3" t="s">
        <v>32</v>
      </c>
      <c r="I2186" s="3" t="s">
        <v>34</v>
      </c>
      <c r="J2186" s="3">
        <f t="shared" si="180"/>
        <v>41195</v>
      </c>
      <c r="K2186" s="3">
        <f t="shared" si="179"/>
        <v>41220</v>
      </c>
      <c r="L2186" s="3">
        <v>25</v>
      </c>
      <c r="M2186" s="3">
        <f t="shared" si="181"/>
        <v>44.489999999999753</v>
      </c>
      <c r="N2186" s="3">
        <v>3</v>
      </c>
    </row>
    <row r="2187" spans="4:14" ht="15" customHeight="1" x14ac:dyDescent="0.25">
      <c r="D2187" s="13">
        <v>45856</v>
      </c>
      <c r="E2187">
        <v>44.83</v>
      </c>
      <c r="F2187" s="3">
        <v>63.83</v>
      </c>
      <c r="G2187" s="8">
        <f>E2187*F2187</f>
        <v>2861.4988999999996</v>
      </c>
      <c r="H2187" s="3" t="s">
        <v>34</v>
      </c>
      <c r="I2187" s="3" t="s">
        <v>44</v>
      </c>
      <c r="J2187" s="3">
        <f t="shared" si="180"/>
        <v>41220</v>
      </c>
      <c r="K2187" s="3">
        <f t="shared" si="179"/>
        <v>41260</v>
      </c>
      <c r="L2187" s="3">
        <v>40</v>
      </c>
      <c r="M2187" s="3">
        <f t="shared" si="181"/>
        <v>84.519999999999754</v>
      </c>
      <c r="N2187" s="3">
        <v>4.8</v>
      </c>
    </row>
    <row r="2188" spans="4:14" ht="15" customHeight="1" x14ac:dyDescent="0.25">
      <c r="D2188" s="13"/>
      <c r="H2188" s="3" t="s">
        <v>44</v>
      </c>
      <c r="I2188" s="3" t="s">
        <v>34</v>
      </c>
      <c r="J2188" s="3">
        <f t="shared" si="180"/>
        <v>41260</v>
      </c>
      <c r="K2188" s="3">
        <f t="shared" si="179"/>
        <v>41300</v>
      </c>
      <c r="L2188" s="3">
        <v>40</v>
      </c>
      <c r="M2188" s="3">
        <f t="shared" si="181"/>
        <v>79.719999999999757</v>
      </c>
      <c r="N2188" s="3">
        <v>4.8</v>
      </c>
    </row>
    <row r="2189" spans="4:14" ht="15" customHeight="1" x14ac:dyDescent="0.25">
      <c r="D2189" s="13"/>
      <c r="H2189" s="3" t="s">
        <v>34</v>
      </c>
      <c r="I2189" s="3" t="s">
        <v>49</v>
      </c>
      <c r="J2189" s="3">
        <f t="shared" si="180"/>
        <v>41300</v>
      </c>
      <c r="K2189" s="3">
        <f t="shared" si="179"/>
        <v>41327</v>
      </c>
      <c r="L2189" s="3">
        <v>27</v>
      </c>
      <c r="M2189" s="3">
        <f t="shared" si="181"/>
        <v>76.519999999999754</v>
      </c>
      <c r="N2189" s="3">
        <v>3.2</v>
      </c>
    </row>
    <row r="2190" spans="4:14" ht="15" customHeight="1" x14ac:dyDescent="0.25">
      <c r="D2190" s="13"/>
      <c r="H2190" s="3" t="s">
        <v>49</v>
      </c>
      <c r="I2190" s="3" t="s">
        <v>34</v>
      </c>
      <c r="J2190" s="3">
        <f t="shared" si="180"/>
        <v>41327</v>
      </c>
      <c r="K2190" s="3">
        <f t="shared" si="179"/>
        <v>41354</v>
      </c>
      <c r="L2190" s="3">
        <v>27</v>
      </c>
      <c r="M2190" s="3">
        <f t="shared" si="181"/>
        <v>73.319999999999752</v>
      </c>
      <c r="N2190" s="3">
        <v>3.2</v>
      </c>
    </row>
    <row r="2191" spans="4:14" ht="15" customHeight="1" x14ac:dyDescent="0.25">
      <c r="D2191" s="13">
        <v>45859</v>
      </c>
      <c r="H2191" s="3" t="s">
        <v>34</v>
      </c>
      <c r="I2191" s="3" t="s">
        <v>54</v>
      </c>
      <c r="J2191" s="3">
        <f t="shared" si="180"/>
        <v>41354</v>
      </c>
      <c r="K2191" s="3">
        <f t="shared" si="179"/>
        <v>41381</v>
      </c>
      <c r="L2191" s="3">
        <v>27</v>
      </c>
      <c r="M2191" s="3">
        <f t="shared" si="181"/>
        <v>70.119999999999749</v>
      </c>
      <c r="N2191" s="3">
        <v>3.2</v>
      </c>
    </row>
    <row r="2192" spans="4:14" ht="15" customHeight="1" x14ac:dyDescent="0.25">
      <c r="D2192" s="13"/>
      <c r="H2192" s="3" t="s">
        <v>54</v>
      </c>
      <c r="I2192" s="3" t="s">
        <v>34</v>
      </c>
      <c r="J2192" s="3">
        <f t="shared" si="180"/>
        <v>41381</v>
      </c>
      <c r="K2192" s="3">
        <f t="shared" si="179"/>
        <v>41408</v>
      </c>
      <c r="L2192" s="3">
        <v>27</v>
      </c>
      <c r="M2192" s="3">
        <f t="shared" si="181"/>
        <v>66.919999999999746</v>
      </c>
      <c r="N2192" s="3">
        <v>3.2</v>
      </c>
    </row>
    <row r="2193" spans="4:14" ht="15" customHeight="1" x14ac:dyDescent="0.25">
      <c r="D2193" s="13"/>
      <c r="H2193" s="3" t="s">
        <v>34</v>
      </c>
      <c r="I2193" s="3" t="s">
        <v>85</v>
      </c>
      <c r="J2193" s="3">
        <f t="shared" si="180"/>
        <v>41408</v>
      </c>
      <c r="K2193" s="3">
        <f t="shared" ref="K2193:K2224" si="182">J2193+L2193</f>
        <v>41452</v>
      </c>
      <c r="L2193" s="3">
        <v>44</v>
      </c>
      <c r="M2193" s="3">
        <f t="shared" si="181"/>
        <v>61.919999999999746</v>
      </c>
      <c r="N2193" s="3">
        <v>5</v>
      </c>
    </row>
    <row r="2194" spans="4:14" ht="15" customHeight="1" x14ac:dyDescent="0.25">
      <c r="D2194" s="13"/>
      <c r="H2194" s="3" t="s">
        <v>85</v>
      </c>
      <c r="I2194" s="3" t="s">
        <v>34</v>
      </c>
      <c r="J2194" s="3">
        <f t="shared" ref="J2194:J2216" si="183">K2193</f>
        <v>41452</v>
      </c>
      <c r="K2194" s="3">
        <f t="shared" si="182"/>
        <v>41496</v>
      </c>
      <c r="L2194" s="3">
        <v>44</v>
      </c>
      <c r="M2194" s="3">
        <f t="shared" ref="M2194:M2225" si="184">(E2194+M2193)-N2194</f>
        <v>56.919999999999746</v>
      </c>
      <c r="N2194" s="3">
        <v>5</v>
      </c>
    </row>
    <row r="2195" spans="4:14" ht="15" customHeight="1" x14ac:dyDescent="0.25">
      <c r="D2195" s="13">
        <v>45860</v>
      </c>
      <c r="H2195" s="3" t="s">
        <v>34</v>
      </c>
      <c r="I2195" s="3" t="s">
        <v>85</v>
      </c>
      <c r="J2195" s="3">
        <f t="shared" si="183"/>
        <v>41496</v>
      </c>
      <c r="K2195" s="3">
        <f t="shared" si="182"/>
        <v>41540</v>
      </c>
      <c r="L2195" s="3">
        <v>44</v>
      </c>
      <c r="M2195" s="3">
        <f t="shared" si="184"/>
        <v>51.919999999999746</v>
      </c>
      <c r="N2195" s="3">
        <v>5</v>
      </c>
    </row>
    <row r="2196" spans="4:14" ht="15" customHeight="1" x14ac:dyDescent="0.25">
      <c r="D2196" s="13"/>
      <c r="H2196" s="3" t="s">
        <v>85</v>
      </c>
      <c r="I2196" s="3" t="s">
        <v>34</v>
      </c>
      <c r="J2196" s="3">
        <f t="shared" si="183"/>
        <v>41540</v>
      </c>
      <c r="K2196" s="3">
        <f t="shared" si="182"/>
        <v>41584</v>
      </c>
      <c r="L2196" s="3">
        <v>44</v>
      </c>
      <c r="M2196" s="3">
        <f t="shared" si="184"/>
        <v>46.919999999999746</v>
      </c>
      <c r="N2196" s="3">
        <v>5</v>
      </c>
    </row>
    <row r="2197" spans="4:14" ht="15" customHeight="1" x14ac:dyDescent="0.25">
      <c r="D2197" s="13"/>
      <c r="H2197" s="3" t="s">
        <v>34</v>
      </c>
      <c r="I2197" s="3" t="s">
        <v>44</v>
      </c>
      <c r="J2197" s="3">
        <f t="shared" si="183"/>
        <v>41584</v>
      </c>
      <c r="K2197" s="3">
        <f t="shared" si="182"/>
        <v>41624</v>
      </c>
      <c r="L2197" s="3">
        <v>40</v>
      </c>
      <c r="M2197" s="3">
        <f t="shared" si="184"/>
        <v>42.119999999999749</v>
      </c>
      <c r="N2197" s="3">
        <v>4.8</v>
      </c>
    </row>
    <row r="2198" spans="4:14" ht="15" customHeight="1" x14ac:dyDescent="0.25">
      <c r="D2198" s="13"/>
      <c r="H2198" s="3" t="s">
        <v>44</v>
      </c>
      <c r="I2198" s="3" t="s">
        <v>34</v>
      </c>
      <c r="J2198" s="3">
        <f t="shared" si="183"/>
        <v>41624</v>
      </c>
      <c r="K2198" s="3">
        <f t="shared" si="182"/>
        <v>41664</v>
      </c>
      <c r="L2198" s="3">
        <v>40</v>
      </c>
      <c r="M2198" s="3">
        <f t="shared" si="184"/>
        <v>37.319999999999752</v>
      </c>
      <c r="N2198" s="3">
        <v>4.8</v>
      </c>
    </row>
    <row r="2199" spans="4:14" ht="15" customHeight="1" x14ac:dyDescent="0.25">
      <c r="D2199" s="13">
        <v>45861</v>
      </c>
      <c r="E2199">
        <v>46.52</v>
      </c>
      <c r="F2199" s="3">
        <v>63.43</v>
      </c>
      <c r="G2199" s="8">
        <f>E2199*F2199</f>
        <v>2950.7636000000002</v>
      </c>
      <c r="H2199" s="3" t="s">
        <v>34</v>
      </c>
      <c r="I2199" s="3" t="s">
        <v>54</v>
      </c>
      <c r="J2199" s="3">
        <f t="shared" si="183"/>
        <v>41664</v>
      </c>
      <c r="K2199" s="3">
        <f t="shared" si="182"/>
        <v>41691</v>
      </c>
      <c r="L2199" s="3">
        <v>27</v>
      </c>
      <c r="M2199" s="3">
        <f t="shared" si="184"/>
        <v>80.639999999999745</v>
      </c>
      <c r="N2199" s="3">
        <v>3.2</v>
      </c>
    </row>
    <row r="2200" spans="4:14" ht="15" customHeight="1" x14ac:dyDescent="0.25">
      <c r="D2200" s="13"/>
      <c r="H2200" s="3" t="s">
        <v>54</v>
      </c>
      <c r="I2200" s="3" t="s">
        <v>34</v>
      </c>
      <c r="J2200" s="3">
        <f t="shared" si="183"/>
        <v>41691</v>
      </c>
      <c r="K2200" s="3">
        <f t="shared" si="182"/>
        <v>41718</v>
      </c>
      <c r="L2200" s="3">
        <v>27</v>
      </c>
      <c r="M2200" s="3">
        <f t="shared" si="184"/>
        <v>77.439999999999742</v>
      </c>
      <c r="N2200" s="3">
        <v>3.2</v>
      </c>
    </row>
    <row r="2201" spans="4:14" ht="15" customHeight="1" x14ac:dyDescent="0.25">
      <c r="D2201" s="13">
        <v>45862</v>
      </c>
      <c r="H2201" s="3" t="s">
        <v>34</v>
      </c>
      <c r="I2201" s="3" t="s">
        <v>35</v>
      </c>
      <c r="J2201" s="3">
        <f t="shared" si="183"/>
        <v>41718</v>
      </c>
      <c r="K2201" s="3">
        <f t="shared" si="182"/>
        <v>41730</v>
      </c>
      <c r="L2201" s="3">
        <v>12</v>
      </c>
      <c r="M2201" s="3">
        <f t="shared" si="184"/>
        <v>76.189999999999742</v>
      </c>
      <c r="N2201" s="3">
        <v>1.25</v>
      </c>
    </row>
    <row r="2202" spans="4:14" ht="15" customHeight="1" x14ac:dyDescent="0.25">
      <c r="D2202" s="13"/>
      <c r="H2202" s="3" t="s">
        <v>35</v>
      </c>
      <c r="I2202" s="3" t="s">
        <v>34</v>
      </c>
      <c r="J2202" s="3">
        <f t="shared" si="183"/>
        <v>41730</v>
      </c>
      <c r="K2202" s="3">
        <f t="shared" si="182"/>
        <v>41742</v>
      </c>
      <c r="L2202" s="3">
        <v>12</v>
      </c>
      <c r="M2202" s="3">
        <f t="shared" si="184"/>
        <v>74.939999999999742</v>
      </c>
      <c r="N2202" s="3">
        <v>1.25</v>
      </c>
    </row>
    <row r="2203" spans="4:14" ht="15" customHeight="1" x14ac:dyDescent="0.25">
      <c r="D2203" s="13">
        <v>45863</v>
      </c>
      <c r="H2203" s="3" t="s">
        <v>34</v>
      </c>
      <c r="I2203" s="3" t="s">
        <v>43</v>
      </c>
      <c r="J2203" s="3">
        <f t="shared" si="183"/>
        <v>41742</v>
      </c>
      <c r="K2203" s="3">
        <f t="shared" si="182"/>
        <v>41754</v>
      </c>
      <c r="L2203" s="3">
        <v>12</v>
      </c>
      <c r="M2203" s="3">
        <f t="shared" si="184"/>
        <v>73.689999999999742</v>
      </c>
      <c r="N2203" s="3">
        <v>1.25</v>
      </c>
    </row>
    <row r="2204" spans="4:14" ht="15" customHeight="1" x14ac:dyDescent="0.25">
      <c r="D2204" s="13"/>
      <c r="H2204" s="3" t="s">
        <v>43</v>
      </c>
      <c r="I2204" s="3" t="s">
        <v>34</v>
      </c>
      <c r="J2204" s="3">
        <f t="shared" si="183"/>
        <v>41754</v>
      </c>
      <c r="K2204" s="3">
        <f t="shared" si="182"/>
        <v>41766</v>
      </c>
      <c r="L2204" s="3">
        <v>12</v>
      </c>
      <c r="M2204" s="3">
        <f t="shared" si="184"/>
        <v>72.439999999999742</v>
      </c>
      <c r="N2204" s="3">
        <v>1.25</v>
      </c>
    </row>
    <row r="2205" spans="4:14" ht="15" customHeight="1" x14ac:dyDescent="0.25">
      <c r="D2205" s="13">
        <v>45866</v>
      </c>
      <c r="H2205" s="3" t="s">
        <v>34</v>
      </c>
      <c r="I2205" s="3" t="s">
        <v>54</v>
      </c>
      <c r="J2205" s="3">
        <f t="shared" si="183"/>
        <v>41766</v>
      </c>
      <c r="K2205" s="3">
        <f t="shared" si="182"/>
        <v>41793</v>
      </c>
      <c r="L2205" s="3">
        <v>27</v>
      </c>
      <c r="M2205" s="3">
        <f t="shared" si="184"/>
        <v>69.239999999999739</v>
      </c>
      <c r="N2205" s="3">
        <v>3.2</v>
      </c>
    </row>
    <row r="2206" spans="4:14" ht="15" customHeight="1" x14ac:dyDescent="0.25">
      <c r="D2206" s="13"/>
      <c r="H2206" s="3" t="s">
        <v>54</v>
      </c>
      <c r="I2206" s="3" t="s">
        <v>34</v>
      </c>
      <c r="J2206" s="3">
        <f t="shared" si="183"/>
        <v>41793</v>
      </c>
      <c r="K2206" s="3">
        <f t="shared" si="182"/>
        <v>41820</v>
      </c>
      <c r="L2206" s="3">
        <v>27</v>
      </c>
      <c r="M2206" s="3">
        <f t="shared" si="184"/>
        <v>66.039999999999736</v>
      </c>
      <c r="N2206" s="3">
        <v>3.2</v>
      </c>
    </row>
    <row r="2207" spans="4:14" ht="15" customHeight="1" x14ac:dyDescent="0.25">
      <c r="D2207" s="13">
        <v>45867</v>
      </c>
      <c r="H2207" s="3" t="s">
        <v>34</v>
      </c>
      <c r="I2207" s="3" t="s">
        <v>54</v>
      </c>
      <c r="J2207" s="3">
        <f t="shared" si="183"/>
        <v>41820</v>
      </c>
      <c r="K2207" s="3">
        <f t="shared" si="182"/>
        <v>41847</v>
      </c>
      <c r="L2207" s="3">
        <v>27</v>
      </c>
      <c r="M2207" s="3">
        <f t="shared" si="184"/>
        <v>62.839999999999733</v>
      </c>
      <c r="N2207" s="3">
        <v>3.2</v>
      </c>
    </row>
    <row r="2208" spans="4:14" ht="15" customHeight="1" x14ac:dyDescent="0.25">
      <c r="D2208" s="13"/>
      <c r="H2208" s="3" t="s">
        <v>54</v>
      </c>
      <c r="I2208" s="3" t="s">
        <v>34</v>
      </c>
      <c r="J2208" s="3">
        <f t="shared" si="183"/>
        <v>41847</v>
      </c>
      <c r="K2208" s="3">
        <f t="shared" si="182"/>
        <v>41874</v>
      </c>
      <c r="L2208" s="3">
        <v>27</v>
      </c>
      <c r="M2208" s="3">
        <f t="shared" si="184"/>
        <v>59.639999999999731</v>
      </c>
      <c r="N2208" s="3">
        <v>3.2</v>
      </c>
    </row>
    <row r="2209" spans="4:14" ht="15" customHeight="1" x14ac:dyDescent="0.25">
      <c r="D2209" s="13"/>
      <c r="H2209" s="3" t="s">
        <v>34</v>
      </c>
      <c r="I2209" s="3" t="s">
        <v>85</v>
      </c>
      <c r="J2209" s="3">
        <f t="shared" si="183"/>
        <v>41874</v>
      </c>
      <c r="K2209" s="3">
        <f t="shared" si="182"/>
        <v>41918</v>
      </c>
      <c r="L2209" s="3">
        <v>44</v>
      </c>
      <c r="M2209" s="3">
        <f t="shared" si="184"/>
        <v>54.639999999999731</v>
      </c>
      <c r="N2209" s="3">
        <v>5</v>
      </c>
    </row>
    <row r="2210" spans="4:14" ht="15" customHeight="1" x14ac:dyDescent="0.25">
      <c r="D2210" s="13"/>
      <c r="H2210" s="3" t="s">
        <v>85</v>
      </c>
      <c r="I2210" s="3" t="s">
        <v>34</v>
      </c>
      <c r="J2210" s="3">
        <f t="shared" si="183"/>
        <v>41918</v>
      </c>
      <c r="K2210" s="3">
        <f t="shared" si="182"/>
        <v>41962</v>
      </c>
      <c r="L2210" s="3">
        <v>44</v>
      </c>
      <c r="M2210" s="3">
        <f t="shared" si="184"/>
        <v>49.639999999999731</v>
      </c>
      <c r="N2210" s="3">
        <v>5</v>
      </c>
    </row>
    <row r="2211" spans="4:14" ht="15" customHeight="1" x14ac:dyDescent="0.25">
      <c r="D2211" s="13">
        <v>45868</v>
      </c>
      <c r="H2211" s="3" t="s">
        <v>34</v>
      </c>
      <c r="I2211" s="3" t="s">
        <v>44</v>
      </c>
      <c r="J2211" s="3">
        <f t="shared" si="183"/>
        <v>41962</v>
      </c>
      <c r="K2211" s="3">
        <f t="shared" si="182"/>
        <v>42002</v>
      </c>
      <c r="L2211" s="3">
        <v>40</v>
      </c>
      <c r="M2211" s="3">
        <f t="shared" si="184"/>
        <v>44.839999999999733</v>
      </c>
      <c r="N2211" s="3">
        <v>4.8</v>
      </c>
    </row>
    <row r="2212" spans="4:14" ht="15" customHeight="1" x14ac:dyDescent="0.25">
      <c r="D2212" s="13"/>
      <c r="H2212" s="3" t="s">
        <v>44</v>
      </c>
      <c r="I2212" s="3" t="s">
        <v>34</v>
      </c>
      <c r="J2212" s="3">
        <f t="shared" si="183"/>
        <v>42002</v>
      </c>
      <c r="K2212" s="3">
        <f t="shared" si="182"/>
        <v>42042</v>
      </c>
      <c r="L2212" s="3">
        <v>40</v>
      </c>
      <c r="M2212" s="3">
        <f t="shared" si="184"/>
        <v>40.039999999999736</v>
      </c>
      <c r="N2212" s="3">
        <v>4.8</v>
      </c>
    </row>
    <row r="2213" spans="4:14" ht="15" customHeight="1" x14ac:dyDescent="0.25">
      <c r="D2213" s="13">
        <v>45869</v>
      </c>
      <c r="E2213">
        <v>48.93</v>
      </c>
      <c r="F2213" s="3">
        <v>63.42</v>
      </c>
      <c r="G2213" s="8">
        <f>E2213*F2213</f>
        <v>3103.1406000000002</v>
      </c>
      <c r="H2213" s="3" t="s">
        <v>34</v>
      </c>
      <c r="I2213" s="3" t="s">
        <v>54</v>
      </c>
      <c r="J2213" s="3">
        <f t="shared" si="183"/>
        <v>42042</v>
      </c>
      <c r="K2213" s="3">
        <f t="shared" si="182"/>
        <v>42069</v>
      </c>
      <c r="L2213" s="3">
        <v>27</v>
      </c>
      <c r="M2213" s="3">
        <f t="shared" si="184"/>
        <v>85.76999999999974</v>
      </c>
      <c r="N2213" s="3">
        <v>3.2</v>
      </c>
    </row>
    <row r="2214" spans="4:14" ht="15" customHeight="1" x14ac:dyDescent="0.25">
      <c r="D2214" s="13"/>
      <c r="H2214" s="3" t="s">
        <v>54</v>
      </c>
      <c r="I2214" s="3" t="s">
        <v>34</v>
      </c>
      <c r="J2214" s="3">
        <f t="shared" si="183"/>
        <v>42069</v>
      </c>
      <c r="K2214" s="3">
        <f t="shared" si="182"/>
        <v>42096</v>
      </c>
      <c r="L2214" s="3">
        <v>27</v>
      </c>
      <c r="M2214" s="3">
        <f t="shared" si="184"/>
        <v>82.569999999999737</v>
      </c>
      <c r="N2214" s="3">
        <v>3.2</v>
      </c>
    </row>
    <row r="2215" spans="4:14" ht="15" customHeight="1" x14ac:dyDescent="0.25">
      <c r="H2215" s="3" t="s">
        <v>34</v>
      </c>
      <c r="I2215" s="3" t="s">
        <v>85</v>
      </c>
      <c r="J2215" s="3">
        <f t="shared" si="183"/>
        <v>42096</v>
      </c>
      <c r="K2215" s="3">
        <f t="shared" si="182"/>
        <v>42140</v>
      </c>
      <c r="L2215" s="3">
        <v>44</v>
      </c>
      <c r="M2215" s="3">
        <f t="shared" si="184"/>
        <v>77.569999999999737</v>
      </c>
      <c r="N2215" s="3">
        <v>5</v>
      </c>
    </row>
    <row r="2216" spans="4:14" ht="15" customHeight="1" x14ac:dyDescent="0.25">
      <c r="H2216" s="3" t="s">
        <v>85</v>
      </c>
      <c r="I2216" s="3" t="s">
        <v>34</v>
      </c>
      <c r="J2216" s="3">
        <f t="shared" si="183"/>
        <v>42140</v>
      </c>
      <c r="K2216" s="3">
        <f t="shared" si="182"/>
        <v>42184</v>
      </c>
      <c r="L2216" s="3">
        <v>44</v>
      </c>
      <c r="M2216" s="3">
        <f t="shared" si="184"/>
        <v>72.569999999999737</v>
      </c>
      <c r="N2216" s="3">
        <v>5</v>
      </c>
    </row>
    <row r="2219" spans="4:14" ht="15" customHeight="1" x14ac:dyDescent="0.25">
      <c r="D2219" s="2" t="s">
        <v>96</v>
      </c>
      <c r="E2219" s="2"/>
      <c r="F2219" s="2"/>
      <c r="G2219" s="2"/>
    </row>
    <row r="2221" spans="4:14" ht="15" customHeight="1" x14ac:dyDescent="0.25">
      <c r="D2221" s="13">
        <v>45870</v>
      </c>
      <c r="H2221" s="3" t="s">
        <v>34</v>
      </c>
      <c r="I2221" s="3" t="s">
        <v>85</v>
      </c>
      <c r="J2221" s="3">
        <f>K2216</f>
        <v>42184</v>
      </c>
      <c r="K2221" s="3">
        <f t="shared" ref="K2221:K2246" si="185">J2221+L2221</f>
        <v>42228</v>
      </c>
      <c r="L2221" s="3">
        <v>44</v>
      </c>
      <c r="M2221" s="3">
        <f>(E2221+M2216)-N2221</f>
        <v>67.569999999999737</v>
      </c>
      <c r="N2221" s="3">
        <v>5</v>
      </c>
    </row>
    <row r="2222" spans="4:14" ht="15" customHeight="1" x14ac:dyDescent="0.25">
      <c r="D2222" s="13"/>
      <c r="H2222" s="3" t="s">
        <v>85</v>
      </c>
      <c r="I2222" s="3" t="s">
        <v>34</v>
      </c>
      <c r="J2222" s="3">
        <f t="shared" ref="J2222:J2246" si="186">K2221</f>
        <v>42228</v>
      </c>
      <c r="K2222" s="3">
        <f t="shared" si="185"/>
        <v>42272</v>
      </c>
      <c r="L2222" s="3">
        <v>44</v>
      </c>
      <c r="M2222" s="3">
        <f t="shared" ref="M2222:M2246" si="187">(E2222+M2221)-N2222</f>
        <v>62.569999999999737</v>
      </c>
      <c r="N2222" s="3">
        <v>5</v>
      </c>
    </row>
    <row r="2223" spans="4:14" ht="15" customHeight="1" x14ac:dyDescent="0.25">
      <c r="D2223" s="13">
        <v>45873</v>
      </c>
      <c r="H2223" s="3" t="s">
        <v>34</v>
      </c>
      <c r="I2223" s="3" t="s">
        <v>44</v>
      </c>
      <c r="J2223" s="3">
        <f t="shared" si="186"/>
        <v>42272</v>
      </c>
      <c r="K2223" s="3">
        <f t="shared" si="185"/>
        <v>42312</v>
      </c>
      <c r="L2223" s="3">
        <v>40</v>
      </c>
      <c r="M2223" s="3">
        <f t="shared" si="187"/>
        <v>57.76999999999974</v>
      </c>
      <c r="N2223" s="3">
        <v>4.8</v>
      </c>
    </row>
    <row r="2224" spans="4:14" ht="15" customHeight="1" x14ac:dyDescent="0.25">
      <c r="D2224" s="13"/>
      <c r="H2224" s="3" t="s">
        <v>44</v>
      </c>
      <c r="I2224" s="3" t="s">
        <v>34</v>
      </c>
      <c r="J2224" s="3">
        <f t="shared" si="186"/>
        <v>42312</v>
      </c>
      <c r="K2224" s="3">
        <f t="shared" si="185"/>
        <v>42352</v>
      </c>
      <c r="L2224" s="3">
        <v>40</v>
      </c>
      <c r="M2224" s="3">
        <f t="shared" si="187"/>
        <v>52.969999999999743</v>
      </c>
      <c r="N2224" s="3">
        <v>4.8</v>
      </c>
    </row>
    <row r="2225" spans="4:14" ht="15" customHeight="1" x14ac:dyDescent="0.25">
      <c r="D2225" s="13">
        <v>45874</v>
      </c>
      <c r="H2225" s="3" t="s">
        <v>34</v>
      </c>
      <c r="I2225" s="3" t="s">
        <v>54</v>
      </c>
      <c r="J2225" s="3">
        <f t="shared" si="186"/>
        <v>42352</v>
      </c>
      <c r="K2225" s="3">
        <f t="shared" si="185"/>
        <v>42379</v>
      </c>
      <c r="L2225" s="3">
        <v>27</v>
      </c>
      <c r="M2225" s="3">
        <f t="shared" si="187"/>
        <v>49.76999999999974</v>
      </c>
      <c r="N2225" s="3">
        <v>3.2</v>
      </c>
    </row>
    <row r="2226" spans="4:14" ht="15" customHeight="1" x14ac:dyDescent="0.25">
      <c r="D2226" s="13"/>
      <c r="H2226" s="3" t="s">
        <v>54</v>
      </c>
      <c r="I2226" s="3" t="s">
        <v>34</v>
      </c>
      <c r="J2226" s="3">
        <f t="shared" si="186"/>
        <v>42379</v>
      </c>
      <c r="K2226" s="3">
        <f t="shared" si="185"/>
        <v>42406</v>
      </c>
      <c r="L2226" s="3">
        <v>27</v>
      </c>
      <c r="M2226" s="3">
        <f t="shared" si="187"/>
        <v>46.569999999999737</v>
      </c>
      <c r="N2226" s="3">
        <v>3.2</v>
      </c>
    </row>
    <row r="2227" spans="4:14" ht="15" customHeight="1" x14ac:dyDescent="0.25">
      <c r="D2227" s="13">
        <v>45875</v>
      </c>
      <c r="H2227" s="3" t="s">
        <v>34</v>
      </c>
      <c r="I2227" s="3" t="s">
        <v>54</v>
      </c>
      <c r="J2227" s="3">
        <f t="shared" si="186"/>
        <v>42406</v>
      </c>
      <c r="K2227" s="3">
        <f t="shared" si="185"/>
        <v>42433</v>
      </c>
      <c r="L2227" s="3">
        <v>27</v>
      </c>
      <c r="M2227" s="3">
        <f t="shared" si="187"/>
        <v>43.369999999999735</v>
      </c>
      <c r="N2227" s="3">
        <v>3.2</v>
      </c>
    </row>
    <row r="2228" spans="4:14" ht="15" customHeight="1" x14ac:dyDescent="0.25">
      <c r="D2228" s="13"/>
      <c r="H2228" s="3" t="s">
        <v>54</v>
      </c>
      <c r="I2228" s="3" t="s">
        <v>34</v>
      </c>
      <c r="J2228" s="3">
        <f t="shared" si="186"/>
        <v>42433</v>
      </c>
      <c r="K2228" s="3">
        <f t="shared" si="185"/>
        <v>42460</v>
      </c>
      <c r="L2228" s="3">
        <v>27</v>
      </c>
      <c r="M2228" s="3">
        <f t="shared" si="187"/>
        <v>40.169999999999732</v>
      </c>
      <c r="N2228" s="3">
        <v>3.2</v>
      </c>
    </row>
    <row r="2229" spans="4:14" ht="15" customHeight="1" x14ac:dyDescent="0.25">
      <c r="D2229" s="13">
        <v>45876</v>
      </c>
      <c r="H2229" s="3" t="s">
        <v>34</v>
      </c>
      <c r="I2229" s="3" t="s">
        <v>32</v>
      </c>
      <c r="J2229" s="3">
        <f t="shared" si="186"/>
        <v>42460</v>
      </c>
      <c r="K2229" s="3">
        <f t="shared" si="185"/>
        <v>42485</v>
      </c>
      <c r="L2229" s="3">
        <v>25</v>
      </c>
      <c r="M2229" s="3">
        <f t="shared" si="187"/>
        <v>37.169999999999732</v>
      </c>
      <c r="N2229" s="3">
        <v>3</v>
      </c>
    </row>
    <row r="2230" spans="4:14" ht="15" customHeight="1" x14ac:dyDescent="0.25">
      <c r="D2230" s="13"/>
      <c r="H2230" s="3" t="s">
        <v>32</v>
      </c>
      <c r="I2230" s="3" t="s">
        <v>34</v>
      </c>
      <c r="J2230" s="3">
        <f t="shared" si="186"/>
        <v>42485</v>
      </c>
      <c r="K2230" s="3">
        <f t="shared" si="185"/>
        <v>42510</v>
      </c>
      <c r="L2230" s="3">
        <v>25</v>
      </c>
      <c r="M2230" s="3">
        <f t="shared" si="187"/>
        <v>34.169999999999732</v>
      </c>
      <c r="N2230" s="3">
        <v>3</v>
      </c>
    </row>
    <row r="2231" spans="4:14" ht="15" customHeight="1" x14ac:dyDescent="0.25">
      <c r="D2231" s="13">
        <v>45877</v>
      </c>
      <c r="H2231" s="3" t="s">
        <v>34</v>
      </c>
      <c r="I2231" s="3" t="s">
        <v>43</v>
      </c>
      <c r="J2231" s="3">
        <f t="shared" si="186"/>
        <v>42510</v>
      </c>
      <c r="K2231" s="3">
        <f t="shared" si="185"/>
        <v>42522</v>
      </c>
      <c r="L2231" s="3">
        <v>12</v>
      </c>
      <c r="M2231" s="3">
        <f t="shared" si="187"/>
        <v>32.919999999999732</v>
      </c>
      <c r="N2231" s="3">
        <v>1.25</v>
      </c>
    </row>
    <row r="2232" spans="4:14" ht="15" customHeight="1" x14ac:dyDescent="0.25">
      <c r="D2232" s="13"/>
      <c r="H2232" s="3" t="s">
        <v>43</v>
      </c>
      <c r="I2232" s="3" t="s">
        <v>34</v>
      </c>
      <c r="J2232" s="3">
        <f t="shared" si="186"/>
        <v>42522</v>
      </c>
      <c r="K2232" s="3">
        <f t="shared" si="185"/>
        <v>42534</v>
      </c>
      <c r="L2232" s="3">
        <v>12</v>
      </c>
      <c r="M2232" s="3">
        <f t="shared" si="187"/>
        <v>31.669999999999732</v>
      </c>
      <c r="N2232" s="3">
        <v>1.25</v>
      </c>
    </row>
    <row r="2233" spans="4:14" ht="15" customHeight="1" x14ac:dyDescent="0.25">
      <c r="D2233" s="13">
        <v>45880</v>
      </c>
      <c r="H2233" s="3" t="s">
        <v>34</v>
      </c>
      <c r="I2233" s="3" t="s">
        <v>85</v>
      </c>
      <c r="J2233" s="3">
        <f t="shared" si="186"/>
        <v>42534</v>
      </c>
      <c r="K2233" s="3">
        <f t="shared" si="185"/>
        <v>42578</v>
      </c>
      <c r="L2233" s="3">
        <v>44</v>
      </c>
      <c r="M2233" s="3">
        <f t="shared" si="187"/>
        <v>26.669999999999732</v>
      </c>
      <c r="N2233" s="3">
        <v>5</v>
      </c>
    </row>
    <row r="2234" spans="4:14" ht="15" customHeight="1" x14ac:dyDescent="0.25">
      <c r="D2234" s="13"/>
      <c r="H2234" s="3" t="s">
        <v>85</v>
      </c>
      <c r="I2234" s="3" t="s">
        <v>34</v>
      </c>
      <c r="J2234" s="3">
        <f t="shared" si="186"/>
        <v>42578</v>
      </c>
      <c r="K2234" s="3">
        <f t="shared" si="185"/>
        <v>42622</v>
      </c>
      <c r="L2234" s="3">
        <v>44</v>
      </c>
      <c r="M2234" s="3">
        <f t="shared" si="187"/>
        <v>21.669999999999732</v>
      </c>
      <c r="N2234" s="3">
        <v>5</v>
      </c>
    </row>
    <row r="2235" spans="4:14" ht="15" customHeight="1" x14ac:dyDescent="0.25">
      <c r="D2235" s="13">
        <v>45881</v>
      </c>
      <c r="E2235">
        <v>41.68</v>
      </c>
      <c r="F2235" s="3">
        <v>63.78</v>
      </c>
      <c r="G2235" s="8">
        <f>E2235*F2235</f>
        <v>2658.3503999999998</v>
      </c>
      <c r="H2235" s="3" t="s">
        <v>34</v>
      </c>
      <c r="I2235" s="3" t="s">
        <v>44</v>
      </c>
      <c r="J2235" s="3">
        <f t="shared" si="186"/>
        <v>42622</v>
      </c>
      <c r="K2235" s="3">
        <f t="shared" si="185"/>
        <v>42662</v>
      </c>
      <c r="L2235" s="3">
        <v>40</v>
      </c>
      <c r="M2235" s="3">
        <f t="shared" si="187"/>
        <v>58.549999999999734</v>
      </c>
      <c r="N2235" s="3">
        <v>4.8</v>
      </c>
    </row>
    <row r="2236" spans="4:14" ht="15" customHeight="1" x14ac:dyDescent="0.25">
      <c r="D2236" s="13"/>
      <c r="H2236" s="3" t="s">
        <v>44</v>
      </c>
      <c r="I2236" s="3" t="s">
        <v>34</v>
      </c>
      <c r="J2236" s="3">
        <f t="shared" si="186"/>
        <v>42662</v>
      </c>
      <c r="K2236" s="3">
        <f t="shared" si="185"/>
        <v>42702</v>
      </c>
      <c r="L2236" s="3">
        <v>40</v>
      </c>
      <c r="M2236" s="3">
        <f t="shared" si="187"/>
        <v>53.749999999999737</v>
      </c>
      <c r="N2236" s="3">
        <v>4.8</v>
      </c>
    </row>
    <row r="2237" spans="4:14" ht="15" customHeight="1" x14ac:dyDescent="0.25">
      <c r="D2237" s="13"/>
      <c r="H2237" s="3" t="s">
        <v>34</v>
      </c>
      <c r="I2237" s="3" t="s">
        <v>85</v>
      </c>
      <c r="J2237" s="3">
        <f t="shared" si="186"/>
        <v>42702</v>
      </c>
      <c r="K2237" s="3">
        <f t="shared" si="185"/>
        <v>42746</v>
      </c>
      <c r="L2237" s="3">
        <v>44</v>
      </c>
      <c r="M2237" s="3">
        <f t="shared" si="187"/>
        <v>48.749999999999737</v>
      </c>
      <c r="N2237" s="3">
        <v>5</v>
      </c>
    </row>
    <row r="2238" spans="4:14" ht="15" customHeight="1" x14ac:dyDescent="0.25">
      <c r="D2238" s="13"/>
      <c r="H2238" s="3" t="s">
        <v>85</v>
      </c>
      <c r="I2238" s="3" t="s">
        <v>34</v>
      </c>
      <c r="J2238" s="3">
        <f t="shared" si="186"/>
        <v>42746</v>
      </c>
      <c r="K2238" s="3">
        <f t="shared" si="185"/>
        <v>42790</v>
      </c>
      <c r="L2238" s="3">
        <v>44</v>
      </c>
      <c r="M2238" s="3">
        <f t="shared" si="187"/>
        <v>43.749999999999737</v>
      </c>
      <c r="N2238" s="3">
        <v>5</v>
      </c>
    </row>
    <row r="2239" spans="4:14" ht="15" customHeight="1" x14ac:dyDescent="0.25">
      <c r="D2239" s="13">
        <v>45882</v>
      </c>
      <c r="H2239" s="3" t="s">
        <v>34</v>
      </c>
      <c r="I2239" s="3" t="s">
        <v>32</v>
      </c>
      <c r="J2239" s="3">
        <f t="shared" si="186"/>
        <v>42790</v>
      </c>
      <c r="K2239" s="3">
        <f t="shared" si="185"/>
        <v>42815</v>
      </c>
      <c r="L2239" s="3">
        <v>25</v>
      </c>
      <c r="M2239" s="3">
        <f t="shared" si="187"/>
        <v>40.749999999999737</v>
      </c>
      <c r="N2239" s="3">
        <v>3</v>
      </c>
    </row>
    <row r="2240" spans="4:14" ht="15" customHeight="1" x14ac:dyDescent="0.25">
      <c r="D2240" s="13"/>
      <c r="H2240" s="3" t="s">
        <v>32</v>
      </c>
      <c r="I2240" s="3" t="s">
        <v>34</v>
      </c>
      <c r="J2240" s="3">
        <f t="shared" si="186"/>
        <v>42815</v>
      </c>
      <c r="K2240" s="3">
        <f t="shared" si="185"/>
        <v>42840</v>
      </c>
      <c r="L2240" s="3">
        <v>25</v>
      </c>
      <c r="M2240" s="3">
        <f t="shared" si="187"/>
        <v>37.749999999999737</v>
      </c>
      <c r="N2240" s="3">
        <v>3</v>
      </c>
    </row>
    <row r="2241" spans="4:14" ht="15" customHeight="1" x14ac:dyDescent="0.25">
      <c r="D2241" s="13">
        <v>45883</v>
      </c>
      <c r="E2241">
        <v>6.09</v>
      </c>
      <c r="F2241" s="3">
        <v>63.62</v>
      </c>
      <c r="G2241" s="8">
        <f>E2241*F2241</f>
        <v>387.44579999999996</v>
      </c>
      <c r="H2241" s="3" t="s">
        <v>34</v>
      </c>
      <c r="I2241" s="3" t="s">
        <v>49</v>
      </c>
      <c r="J2241" s="3">
        <f t="shared" si="186"/>
        <v>42840</v>
      </c>
      <c r="K2241" s="3">
        <f t="shared" si="185"/>
        <v>42867</v>
      </c>
      <c r="L2241" s="3">
        <v>27</v>
      </c>
      <c r="M2241" s="3">
        <f t="shared" si="187"/>
        <v>40.639999999999731</v>
      </c>
      <c r="N2241" s="3">
        <v>3.2</v>
      </c>
    </row>
    <row r="2242" spans="4:14" ht="15" customHeight="1" x14ac:dyDescent="0.25">
      <c r="D2242" s="13"/>
      <c r="H2242" s="3" t="s">
        <v>49</v>
      </c>
      <c r="I2242" s="3" t="s">
        <v>34</v>
      </c>
      <c r="J2242" s="3">
        <f t="shared" si="186"/>
        <v>42867</v>
      </c>
      <c r="K2242" s="3">
        <f t="shared" si="185"/>
        <v>42894</v>
      </c>
      <c r="L2242" s="3">
        <v>27</v>
      </c>
      <c r="M2242" s="3">
        <f t="shared" si="187"/>
        <v>37.439999999999728</v>
      </c>
      <c r="N2242" s="3">
        <v>3.2</v>
      </c>
    </row>
    <row r="2243" spans="4:14" ht="15" customHeight="1" x14ac:dyDescent="0.25">
      <c r="D2243" s="13">
        <v>45884</v>
      </c>
      <c r="H2243" s="3" t="s">
        <v>34</v>
      </c>
      <c r="I2243" s="3" t="s">
        <v>54</v>
      </c>
      <c r="J2243" s="3">
        <f t="shared" si="186"/>
        <v>42894</v>
      </c>
      <c r="K2243" s="3">
        <f t="shared" si="185"/>
        <v>42921</v>
      </c>
      <c r="L2243" s="3">
        <v>27</v>
      </c>
      <c r="M2243" s="3">
        <f t="shared" si="187"/>
        <v>34.239999999999725</v>
      </c>
      <c r="N2243" s="3">
        <v>3.2</v>
      </c>
    </row>
    <row r="2244" spans="4:14" ht="15" customHeight="1" x14ac:dyDescent="0.25">
      <c r="D2244" s="13"/>
      <c r="H2244" s="3" t="s">
        <v>54</v>
      </c>
      <c r="I2244" s="3" t="s">
        <v>34</v>
      </c>
      <c r="J2244" s="3">
        <f t="shared" si="186"/>
        <v>42921</v>
      </c>
      <c r="K2244" s="3">
        <f t="shared" si="185"/>
        <v>42948</v>
      </c>
      <c r="L2244" s="3">
        <v>27</v>
      </c>
      <c r="M2244" s="3">
        <f t="shared" si="187"/>
        <v>31.039999999999726</v>
      </c>
      <c r="N2244" s="3">
        <v>3.2</v>
      </c>
    </row>
    <row r="2245" spans="4:14" ht="15" customHeight="1" x14ac:dyDescent="0.25">
      <c r="D2245" s="13">
        <v>45887</v>
      </c>
      <c r="H2245" s="3" t="s">
        <v>34</v>
      </c>
      <c r="I2245" s="3" t="s">
        <v>54</v>
      </c>
      <c r="J2245" s="3">
        <f t="shared" si="186"/>
        <v>42948</v>
      </c>
      <c r="K2245" s="3">
        <f t="shared" si="185"/>
        <v>42975</v>
      </c>
      <c r="L2245" s="3">
        <v>27</v>
      </c>
      <c r="M2245" s="3">
        <f t="shared" si="187"/>
        <v>27.839999999999726</v>
      </c>
      <c r="N2245" s="3">
        <v>3.2</v>
      </c>
    </row>
    <row r="2246" spans="4:14" ht="15" customHeight="1" x14ac:dyDescent="0.25">
      <c r="D2246" s="13"/>
      <c r="H2246" s="3" t="s">
        <v>54</v>
      </c>
      <c r="I2246" s="3" t="s">
        <v>34</v>
      </c>
      <c r="J2246" s="3">
        <f t="shared" si="186"/>
        <v>42975</v>
      </c>
      <c r="K2246" s="3">
        <f t="shared" si="185"/>
        <v>43002</v>
      </c>
      <c r="L2246" s="3">
        <v>27</v>
      </c>
      <c r="M2246" s="3">
        <f t="shared" si="187"/>
        <v>24.639999999999727</v>
      </c>
      <c r="N2246" s="3">
        <v>3.2</v>
      </c>
    </row>
    <row r="2247" spans="4:14" ht="15" customHeight="1" x14ac:dyDescent="0.25">
      <c r="D2247" s="13">
        <v>45888</v>
      </c>
      <c r="E2247" t="s">
        <v>50</v>
      </c>
    </row>
    <row r="2248" spans="4:14" ht="15" customHeight="1" x14ac:dyDescent="0.25">
      <c r="D2248" s="13">
        <v>45889</v>
      </c>
      <c r="E2248" t="s">
        <v>50</v>
      </c>
    </row>
    <row r="2249" spans="4:14" ht="15" customHeight="1" x14ac:dyDescent="0.25">
      <c r="D2249" s="13">
        <v>45890</v>
      </c>
      <c r="E2249" t="s">
        <v>50</v>
      </c>
    </row>
    <row r="2250" spans="4:14" ht="15" customHeight="1" x14ac:dyDescent="0.25">
      <c r="D2250" s="13">
        <v>45891</v>
      </c>
      <c r="E2250" t="s">
        <v>50</v>
      </c>
    </row>
    <row r="2251" spans="4:14" ht="15" customHeight="1" x14ac:dyDescent="0.25">
      <c r="D2251" s="13">
        <v>45894</v>
      </c>
      <c r="E2251" t="s">
        <v>50</v>
      </c>
    </row>
    <row r="2252" spans="4:14" ht="15" customHeight="1" x14ac:dyDescent="0.25">
      <c r="D2252" s="13">
        <v>45895</v>
      </c>
      <c r="E2252" t="s">
        <v>50</v>
      </c>
    </row>
    <row r="2253" spans="4:14" ht="15" customHeight="1" x14ac:dyDescent="0.25">
      <c r="D2253" s="13">
        <v>45896</v>
      </c>
      <c r="E2253" t="s">
        <v>50</v>
      </c>
    </row>
    <row r="2254" spans="4:14" ht="15" customHeight="1" x14ac:dyDescent="0.25">
      <c r="D2254" s="13">
        <v>45897</v>
      </c>
      <c r="E2254" t="s">
        <v>50</v>
      </c>
    </row>
    <row r="2255" spans="4:14" ht="15" customHeight="1" x14ac:dyDescent="0.25">
      <c r="D2255" s="13">
        <v>45898</v>
      </c>
      <c r="E2255" t="s">
        <v>50</v>
      </c>
    </row>
    <row r="2256" spans="4:14" ht="15" customHeight="1" x14ac:dyDescent="0.25">
      <c r="D2256" s="13"/>
    </row>
    <row r="2258" spans="4:14" ht="15" customHeight="1" x14ac:dyDescent="0.25">
      <c r="D2258" s="2" t="s">
        <v>97</v>
      </c>
      <c r="E2258" s="2"/>
      <c r="F2258" s="2"/>
      <c r="G2258" s="2"/>
    </row>
    <row r="2260" spans="4:14" ht="15" customHeight="1" x14ac:dyDescent="0.25">
      <c r="D2260" s="13">
        <v>45901</v>
      </c>
      <c r="E2260" t="s">
        <v>50</v>
      </c>
    </row>
    <row r="2261" spans="4:14" ht="15" customHeight="1" x14ac:dyDescent="0.25">
      <c r="D2261" s="13">
        <v>45902</v>
      </c>
      <c r="E2261" t="s">
        <v>50</v>
      </c>
    </row>
    <row r="2262" spans="4:14" ht="15" customHeight="1" x14ac:dyDescent="0.25">
      <c r="D2262" s="13">
        <v>45903</v>
      </c>
      <c r="E2262" t="s">
        <v>50</v>
      </c>
    </row>
    <row r="2263" spans="4:14" ht="15" customHeight="1" x14ac:dyDescent="0.25">
      <c r="D2263" s="13">
        <v>45904</v>
      </c>
      <c r="H2263" s="3" t="s">
        <v>34</v>
      </c>
      <c r="I2263" s="3" t="s">
        <v>54</v>
      </c>
      <c r="J2263" s="3">
        <f>K2246</f>
        <v>43002</v>
      </c>
      <c r="K2263" s="3">
        <f t="shared" ref="K2263:K2302" si="188">J2263+L2263</f>
        <v>43029</v>
      </c>
      <c r="L2263" s="3">
        <v>27</v>
      </c>
      <c r="M2263" s="3">
        <f>(E2263+M2246)-N2263</f>
        <v>21.439999999999728</v>
      </c>
      <c r="N2263" s="3">
        <v>3.2</v>
      </c>
    </row>
    <row r="2264" spans="4:14" ht="15" customHeight="1" x14ac:dyDescent="0.25">
      <c r="D2264" s="13"/>
      <c r="H2264" s="3" t="s">
        <v>54</v>
      </c>
      <c r="I2264" s="3" t="s">
        <v>34</v>
      </c>
      <c r="J2264" s="3">
        <f t="shared" ref="J2264:J2302" si="189">K2263</f>
        <v>43029</v>
      </c>
      <c r="K2264" s="3">
        <f t="shared" si="188"/>
        <v>43056</v>
      </c>
      <c r="L2264" s="3">
        <v>27</v>
      </c>
      <c r="M2264" s="3">
        <f t="shared" ref="M2264:M2302" si="190">(E2264+M2263)-N2264</f>
        <v>18.239999999999728</v>
      </c>
      <c r="N2264" s="3">
        <v>3.2</v>
      </c>
    </row>
    <row r="2265" spans="4:14" ht="15" customHeight="1" x14ac:dyDescent="0.25">
      <c r="D2265" s="13">
        <v>45905</v>
      </c>
      <c r="H2265" s="3" t="s">
        <v>34</v>
      </c>
      <c r="I2265" s="3" t="s">
        <v>54</v>
      </c>
      <c r="J2265" s="3">
        <f t="shared" si="189"/>
        <v>43056</v>
      </c>
      <c r="K2265" s="3">
        <f t="shared" si="188"/>
        <v>43083</v>
      </c>
      <c r="L2265" s="3">
        <v>27</v>
      </c>
      <c r="M2265" s="3">
        <f t="shared" si="190"/>
        <v>15.039999999999729</v>
      </c>
      <c r="N2265" s="3">
        <v>3.2</v>
      </c>
    </row>
    <row r="2266" spans="4:14" ht="15" customHeight="1" x14ac:dyDescent="0.25">
      <c r="D2266" s="13"/>
      <c r="H2266" s="3" t="s">
        <v>54</v>
      </c>
      <c r="I2266" s="3" t="s">
        <v>34</v>
      </c>
      <c r="J2266" s="3">
        <f t="shared" si="189"/>
        <v>43083</v>
      </c>
      <c r="K2266" s="3">
        <f t="shared" si="188"/>
        <v>43110</v>
      </c>
      <c r="L2266" s="3">
        <v>27</v>
      </c>
      <c r="M2266" s="3">
        <f t="shared" si="190"/>
        <v>11.83999999999973</v>
      </c>
      <c r="N2266" s="3">
        <v>3.2</v>
      </c>
    </row>
    <row r="2267" spans="4:14" ht="15" customHeight="1" x14ac:dyDescent="0.25">
      <c r="D2267" s="13">
        <v>45908</v>
      </c>
      <c r="H2267" s="3" t="s">
        <v>34</v>
      </c>
      <c r="I2267" s="3" t="s">
        <v>43</v>
      </c>
      <c r="J2267" s="3">
        <f t="shared" si="189"/>
        <v>43110</v>
      </c>
      <c r="K2267" s="3">
        <f t="shared" si="188"/>
        <v>43122</v>
      </c>
      <c r="L2267" s="3">
        <v>12</v>
      </c>
      <c r="M2267" s="3">
        <f t="shared" si="190"/>
        <v>10.58999999999973</v>
      </c>
      <c r="N2267" s="3">
        <v>1.25</v>
      </c>
    </row>
    <row r="2268" spans="4:14" ht="15" customHeight="1" x14ac:dyDescent="0.25">
      <c r="D2268" s="13"/>
      <c r="H2268" s="3" t="s">
        <v>43</v>
      </c>
      <c r="I2268" s="3" t="s">
        <v>34</v>
      </c>
      <c r="J2268" s="3">
        <f t="shared" si="189"/>
        <v>43122</v>
      </c>
      <c r="K2268" s="3">
        <f t="shared" si="188"/>
        <v>43134</v>
      </c>
      <c r="L2268" s="3">
        <v>12</v>
      </c>
      <c r="M2268" s="3">
        <f t="shared" si="190"/>
        <v>9.3399999999997299</v>
      </c>
      <c r="N2268" s="3">
        <v>1.25</v>
      </c>
    </row>
    <row r="2269" spans="4:14" ht="15" customHeight="1" x14ac:dyDescent="0.25">
      <c r="D2269" s="13">
        <v>45909</v>
      </c>
      <c r="H2269" s="3" t="s">
        <v>34</v>
      </c>
      <c r="I2269" s="3" t="s">
        <v>43</v>
      </c>
      <c r="J2269" s="3">
        <f t="shared" si="189"/>
        <v>43134</v>
      </c>
      <c r="K2269" s="3">
        <f t="shared" si="188"/>
        <v>43146</v>
      </c>
      <c r="L2269" s="3">
        <v>12</v>
      </c>
      <c r="M2269" s="3">
        <f t="shared" si="190"/>
        <v>8.0899999999997299</v>
      </c>
      <c r="N2269" s="3">
        <v>1.25</v>
      </c>
    </row>
    <row r="2270" spans="4:14" ht="15" customHeight="1" x14ac:dyDescent="0.25">
      <c r="D2270" s="13"/>
      <c r="H2270" s="3" t="s">
        <v>43</v>
      </c>
      <c r="I2270" s="3" t="s">
        <v>34</v>
      </c>
      <c r="J2270" s="3">
        <f t="shared" si="189"/>
        <v>43146</v>
      </c>
      <c r="K2270" s="3">
        <f t="shared" si="188"/>
        <v>43158</v>
      </c>
      <c r="L2270" s="3">
        <v>12</v>
      </c>
      <c r="M2270" s="3">
        <f t="shared" si="190"/>
        <v>6.8399999999997299</v>
      </c>
      <c r="N2270" s="3">
        <v>1.25</v>
      </c>
    </row>
    <row r="2271" spans="4:14" ht="15" customHeight="1" x14ac:dyDescent="0.25">
      <c r="D2271" s="13">
        <v>45910</v>
      </c>
      <c r="H2271" s="3" t="s">
        <v>34</v>
      </c>
      <c r="I2271" s="3" t="s">
        <v>35</v>
      </c>
      <c r="J2271" s="3">
        <f t="shared" si="189"/>
        <v>43158</v>
      </c>
      <c r="K2271" s="3">
        <f t="shared" si="188"/>
        <v>43170</v>
      </c>
      <c r="L2271" s="3">
        <v>12</v>
      </c>
      <c r="M2271" s="3">
        <f t="shared" si="190"/>
        <v>5.5899999999997299</v>
      </c>
      <c r="N2271" s="3">
        <v>1.25</v>
      </c>
    </row>
    <row r="2272" spans="4:14" ht="15" customHeight="1" x14ac:dyDescent="0.25">
      <c r="D2272" s="13"/>
      <c r="H2272" s="3" t="s">
        <v>35</v>
      </c>
      <c r="I2272" s="3" t="s">
        <v>34</v>
      </c>
      <c r="J2272" s="3">
        <f t="shared" si="189"/>
        <v>43170</v>
      </c>
      <c r="K2272" s="3">
        <f t="shared" si="188"/>
        <v>43182</v>
      </c>
      <c r="L2272" s="3">
        <v>12</v>
      </c>
      <c r="M2272" s="3">
        <f t="shared" si="190"/>
        <v>4.3399999999997299</v>
      </c>
      <c r="N2272" s="3">
        <v>1.25</v>
      </c>
    </row>
    <row r="2273" spans="4:14" ht="15" customHeight="1" x14ac:dyDescent="0.25">
      <c r="D2273" s="13">
        <v>45911</v>
      </c>
      <c r="E2273">
        <v>47.79</v>
      </c>
      <c r="F2273" s="3">
        <v>64.180000000000007</v>
      </c>
      <c r="G2273" s="8">
        <f>E2273*F2273</f>
        <v>3067.1622000000002</v>
      </c>
      <c r="H2273" s="3" t="s">
        <v>34</v>
      </c>
      <c r="I2273" s="3" t="s">
        <v>85</v>
      </c>
      <c r="J2273" s="3">
        <f t="shared" si="189"/>
        <v>43182</v>
      </c>
      <c r="K2273" s="3">
        <f t="shared" si="188"/>
        <v>43226</v>
      </c>
      <c r="L2273" s="3">
        <v>44</v>
      </c>
      <c r="M2273" s="3">
        <f t="shared" si="190"/>
        <v>47.129999999999725</v>
      </c>
      <c r="N2273" s="3">
        <v>5</v>
      </c>
    </row>
    <row r="2274" spans="4:14" ht="15" customHeight="1" x14ac:dyDescent="0.25">
      <c r="D2274" s="13"/>
      <c r="H2274" s="3" t="s">
        <v>85</v>
      </c>
      <c r="I2274" s="3" t="s">
        <v>34</v>
      </c>
      <c r="J2274" s="3">
        <f t="shared" si="189"/>
        <v>43226</v>
      </c>
      <c r="K2274" s="3">
        <f t="shared" si="188"/>
        <v>43270</v>
      </c>
      <c r="L2274" s="3">
        <v>44</v>
      </c>
      <c r="M2274" s="3">
        <f t="shared" si="190"/>
        <v>42.129999999999725</v>
      </c>
      <c r="N2274" s="3">
        <v>5</v>
      </c>
    </row>
    <row r="2275" spans="4:14" ht="15" customHeight="1" x14ac:dyDescent="0.25">
      <c r="D2275" s="13">
        <v>45912</v>
      </c>
      <c r="H2275" s="3" t="s">
        <v>34</v>
      </c>
      <c r="I2275" s="3" t="s">
        <v>43</v>
      </c>
      <c r="J2275" s="3">
        <f t="shared" si="189"/>
        <v>43270</v>
      </c>
      <c r="K2275" s="3">
        <f t="shared" si="188"/>
        <v>43282</v>
      </c>
      <c r="L2275" s="3">
        <v>12</v>
      </c>
      <c r="M2275" s="3">
        <f t="shared" si="190"/>
        <v>40.879999999999725</v>
      </c>
      <c r="N2275" s="3">
        <v>1.25</v>
      </c>
    </row>
    <row r="2276" spans="4:14" ht="15" customHeight="1" x14ac:dyDescent="0.25">
      <c r="D2276" s="13"/>
      <c r="H2276" s="3" t="s">
        <v>43</v>
      </c>
      <c r="I2276" s="3" t="s">
        <v>34</v>
      </c>
      <c r="J2276" s="3">
        <f t="shared" si="189"/>
        <v>43282</v>
      </c>
      <c r="K2276" s="3">
        <f t="shared" si="188"/>
        <v>43294</v>
      </c>
      <c r="L2276" s="3">
        <v>12</v>
      </c>
      <c r="M2276" s="3">
        <f t="shared" si="190"/>
        <v>39.629999999999725</v>
      </c>
      <c r="N2276" s="3">
        <v>1.25</v>
      </c>
    </row>
    <row r="2277" spans="4:14" ht="15" customHeight="1" x14ac:dyDescent="0.25">
      <c r="D2277" s="13">
        <v>45915</v>
      </c>
      <c r="H2277" s="3" t="s">
        <v>34</v>
      </c>
      <c r="I2277" s="3" t="s">
        <v>54</v>
      </c>
      <c r="J2277" s="3">
        <f t="shared" si="189"/>
        <v>43294</v>
      </c>
      <c r="K2277" s="3">
        <f t="shared" si="188"/>
        <v>43321</v>
      </c>
      <c r="L2277" s="3">
        <v>27</v>
      </c>
      <c r="M2277" s="3">
        <f t="shared" si="190"/>
        <v>36.429999999999723</v>
      </c>
      <c r="N2277" s="3">
        <v>3.2</v>
      </c>
    </row>
    <row r="2278" spans="4:14" ht="15" customHeight="1" x14ac:dyDescent="0.25">
      <c r="D2278" s="13"/>
      <c r="H2278" s="3" t="s">
        <v>54</v>
      </c>
      <c r="I2278" s="3" t="s">
        <v>34</v>
      </c>
      <c r="J2278" s="3">
        <f t="shared" si="189"/>
        <v>43321</v>
      </c>
      <c r="K2278" s="3">
        <f t="shared" si="188"/>
        <v>43348</v>
      </c>
      <c r="L2278" s="3">
        <v>27</v>
      </c>
      <c r="M2278" s="3">
        <f t="shared" si="190"/>
        <v>33.22999999999972</v>
      </c>
      <c r="N2278" s="3">
        <v>3.2</v>
      </c>
    </row>
    <row r="2279" spans="4:14" ht="15" customHeight="1" x14ac:dyDescent="0.25">
      <c r="D2279" s="13">
        <v>45916</v>
      </c>
      <c r="H2279" s="3" t="s">
        <v>34</v>
      </c>
      <c r="I2279" s="3" t="s">
        <v>44</v>
      </c>
      <c r="J2279" s="3">
        <f t="shared" si="189"/>
        <v>43348</v>
      </c>
      <c r="K2279" s="3">
        <f t="shared" si="188"/>
        <v>43388</v>
      </c>
      <c r="L2279" s="3">
        <v>40</v>
      </c>
      <c r="M2279" s="3">
        <f t="shared" si="190"/>
        <v>28.429999999999719</v>
      </c>
      <c r="N2279" s="3">
        <v>4.8</v>
      </c>
    </row>
    <row r="2280" spans="4:14" ht="15" customHeight="1" x14ac:dyDescent="0.25">
      <c r="D2280" s="13"/>
      <c r="H2280" s="3" t="s">
        <v>44</v>
      </c>
      <c r="I2280" s="3" t="s">
        <v>34</v>
      </c>
      <c r="J2280" s="3">
        <f t="shared" si="189"/>
        <v>43388</v>
      </c>
      <c r="K2280" s="3">
        <f t="shared" si="188"/>
        <v>43428</v>
      </c>
      <c r="L2280" s="3">
        <v>40</v>
      </c>
      <c r="M2280" s="3">
        <f t="shared" si="190"/>
        <v>23.629999999999718</v>
      </c>
      <c r="N2280" s="3">
        <v>4.8</v>
      </c>
    </row>
    <row r="2281" spans="4:14" ht="15" customHeight="1" x14ac:dyDescent="0.25">
      <c r="D2281" s="13">
        <v>45917</v>
      </c>
      <c r="E2281">
        <v>44.08</v>
      </c>
      <c r="F2281" s="3">
        <v>64.180000000000007</v>
      </c>
      <c r="G2281" s="8">
        <f>E2281*F2281</f>
        <v>2829.0544</v>
      </c>
      <c r="H2281" s="3" t="s">
        <v>34</v>
      </c>
      <c r="I2281" s="3" t="s">
        <v>85</v>
      </c>
      <c r="J2281" s="3">
        <f t="shared" si="189"/>
        <v>43428</v>
      </c>
      <c r="K2281" s="3">
        <f t="shared" si="188"/>
        <v>43472</v>
      </c>
      <c r="L2281" s="3">
        <v>44</v>
      </c>
      <c r="M2281" s="3">
        <f t="shared" si="190"/>
        <v>62.709999999999724</v>
      </c>
      <c r="N2281" s="3">
        <v>5</v>
      </c>
    </row>
    <row r="2282" spans="4:14" ht="15" customHeight="1" x14ac:dyDescent="0.25">
      <c r="D2282" s="13"/>
      <c r="H2282" s="3" t="s">
        <v>85</v>
      </c>
      <c r="I2282" s="3" t="s">
        <v>34</v>
      </c>
      <c r="J2282" s="3">
        <f t="shared" si="189"/>
        <v>43472</v>
      </c>
      <c r="K2282" s="3">
        <f t="shared" si="188"/>
        <v>43516</v>
      </c>
      <c r="L2282" s="3">
        <v>44</v>
      </c>
      <c r="M2282" s="3">
        <f t="shared" si="190"/>
        <v>57.709999999999724</v>
      </c>
      <c r="N2282" s="3">
        <v>5</v>
      </c>
    </row>
    <row r="2283" spans="4:14" ht="15" customHeight="1" x14ac:dyDescent="0.25">
      <c r="D2283" s="13"/>
      <c r="H2283" s="3" t="s">
        <v>34</v>
      </c>
      <c r="I2283" s="3" t="s">
        <v>54</v>
      </c>
      <c r="J2283" s="3">
        <f t="shared" si="189"/>
        <v>43516</v>
      </c>
      <c r="K2283" s="3">
        <f t="shared" si="188"/>
        <v>43543</v>
      </c>
      <c r="L2283" s="3">
        <v>27</v>
      </c>
      <c r="M2283" s="3">
        <f t="shared" si="190"/>
        <v>54.509999999999721</v>
      </c>
      <c r="N2283" s="3">
        <v>3.2</v>
      </c>
    </row>
    <row r="2284" spans="4:14" ht="15" customHeight="1" x14ac:dyDescent="0.25">
      <c r="D2284" s="13"/>
      <c r="H2284" s="3" t="s">
        <v>54</v>
      </c>
      <c r="I2284" s="3" t="s">
        <v>34</v>
      </c>
      <c r="J2284" s="3">
        <f t="shared" si="189"/>
        <v>43543</v>
      </c>
      <c r="K2284" s="3">
        <f t="shared" si="188"/>
        <v>43570</v>
      </c>
      <c r="L2284" s="3">
        <v>27</v>
      </c>
      <c r="M2284" s="3">
        <f t="shared" si="190"/>
        <v>51.309999999999718</v>
      </c>
      <c r="N2284" s="3">
        <v>3.2</v>
      </c>
    </row>
    <row r="2285" spans="4:14" ht="15" customHeight="1" x14ac:dyDescent="0.25">
      <c r="D2285" s="13">
        <v>45918</v>
      </c>
      <c r="H2285" s="3" t="s">
        <v>34</v>
      </c>
      <c r="I2285" s="3" t="s">
        <v>43</v>
      </c>
      <c r="J2285" s="3">
        <f t="shared" si="189"/>
        <v>43570</v>
      </c>
      <c r="K2285" s="3">
        <f t="shared" si="188"/>
        <v>43582</v>
      </c>
      <c r="L2285" s="3">
        <v>12</v>
      </c>
      <c r="M2285" s="3">
        <f t="shared" si="190"/>
        <v>50.059999999999718</v>
      </c>
      <c r="N2285" s="3">
        <v>1.25</v>
      </c>
    </row>
    <row r="2286" spans="4:14" ht="15" customHeight="1" x14ac:dyDescent="0.25">
      <c r="D2286" s="13"/>
      <c r="H2286" s="3" t="s">
        <v>43</v>
      </c>
      <c r="I2286" s="3" t="s">
        <v>34</v>
      </c>
      <c r="J2286" s="3">
        <f t="shared" si="189"/>
        <v>43582</v>
      </c>
      <c r="K2286" s="3">
        <f t="shared" si="188"/>
        <v>43594</v>
      </c>
      <c r="L2286" s="3">
        <v>12</v>
      </c>
      <c r="M2286" s="3">
        <f t="shared" si="190"/>
        <v>48.809999999999718</v>
      </c>
      <c r="N2286" s="3">
        <v>1.25</v>
      </c>
    </row>
    <row r="2287" spans="4:14" ht="15" customHeight="1" x14ac:dyDescent="0.25">
      <c r="D2287" s="13">
        <v>45919</v>
      </c>
      <c r="H2287" s="3" t="s">
        <v>34</v>
      </c>
      <c r="I2287" s="3" t="s">
        <v>54</v>
      </c>
      <c r="J2287" s="3">
        <f t="shared" si="189"/>
        <v>43594</v>
      </c>
      <c r="K2287" s="3">
        <f t="shared" si="188"/>
        <v>43621</v>
      </c>
      <c r="L2287" s="3">
        <v>27</v>
      </c>
      <c r="M2287" s="3">
        <f t="shared" si="190"/>
        <v>45.609999999999715</v>
      </c>
      <c r="N2287" s="3">
        <v>3.2</v>
      </c>
    </row>
    <row r="2288" spans="4:14" ht="15" customHeight="1" x14ac:dyDescent="0.25">
      <c r="H2288" s="3" t="s">
        <v>54</v>
      </c>
      <c r="I2288" s="3" t="s">
        <v>34</v>
      </c>
      <c r="J2288" s="3">
        <f t="shared" si="189"/>
        <v>43621</v>
      </c>
      <c r="K2288" s="3">
        <f t="shared" si="188"/>
        <v>43648</v>
      </c>
      <c r="L2288" s="3">
        <v>27</v>
      </c>
      <c r="M2288" s="3">
        <f t="shared" si="190"/>
        <v>42.409999999999712</v>
      </c>
      <c r="N2288" s="3">
        <v>3.2</v>
      </c>
    </row>
    <row r="2289" spans="4:14" ht="15" customHeight="1" x14ac:dyDescent="0.25">
      <c r="D2289" s="13">
        <v>45922</v>
      </c>
      <c r="H2289" s="3" t="s">
        <v>34</v>
      </c>
      <c r="I2289" s="3" t="s">
        <v>54</v>
      </c>
      <c r="J2289" s="3">
        <f t="shared" si="189"/>
        <v>43648</v>
      </c>
      <c r="K2289" s="3">
        <f t="shared" si="188"/>
        <v>43675</v>
      </c>
      <c r="L2289" s="3">
        <v>27</v>
      </c>
      <c r="M2289" s="3">
        <f t="shared" si="190"/>
        <v>39.20999999999971</v>
      </c>
      <c r="N2289" s="3">
        <v>3.2</v>
      </c>
    </row>
    <row r="2290" spans="4:14" ht="15" customHeight="1" x14ac:dyDescent="0.25">
      <c r="D2290" s="13"/>
      <c r="H2290" s="3" t="s">
        <v>54</v>
      </c>
      <c r="I2290" s="3" t="s">
        <v>34</v>
      </c>
      <c r="J2290" s="3">
        <f t="shared" si="189"/>
        <v>43675</v>
      </c>
      <c r="K2290" s="3">
        <f t="shared" si="188"/>
        <v>43702</v>
      </c>
      <c r="L2290" s="3">
        <v>27</v>
      </c>
      <c r="M2290" s="3">
        <f t="shared" si="190"/>
        <v>36.009999999999707</v>
      </c>
      <c r="N2290" s="3">
        <v>3.2</v>
      </c>
    </row>
    <row r="2291" spans="4:14" ht="15" customHeight="1" x14ac:dyDescent="0.25">
      <c r="D2291" s="13">
        <v>45923</v>
      </c>
      <c r="H2291" s="3" t="s">
        <v>34</v>
      </c>
      <c r="I2291" s="3" t="s">
        <v>54</v>
      </c>
      <c r="J2291" s="3">
        <f t="shared" si="189"/>
        <v>43702</v>
      </c>
      <c r="K2291" s="3">
        <f t="shared" si="188"/>
        <v>43729</v>
      </c>
      <c r="L2291" s="3">
        <v>27</v>
      </c>
      <c r="M2291" s="3">
        <f t="shared" si="190"/>
        <v>32.809999999999704</v>
      </c>
      <c r="N2291" s="3">
        <v>3.2</v>
      </c>
    </row>
    <row r="2292" spans="4:14" ht="15" customHeight="1" x14ac:dyDescent="0.25">
      <c r="D2292" s="13"/>
      <c r="H2292" s="3" t="s">
        <v>54</v>
      </c>
      <c r="I2292" s="3" t="s">
        <v>34</v>
      </c>
      <c r="J2292" s="3">
        <f t="shared" si="189"/>
        <v>43729</v>
      </c>
      <c r="K2292" s="3">
        <f t="shared" si="188"/>
        <v>43756</v>
      </c>
      <c r="L2292" s="3">
        <v>27</v>
      </c>
      <c r="M2292" s="3">
        <f t="shared" si="190"/>
        <v>29.609999999999705</v>
      </c>
      <c r="N2292" s="3">
        <v>3.2</v>
      </c>
    </row>
    <row r="2293" spans="4:14" ht="15" customHeight="1" x14ac:dyDescent="0.25">
      <c r="D2293" s="13">
        <v>45924</v>
      </c>
      <c r="H2293" s="3" t="s">
        <v>34</v>
      </c>
      <c r="I2293" s="3" t="s">
        <v>85</v>
      </c>
      <c r="J2293" s="3">
        <f t="shared" si="189"/>
        <v>43756</v>
      </c>
      <c r="K2293" s="3">
        <f t="shared" si="188"/>
        <v>43800</v>
      </c>
      <c r="L2293" s="3">
        <v>44</v>
      </c>
      <c r="M2293" s="3">
        <f t="shared" si="190"/>
        <v>24.609999999999705</v>
      </c>
      <c r="N2293" s="3">
        <v>5</v>
      </c>
    </row>
    <row r="2294" spans="4:14" ht="15" customHeight="1" x14ac:dyDescent="0.25">
      <c r="D2294" s="13"/>
      <c r="H2294" s="3" t="s">
        <v>85</v>
      </c>
      <c r="I2294" s="3" t="s">
        <v>34</v>
      </c>
      <c r="J2294" s="3">
        <f t="shared" si="189"/>
        <v>43800</v>
      </c>
      <c r="K2294" s="3">
        <f t="shared" si="188"/>
        <v>43844</v>
      </c>
      <c r="L2294" s="3">
        <v>44</v>
      </c>
      <c r="M2294" s="3">
        <f t="shared" si="190"/>
        <v>19.609999999999705</v>
      </c>
      <c r="N2294" s="3">
        <v>5</v>
      </c>
    </row>
    <row r="2295" spans="4:14" ht="15" customHeight="1" x14ac:dyDescent="0.25">
      <c r="D2295" s="13">
        <v>45925</v>
      </c>
      <c r="H2295" s="3" t="s">
        <v>34</v>
      </c>
      <c r="I2295" s="3" t="s">
        <v>43</v>
      </c>
      <c r="J2295" s="3">
        <f t="shared" si="189"/>
        <v>43844</v>
      </c>
      <c r="K2295" s="3">
        <f t="shared" si="188"/>
        <v>43856</v>
      </c>
      <c r="L2295" s="3">
        <v>12</v>
      </c>
      <c r="M2295" s="3">
        <f t="shared" si="190"/>
        <v>18.359999999999705</v>
      </c>
      <c r="N2295" s="3">
        <v>1.25</v>
      </c>
    </row>
    <row r="2296" spans="4:14" ht="15" customHeight="1" x14ac:dyDescent="0.25">
      <c r="D2296" s="13"/>
      <c r="H2296" s="3" t="s">
        <v>43</v>
      </c>
      <c r="I2296" s="3" t="s">
        <v>34</v>
      </c>
      <c r="J2296" s="3">
        <f t="shared" si="189"/>
        <v>43856</v>
      </c>
      <c r="K2296" s="3">
        <f t="shared" si="188"/>
        <v>43868</v>
      </c>
      <c r="L2296" s="3">
        <v>12</v>
      </c>
      <c r="M2296" s="3">
        <f t="shared" si="190"/>
        <v>17.109999999999705</v>
      </c>
      <c r="N2296" s="3">
        <v>1.25</v>
      </c>
    </row>
    <row r="2297" spans="4:14" ht="15" customHeight="1" x14ac:dyDescent="0.25">
      <c r="D2297" s="13">
        <v>45926</v>
      </c>
      <c r="H2297" s="3" t="s">
        <v>34</v>
      </c>
      <c r="I2297" s="3" t="s">
        <v>43</v>
      </c>
      <c r="J2297" s="3">
        <f t="shared" si="189"/>
        <v>43868</v>
      </c>
      <c r="K2297" s="3">
        <f t="shared" si="188"/>
        <v>43880</v>
      </c>
      <c r="L2297" s="3">
        <v>12</v>
      </c>
      <c r="M2297" s="3">
        <f t="shared" si="190"/>
        <v>15.859999999999705</v>
      </c>
      <c r="N2297" s="3">
        <v>1.25</v>
      </c>
    </row>
    <row r="2298" spans="4:14" ht="15" customHeight="1" x14ac:dyDescent="0.25">
      <c r="H2298" s="3" t="s">
        <v>43</v>
      </c>
      <c r="I2298" s="3" t="s">
        <v>34</v>
      </c>
      <c r="J2298" s="3">
        <f t="shared" si="189"/>
        <v>43880</v>
      </c>
      <c r="K2298" s="3">
        <f t="shared" si="188"/>
        <v>43892</v>
      </c>
      <c r="L2298" s="3">
        <v>12</v>
      </c>
      <c r="M2298" s="3">
        <f t="shared" si="190"/>
        <v>14.609999999999705</v>
      </c>
      <c r="N2298" s="3">
        <v>1.25</v>
      </c>
    </row>
    <row r="2299" spans="4:14" ht="15" customHeight="1" x14ac:dyDescent="0.25">
      <c r="D2299" s="13">
        <v>45929</v>
      </c>
      <c r="H2299" s="3" t="s">
        <v>34</v>
      </c>
      <c r="I2299" s="3" t="s">
        <v>43</v>
      </c>
      <c r="J2299" s="3">
        <f t="shared" si="189"/>
        <v>43892</v>
      </c>
      <c r="K2299" s="3">
        <f t="shared" si="188"/>
        <v>43904</v>
      </c>
      <c r="L2299" s="3">
        <v>12</v>
      </c>
      <c r="M2299" s="3">
        <f t="shared" si="190"/>
        <v>13.359999999999705</v>
      </c>
      <c r="N2299" s="3">
        <v>1.25</v>
      </c>
    </row>
    <row r="2300" spans="4:14" ht="15" customHeight="1" x14ac:dyDescent="0.25">
      <c r="D2300" s="13"/>
      <c r="H2300" s="3" t="s">
        <v>43</v>
      </c>
      <c r="I2300" s="3" t="s">
        <v>34</v>
      </c>
      <c r="J2300" s="3">
        <f t="shared" si="189"/>
        <v>43904</v>
      </c>
      <c r="K2300" s="3">
        <f t="shared" si="188"/>
        <v>43916</v>
      </c>
      <c r="L2300" s="3">
        <v>12</v>
      </c>
      <c r="M2300" s="3">
        <f t="shared" si="190"/>
        <v>12.109999999999705</v>
      </c>
      <c r="N2300" s="3">
        <v>1.25</v>
      </c>
    </row>
    <row r="2301" spans="4:14" ht="15" customHeight="1" x14ac:dyDescent="0.25">
      <c r="D2301" s="13">
        <v>45930</v>
      </c>
      <c r="H2301" s="3" t="s">
        <v>34</v>
      </c>
      <c r="I2301" s="3" t="s">
        <v>43</v>
      </c>
      <c r="J2301" s="3">
        <f t="shared" si="189"/>
        <v>43916</v>
      </c>
      <c r="K2301" s="3">
        <f t="shared" si="188"/>
        <v>43928</v>
      </c>
      <c r="L2301" s="3">
        <v>12</v>
      </c>
      <c r="M2301" s="3">
        <f t="shared" si="190"/>
        <v>10.859999999999705</v>
      </c>
      <c r="N2301" s="3">
        <v>1.25</v>
      </c>
    </row>
    <row r="2302" spans="4:14" ht="15" customHeight="1" x14ac:dyDescent="0.25">
      <c r="H2302" s="3" t="s">
        <v>43</v>
      </c>
      <c r="I2302" s="3" t="s">
        <v>34</v>
      </c>
      <c r="J2302" s="3">
        <f t="shared" si="189"/>
        <v>43928</v>
      </c>
      <c r="K2302" s="3">
        <f t="shared" si="188"/>
        <v>43940</v>
      </c>
      <c r="L2302" s="3">
        <v>12</v>
      </c>
      <c r="M2302" s="3">
        <f t="shared" si="190"/>
        <v>9.6099999999997046</v>
      </c>
      <c r="N2302" s="3">
        <v>1.25</v>
      </c>
    </row>
    <row r="2304" spans="4:14" ht="15" customHeight="1" x14ac:dyDescent="0.25">
      <c r="D2304" s="2" t="s">
        <v>98</v>
      </c>
      <c r="E2304" s="2"/>
      <c r="F2304" s="2"/>
      <c r="G2304" s="2"/>
    </row>
    <row r="2306" spans="4:14" ht="15" customHeight="1" x14ac:dyDescent="0.25">
      <c r="D2306" s="13">
        <v>45931</v>
      </c>
      <c r="H2306" s="3" t="s">
        <v>34</v>
      </c>
      <c r="I2306" s="3" t="s">
        <v>43</v>
      </c>
      <c r="J2306" s="3">
        <f>K2302</f>
        <v>43940</v>
      </c>
      <c r="K2306" s="3">
        <f>J2306+L2306</f>
        <v>43952</v>
      </c>
      <c r="L2306" s="3">
        <v>12</v>
      </c>
      <c r="M2306" s="3">
        <f>(E2306+M2302)-N2306</f>
        <v>8.3599999999997046</v>
      </c>
      <c r="N2306" s="3">
        <v>1.25</v>
      </c>
    </row>
    <row r="2307" spans="4:14" ht="15" customHeight="1" x14ac:dyDescent="0.25">
      <c r="D2307" s="13"/>
      <c r="H2307" s="3" t="s">
        <v>43</v>
      </c>
      <c r="I2307" s="3" t="s">
        <v>34</v>
      </c>
      <c r="J2307" s="3">
        <f>K2306</f>
        <v>43952</v>
      </c>
      <c r="K2307" s="3">
        <f>J2307+L2307</f>
        <v>43964</v>
      </c>
      <c r="L2307" s="3">
        <v>12</v>
      </c>
      <c r="M2307" s="3">
        <f>(E2307+M2306)-N2307</f>
        <v>7.1099999999997046</v>
      </c>
      <c r="N2307" s="3">
        <v>1.25</v>
      </c>
    </row>
    <row r="2308" spans="4:14" ht="15" customHeight="1" x14ac:dyDescent="0.25">
      <c r="D2308" s="13">
        <v>45932</v>
      </c>
      <c r="H2308" s="3" t="s">
        <v>34</v>
      </c>
      <c r="I2308" s="3" t="s">
        <v>43</v>
      </c>
      <c r="J2308" s="3">
        <f>K2307</f>
        <v>43964</v>
      </c>
      <c r="K2308" s="3">
        <f>J2308+L2308</f>
        <v>43976</v>
      </c>
      <c r="L2308" s="3">
        <v>12</v>
      </c>
      <c r="M2308" s="3">
        <f>(E2308+M2307)-N2308</f>
        <v>5.8599999999997046</v>
      </c>
      <c r="N2308" s="3">
        <v>1.25</v>
      </c>
    </row>
    <row r="2309" spans="4:14" ht="15" customHeight="1" x14ac:dyDescent="0.25">
      <c r="D2309" s="13"/>
      <c r="H2309" s="3" t="s">
        <v>43</v>
      </c>
      <c r="I2309" s="3" t="s">
        <v>34</v>
      </c>
      <c r="J2309" s="3">
        <f>K2308</f>
        <v>43976</v>
      </c>
      <c r="K2309" s="3">
        <f>J2309+L2309</f>
        <v>43988</v>
      </c>
      <c r="L2309" s="3">
        <v>12</v>
      </c>
      <c r="M2309" s="3">
        <f>(E2309+M2308)-N2309</f>
        <v>4.6099999999997046</v>
      </c>
      <c r="N2309" s="3">
        <v>1.25</v>
      </c>
    </row>
    <row r="2310" spans="4:14" ht="15" customHeight="1" x14ac:dyDescent="0.25">
      <c r="D2310" s="13">
        <v>45933</v>
      </c>
      <c r="H2310" s="3"/>
      <c r="I2310" s="3"/>
      <c r="M2310" s="3"/>
    </row>
    <row r="2311" spans="4:14" ht="15" customHeight="1" x14ac:dyDescent="0.25">
      <c r="D2311" s="13"/>
      <c r="H2311" s="3"/>
      <c r="I2311" s="3"/>
      <c r="M2311" s="3"/>
    </row>
    <row r="2312" spans="4:14" ht="15" customHeight="1" x14ac:dyDescent="0.25">
      <c r="D2312" s="13">
        <v>45936</v>
      </c>
      <c r="H2312" s="3"/>
      <c r="I2312" s="3"/>
      <c r="M2312" s="3"/>
    </row>
    <row r="2313" spans="4:14" ht="15" customHeight="1" x14ac:dyDescent="0.25">
      <c r="D2313" s="13"/>
      <c r="H2313" s="3"/>
      <c r="I2313" s="3"/>
      <c r="M2313" s="3"/>
    </row>
    <row r="2314" spans="4:14" ht="15" customHeight="1" x14ac:dyDescent="0.25">
      <c r="D2314" s="13">
        <v>45937</v>
      </c>
    </row>
    <row r="2315" spans="4:14" ht="15" customHeight="1" x14ac:dyDescent="0.25">
      <c r="D2315" s="13"/>
    </row>
    <row r="2316" spans="4:14" ht="15" customHeight="1" x14ac:dyDescent="0.25">
      <c r="D2316" s="13">
        <v>45938</v>
      </c>
    </row>
    <row r="2317" spans="4:14" ht="15" customHeight="1" x14ac:dyDescent="0.25">
      <c r="D2317" s="13"/>
    </row>
    <row r="2318" spans="4:14" ht="15" customHeight="1" x14ac:dyDescent="0.25">
      <c r="D2318" s="13">
        <v>45939</v>
      </c>
      <c r="E2318">
        <v>48.81</v>
      </c>
      <c r="F2318" s="3">
        <v>65.08</v>
      </c>
      <c r="G2318" s="8">
        <f>E2318*F2318</f>
        <v>3176.5547999999999</v>
      </c>
      <c r="H2318" s="3" t="s">
        <v>34</v>
      </c>
      <c r="I2318" s="3" t="s">
        <v>54</v>
      </c>
      <c r="J2318" s="3">
        <f>K2309</f>
        <v>43988</v>
      </c>
      <c r="K2318" s="3">
        <f t="shared" ref="K2318:K2357" si="191">J2318+L2318</f>
        <v>44015</v>
      </c>
      <c r="L2318" s="3">
        <v>27</v>
      </c>
      <c r="M2318" s="3">
        <f>(E2318+M2309)-N2318</f>
        <v>50.2199999999997</v>
      </c>
      <c r="N2318" s="3">
        <v>3.2</v>
      </c>
    </row>
    <row r="2319" spans="4:14" ht="15" customHeight="1" x14ac:dyDescent="0.25">
      <c r="D2319" s="13"/>
      <c r="H2319" s="3" t="s">
        <v>54</v>
      </c>
      <c r="I2319" s="3" t="s">
        <v>34</v>
      </c>
      <c r="J2319" s="3">
        <f t="shared" ref="J2319:J2357" si="192">K2318</f>
        <v>44015</v>
      </c>
      <c r="K2319" s="3">
        <f t="shared" si="191"/>
        <v>44042</v>
      </c>
      <c r="L2319" s="3">
        <v>27</v>
      </c>
      <c r="M2319" s="3">
        <f t="shared" ref="M2319:M2357" si="193">(E2319+M2318)-N2319</f>
        <v>47.019999999999698</v>
      </c>
      <c r="N2319" s="3">
        <v>3.2</v>
      </c>
    </row>
    <row r="2320" spans="4:14" ht="15" customHeight="1" x14ac:dyDescent="0.25">
      <c r="D2320" s="13">
        <v>45940</v>
      </c>
      <c r="H2320" s="3" t="s">
        <v>34</v>
      </c>
      <c r="I2320" s="3" t="s">
        <v>85</v>
      </c>
      <c r="J2320" s="3">
        <f t="shared" si="192"/>
        <v>44042</v>
      </c>
      <c r="K2320" s="3">
        <f t="shared" si="191"/>
        <v>44086</v>
      </c>
      <c r="L2320" s="3">
        <v>44</v>
      </c>
      <c r="M2320" s="3">
        <f t="shared" si="193"/>
        <v>42.019999999999698</v>
      </c>
      <c r="N2320" s="3">
        <v>5</v>
      </c>
    </row>
    <row r="2321" spans="4:14" ht="15" customHeight="1" x14ac:dyDescent="0.25">
      <c r="D2321" s="13"/>
      <c r="H2321" s="3" t="s">
        <v>85</v>
      </c>
      <c r="I2321" s="3" t="s">
        <v>34</v>
      </c>
      <c r="J2321" s="3">
        <f t="shared" si="192"/>
        <v>44086</v>
      </c>
      <c r="K2321" s="3">
        <f t="shared" si="191"/>
        <v>44130</v>
      </c>
      <c r="L2321" s="3">
        <v>44</v>
      </c>
      <c r="M2321" s="3">
        <f t="shared" si="193"/>
        <v>37.019999999999698</v>
      </c>
      <c r="N2321" s="3">
        <v>5</v>
      </c>
    </row>
    <row r="2322" spans="4:14" ht="15" customHeight="1" x14ac:dyDescent="0.25">
      <c r="D2322" s="13">
        <v>45943</v>
      </c>
      <c r="H2322" s="3" t="s">
        <v>34</v>
      </c>
      <c r="I2322" s="3" t="s">
        <v>44</v>
      </c>
      <c r="J2322" s="3">
        <f t="shared" si="192"/>
        <v>44130</v>
      </c>
      <c r="K2322" s="3">
        <f t="shared" si="191"/>
        <v>44170</v>
      </c>
      <c r="L2322" s="3">
        <v>40</v>
      </c>
      <c r="M2322" s="3">
        <f t="shared" si="193"/>
        <v>32.2199999999997</v>
      </c>
      <c r="N2322" s="3">
        <v>4.8</v>
      </c>
    </row>
    <row r="2323" spans="4:14" ht="15" customHeight="1" x14ac:dyDescent="0.25">
      <c r="D2323" s="13"/>
      <c r="H2323" s="3" t="s">
        <v>44</v>
      </c>
      <c r="I2323" s="3" t="s">
        <v>34</v>
      </c>
      <c r="J2323" s="3">
        <f t="shared" si="192"/>
        <v>44170</v>
      </c>
      <c r="K2323" s="3">
        <f t="shared" si="191"/>
        <v>44210</v>
      </c>
      <c r="L2323" s="3">
        <v>40</v>
      </c>
      <c r="M2323" s="3">
        <f t="shared" si="193"/>
        <v>27.4199999999997</v>
      </c>
      <c r="N2323" s="3">
        <v>4.8</v>
      </c>
    </row>
    <row r="2324" spans="4:14" ht="15" customHeight="1" x14ac:dyDescent="0.25">
      <c r="D2324" s="13">
        <v>45944</v>
      </c>
      <c r="H2324" s="3" t="s">
        <v>34</v>
      </c>
      <c r="I2324" s="3" t="s">
        <v>35</v>
      </c>
      <c r="J2324" s="3">
        <f t="shared" si="192"/>
        <v>44210</v>
      </c>
      <c r="K2324" s="3">
        <f t="shared" si="191"/>
        <v>44222</v>
      </c>
      <c r="L2324" s="3">
        <v>12</v>
      </c>
      <c r="M2324" s="3">
        <f t="shared" si="193"/>
        <v>26.1699999999997</v>
      </c>
      <c r="N2324" s="3">
        <v>1.25</v>
      </c>
    </row>
    <row r="2325" spans="4:14" ht="15" customHeight="1" x14ac:dyDescent="0.25">
      <c r="D2325" s="13"/>
      <c r="H2325" s="3" t="s">
        <v>35</v>
      </c>
      <c r="I2325" s="3" t="s">
        <v>34</v>
      </c>
      <c r="J2325" s="3">
        <f t="shared" si="192"/>
        <v>44222</v>
      </c>
      <c r="K2325" s="3">
        <f t="shared" si="191"/>
        <v>44234</v>
      </c>
      <c r="L2325" s="3">
        <v>12</v>
      </c>
      <c r="M2325" s="3">
        <f t="shared" si="193"/>
        <v>24.9199999999997</v>
      </c>
      <c r="N2325" s="3">
        <v>1.25</v>
      </c>
    </row>
    <row r="2326" spans="4:14" ht="15" customHeight="1" x14ac:dyDescent="0.25">
      <c r="D2326" s="13">
        <v>45945</v>
      </c>
      <c r="H2326" s="3" t="s">
        <v>34</v>
      </c>
      <c r="I2326" s="3" t="s">
        <v>49</v>
      </c>
      <c r="J2326" s="3">
        <f t="shared" si="192"/>
        <v>44234</v>
      </c>
      <c r="K2326" s="3">
        <f t="shared" si="191"/>
        <v>44261</v>
      </c>
      <c r="L2326" s="3">
        <v>27</v>
      </c>
      <c r="M2326" s="3">
        <f t="shared" si="193"/>
        <v>21.7199999999997</v>
      </c>
      <c r="N2326" s="3">
        <v>3.2</v>
      </c>
    </row>
    <row r="2327" spans="4:14" ht="15" customHeight="1" x14ac:dyDescent="0.25">
      <c r="D2327" s="13"/>
      <c r="H2327" s="3" t="s">
        <v>49</v>
      </c>
      <c r="I2327" s="3" t="s">
        <v>34</v>
      </c>
      <c r="J2327" s="3">
        <f t="shared" si="192"/>
        <v>44261</v>
      </c>
      <c r="K2327" s="3">
        <f t="shared" si="191"/>
        <v>44288</v>
      </c>
      <c r="L2327" s="3">
        <v>27</v>
      </c>
      <c r="M2327" s="3">
        <f t="shared" si="193"/>
        <v>18.519999999999701</v>
      </c>
      <c r="N2327" s="3">
        <v>3.2</v>
      </c>
    </row>
    <row r="2328" spans="4:14" ht="15" customHeight="1" x14ac:dyDescent="0.25">
      <c r="D2328" s="13">
        <v>45946</v>
      </c>
      <c r="H2328" s="3" t="s">
        <v>34</v>
      </c>
      <c r="I2328" s="3" t="s">
        <v>54</v>
      </c>
      <c r="J2328" s="3">
        <f t="shared" si="192"/>
        <v>44288</v>
      </c>
      <c r="K2328" s="3">
        <f t="shared" si="191"/>
        <v>44315</v>
      </c>
      <c r="L2328" s="3">
        <v>27</v>
      </c>
      <c r="M2328" s="3">
        <f t="shared" si="193"/>
        <v>15.319999999999702</v>
      </c>
      <c r="N2328" s="3">
        <v>3.2</v>
      </c>
    </row>
    <row r="2329" spans="4:14" ht="15" customHeight="1" x14ac:dyDescent="0.25">
      <c r="D2329" s="13"/>
      <c r="H2329" s="3" t="s">
        <v>54</v>
      </c>
      <c r="I2329" s="3" t="s">
        <v>34</v>
      </c>
      <c r="J2329" s="3">
        <f t="shared" si="192"/>
        <v>44315</v>
      </c>
      <c r="K2329" s="3">
        <f t="shared" si="191"/>
        <v>44342</v>
      </c>
      <c r="L2329" s="3">
        <v>27</v>
      </c>
      <c r="M2329" s="3">
        <f t="shared" si="193"/>
        <v>12.119999999999703</v>
      </c>
      <c r="N2329" s="3">
        <v>3.2</v>
      </c>
    </row>
    <row r="2330" spans="4:14" ht="15" customHeight="1" x14ac:dyDescent="0.25">
      <c r="D2330" s="13">
        <v>45947</v>
      </c>
      <c r="E2330">
        <v>45.81</v>
      </c>
      <c r="F2330" s="3">
        <v>65.22</v>
      </c>
      <c r="G2330" s="8">
        <f>E2330*F2330</f>
        <v>2987.7282</v>
      </c>
      <c r="H2330" s="3" t="s">
        <v>34</v>
      </c>
      <c r="I2330" s="3" t="s">
        <v>85</v>
      </c>
      <c r="J2330" s="3">
        <f t="shared" si="192"/>
        <v>44342</v>
      </c>
      <c r="K2330" s="3">
        <f t="shared" si="191"/>
        <v>44386</v>
      </c>
      <c r="L2330" s="3">
        <v>44</v>
      </c>
      <c r="M2330" s="3">
        <f t="shared" si="193"/>
        <v>52.929999999999708</v>
      </c>
      <c r="N2330" s="3">
        <v>5</v>
      </c>
    </row>
    <row r="2331" spans="4:14" ht="15" customHeight="1" x14ac:dyDescent="0.25">
      <c r="D2331" s="13"/>
      <c r="H2331" s="3" t="s">
        <v>85</v>
      </c>
      <c r="I2331" s="3" t="s">
        <v>34</v>
      </c>
      <c r="J2331" s="3">
        <f t="shared" si="192"/>
        <v>44386</v>
      </c>
      <c r="K2331" s="3">
        <f t="shared" si="191"/>
        <v>44430</v>
      </c>
      <c r="L2331" s="3">
        <v>44</v>
      </c>
      <c r="M2331" s="3">
        <f t="shared" si="193"/>
        <v>47.929999999999708</v>
      </c>
      <c r="N2331" s="3">
        <v>5</v>
      </c>
    </row>
    <row r="2332" spans="4:14" ht="15" customHeight="1" x14ac:dyDescent="0.25">
      <c r="D2332" s="13">
        <v>45950</v>
      </c>
      <c r="H2332" s="3" t="s">
        <v>34</v>
      </c>
      <c r="I2332" s="3" t="s">
        <v>99</v>
      </c>
      <c r="J2332" s="3">
        <f t="shared" si="192"/>
        <v>44430</v>
      </c>
      <c r="K2332" s="3">
        <f t="shared" si="191"/>
        <v>44465</v>
      </c>
      <c r="L2332" s="3">
        <v>35</v>
      </c>
      <c r="M2332" s="3">
        <f t="shared" si="193"/>
        <v>43.729999999999706</v>
      </c>
      <c r="N2332" s="3">
        <v>4.2</v>
      </c>
    </row>
    <row r="2333" spans="4:14" ht="15" customHeight="1" x14ac:dyDescent="0.25">
      <c r="D2333" s="13"/>
      <c r="H2333" s="3" t="s">
        <v>99</v>
      </c>
      <c r="I2333" s="3" t="s">
        <v>34</v>
      </c>
      <c r="J2333" s="3">
        <f t="shared" si="192"/>
        <v>44465</v>
      </c>
      <c r="K2333" s="3">
        <f t="shared" si="191"/>
        <v>44500</v>
      </c>
      <c r="L2333" s="3">
        <v>35</v>
      </c>
      <c r="M2333" s="3">
        <f t="shared" si="193"/>
        <v>39.529999999999703</v>
      </c>
      <c r="N2333" s="3">
        <v>4.2</v>
      </c>
    </row>
    <row r="2334" spans="4:14" ht="15" customHeight="1" x14ac:dyDescent="0.25">
      <c r="D2334" s="13">
        <v>45951</v>
      </c>
      <c r="H2334" s="3" t="s">
        <v>34</v>
      </c>
      <c r="I2334" s="3" t="s">
        <v>54</v>
      </c>
      <c r="J2334" s="3">
        <f t="shared" si="192"/>
        <v>44500</v>
      </c>
      <c r="K2334" s="3">
        <f t="shared" si="191"/>
        <v>44527</v>
      </c>
      <c r="L2334" s="3">
        <v>27</v>
      </c>
      <c r="M2334" s="3">
        <f t="shared" si="193"/>
        <v>36.3299999999997</v>
      </c>
      <c r="N2334" s="3">
        <v>3.2</v>
      </c>
    </row>
    <row r="2335" spans="4:14" ht="15" customHeight="1" x14ac:dyDescent="0.25">
      <c r="D2335" s="13"/>
      <c r="H2335" s="3" t="s">
        <v>54</v>
      </c>
      <c r="I2335" s="3" t="s">
        <v>34</v>
      </c>
      <c r="J2335" s="3">
        <f t="shared" si="192"/>
        <v>44527</v>
      </c>
      <c r="K2335" s="3">
        <f t="shared" si="191"/>
        <v>44554</v>
      </c>
      <c r="L2335" s="3">
        <v>27</v>
      </c>
      <c r="M2335" s="3">
        <f t="shared" si="193"/>
        <v>33.129999999999697</v>
      </c>
      <c r="N2335" s="3">
        <v>3.2</v>
      </c>
    </row>
    <row r="2336" spans="4:14" ht="15" customHeight="1" x14ac:dyDescent="0.25">
      <c r="D2336" s="13">
        <v>45952</v>
      </c>
      <c r="H2336" s="3" t="s">
        <v>34</v>
      </c>
      <c r="I2336" s="3" t="s">
        <v>85</v>
      </c>
      <c r="J2336" s="3">
        <f t="shared" si="192"/>
        <v>44554</v>
      </c>
      <c r="K2336" s="3">
        <f t="shared" si="191"/>
        <v>44598</v>
      </c>
      <c r="L2336" s="3">
        <v>44</v>
      </c>
      <c r="M2336" s="3">
        <f t="shared" si="193"/>
        <v>28.129999999999697</v>
      </c>
      <c r="N2336" s="3">
        <v>5</v>
      </c>
    </row>
    <row r="2337" spans="4:14" ht="15" customHeight="1" x14ac:dyDescent="0.25">
      <c r="D2337" s="13"/>
      <c r="H2337" s="3" t="s">
        <v>85</v>
      </c>
      <c r="I2337" s="3" t="s">
        <v>34</v>
      </c>
      <c r="J2337" s="3">
        <f t="shared" si="192"/>
        <v>44598</v>
      </c>
      <c r="K2337" s="3">
        <f t="shared" si="191"/>
        <v>44642</v>
      </c>
      <c r="L2337" s="3">
        <v>44</v>
      </c>
      <c r="M2337" s="3">
        <f t="shared" si="193"/>
        <v>23.129999999999697</v>
      </c>
      <c r="N2337" s="3">
        <v>5</v>
      </c>
    </row>
    <row r="2338" spans="4:14" ht="15" customHeight="1" x14ac:dyDescent="0.25">
      <c r="D2338" s="13"/>
      <c r="H2338" s="3" t="s">
        <v>34</v>
      </c>
      <c r="I2338" s="3" t="s">
        <v>44</v>
      </c>
      <c r="J2338" s="3">
        <f t="shared" si="192"/>
        <v>44642</v>
      </c>
      <c r="K2338" s="3">
        <f t="shared" si="191"/>
        <v>44682</v>
      </c>
      <c r="L2338" s="3">
        <v>40</v>
      </c>
      <c r="M2338" s="3">
        <f t="shared" si="193"/>
        <v>18.329999999999696</v>
      </c>
      <c r="N2338" s="3">
        <v>4.8</v>
      </c>
    </row>
    <row r="2339" spans="4:14" ht="15" customHeight="1" x14ac:dyDescent="0.25">
      <c r="D2339" s="13"/>
      <c r="H2339" s="3" t="s">
        <v>44</v>
      </c>
      <c r="I2339" s="3" t="s">
        <v>34</v>
      </c>
      <c r="J2339" s="3">
        <f t="shared" si="192"/>
        <v>44682</v>
      </c>
      <c r="K2339" s="3">
        <f t="shared" si="191"/>
        <v>44722</v>
      </c>
      <c r="L2339" s="3">
        <v>40</v>
      </c>
      <c r="M2339" s="3">
        <f t="shared" si="193"/>
        <v>13.529999999999696</v>
      </c>
      <c r="N2339" s="3">
        <v>4.8</v>
      </c>
    </row>
    <row r="2340" spans="4:14" ht="15" customHeight="1" x14ac:dyDescent="0.25">
      <c r="D2340" s="13">
        <v>45953</v>
      </c>
      <c r="E2340">
        <v>45.48</v>
      </c>
      <c r="F2340" s="3">
        <v>65.62</v>
      </c>
      <c r="G2340" s="8">
        <f>E2340*F2340</f>
        <v>2984.3975999999998</v>
      </c>
      <c r="H2340" s="3" t="s">
        <v>34</v>
      </c>
      <c r="I2340" s="3" t="s">
        <v>85</v>
      </c>
      <c r="J2340" s="3">
        <f t="shared" si="192"/>
        <v>44722</v>
      </c>
      <c r="K2340" s="3">
        <f t="shared" si="191"/>
        <v>44766</v>
      </c>
      <c r="L2340" s="3">
        <v>44</v>
      </c>
      <c r="M2340" s="3">
        <f t="shared" si="193"/>
        <v>54.009999999999692</v>
      </c>
      <c r="N2340" s="3">
        <v>5</v>
      </c>
    </row>
    <row r="2341" spans="4:14" ht="15" customHeight="1" x14ac:dyDescent="0.25">
      <c r="D2341" s="13"/>
      <c r="H2341" s="3" t="s">
        <v>85</v>
      </c>
      <c r="I2341" s="3" t="s">
        <v>34</v>
      </c>
      <c r="J2341" s="3">
        <f t="shared" si="192"/>
        <v>44766</v>
      </c>
      <c r="K2341" s="3">
        <f t="shared" si="191"/>
        <v>44810</v>
      </c>
      <c r="L2341" s="3">
        <v>44</v>
      </c>
      <c r="M2341" s="3">
        <f t="shared" si="193"/>
        <v>49.009999999999692</v>
      </c>
      <c r="N2341" s="3">
        <v>5</v>
      </c>
    </row>
    <row r="2342" spans="4:14" ht="15" customHeight="1" x14ac:dyDescent="0.25">
      <c r="D2342" s="13">
        <v>45954</v>
      </c>
      <c r="H2342" s="3" t="s">
        <v>34</v>
      </c>
      <c r="I2342" s="3" t="s">
        <v>100</v>
      </c>
      <c r="J2342" s="3">
        <f t="shared" si="192"/>
        <v>44810</v>
      </c>
      <c r="K2342" s="3">
        <f t="shared" si="191"/>
        <v>44845</v>
      </c>
      <c r="L2342" s="3">
        <v>35</v>
      </c>
      <c r="M2342" s="3">
        <f t="shared" si="193"/>
        <v>44.80999999999969</v>
      </c>
      <c r="N2342" s="3">
        <v>4.2</v>
      </c>
    </row>
    <row r="2343" spans="4:14" ht="15" customHeight="1" x14ac:dyDescent="0.25">
      <c r="D2343" s="13"/>
      <c r="H2343" s="3" t="s">
        <v>100</v>
      </c>
      <c r="I2343" s="3" t="s">
        <v>34</v>
      </c>
      <c r="J2343" s="3">
        <f t="shared" si="192"/>
        <v>44845</v>
      </c>
      <c r="K2343" s="3">
        <f t="shared" si="191"/>
        <v>44880</v>
      </c>
      <c r="L2343" s="3">
        <v>35</v>
      </c>
      <c r="M2343" s="3">
        <f t="shared" si="193"/>
        <v>40.609999999999687</v>
      </c>
      <c r="N2343" s="3">
        <v>4.2</v>
      </c>
    </row>
    <row r="2344" spans="4:14" ht="15" customHeight="1" x14ac:dyDescent="0.25">
      <c r="D2344" s="13">
        <v>45957</v>
      </c>
      <c r="H2344" s="3" t="s">
        <v>34</v>
      </c>
      <c r="I2344" s="3" t="s">
        <v>54</v>
      </c>
      <c r="J2344" s="3">
        <f t="shared" si="192"/>
        <v>44880</v>
      </c>
      <c r="K2344" s="3">
        <f t="shared" si="191"/>
        <v>44907</v>
      </c>
      <c r="L2344" s="3">
        <v>27</v>
      </c>
      <c r="M2344" s="3">
        <f t="shared" si="193"/>
        <v>37.409999999999684</v>
      </c>
      <c r="N2344" s="3">
        <v>3.2</v>
      </c>
    </row>
    <row r="2345" spans="4:14" ht="15" customHeight="1" x14ac:dyDescent="0.25">
      <c r="D2345" s="13"/>
      <c r="H2345" s="3" t="s">
        <v>54</v>
      </c>
      <c r="I2345" s="3" t="s">
        <v>34</v>
      </c>
      <c r="J2345" s="3">
        <f t="shared" si="192"/>
        <v>44907</v>
      </c>
      <c r="K2345" s="3">
        <f t="shared" si="191"/>
        <v>44934</v>
      </c>
      <c r="L2345" s="3">
        <v>27</v>
      </c>
      <c r="M2345" s="3">
        <f t="shared" si="193"/>
        <v>34.209999999999681</v>
      </c>
      <c r="N2345" s="3">
        <v>3.2</v>
      </c>
    </row>
    <row r="2346" spans="4:14" ht="15" customHeight="1" x14ac:dyDescent="0.25">
      <c r="D2346" s="13">
        <v>45958</v>
      </c>
      <c r="H2346" s="3" t="s">
        <v>34</v>
      </c>
      <c r="I2346" s="3" t="s">
        <v>85</v>
      </c>
      <c r="J2346" s="3">
        <f t="shared" si="192"/>
        <v>44934</v>
      </c>
      <c r="K2346" s="3">
        <f t="shared" si="191"/>
        <v>44978</v>
      </c>
      <c r="L2346" s="3">
        <v>44</v>
      </c>
      <c r="M2346" s="3">
        <f t="shared" si="193"/>
        <v>29.209999999999681</v>
      </c>
      <c r="N2346" s="3">
        <v>5</v>
      </c>
    </row>
    <row r="2347" spans="4:14" ht="15" customHeight="1" x14ac:dyDescent="0.25">
      <c r="D2347" s="13"/>
      <c r="H2347" s="3" t="s">
        <v>85</v>
      </c>
      <c r="I2347" s="3" t="s">
        <v>34</v>
      </c>
      <c r="J2347" s="3">
        <f t="shared" si="192"/>
        <v>44978</v>
      </c>
      <c r="K2347" s="3">
        <f t="shared" si="191"/>
        <v>45022</v>
      </c>
      <c r="L2347" s="3">
        <v>44</v>
      </c>
      <c r="M2347" s="3">
        <f t="shared" si="193"/>
        <v>24.209999999999681</v>
      </c>
      <c r="N2347" s="3">
        <v>5</v>
      </c>
    </row>
    <row r="2348" spans="4:14" ht="15" customHeight="1" x14ac:dyDescent="0.25">
      <c r="D2348" s="13"/>
      <c r="H2348" s="3" t="s">
        <v>34</v>
      </c>
      <c r="I2348" s="3" t="s">
        <v>44</v>
      </c>
      <c r="J2348" s="3">
        <f t="shared" si="192"/>
        <v>45022</v>
      </c>
      <c r="K2348" s="3">
        <f t="shared" si="191"/>
        <v>45062</v>
      </c>
      <c r="L2348" s="3">
        <v>40</v>
      </c>
      <c r="M2348" s="3">
        <f t="shared" si="193"/>
        <v>19.40999999999968</v>
      </c>
      <c r="N2348" s="3">
        <v>4.8</v>
      </c>
    </row>
    <row r="2349" spans="4:14" ht="15" customHeight="1" x14ac:dyDescent="0.25">
      <c r="D2349" s="13"/>
      <c r="H2349" s="3" t="s">
        <v>44</v>
      </c>
      <c r="I2349" s="3" t="s">
        <v>34</v>
      </c>
      <c r="J2349" s="3">
        <f t="shared" si="192"/>
        <v>45062</v>
      </c>
      <c r="K2349" s="3">
        <f t="shared" si="191"/>
        <v>45102</v>
      </c>
      <c r="L2349" s="3">
        <v>40</v>
      </c>
      <c r="M2349" s="3">
        <f t="shared" si="193"/>
        <v>14.60999999999968</v>
      </c>
      <c r="N2349" s="3">
        <v>4.8</v>
      </c>
    </row>
    <row r="2350" spans="4:14" ht="15" customHeight="1" x14ac:dyDescent="0.25">
      <c r="D2350" s="13">
        <v>45959</v>
      </c>
      <c r="E2350">
        <v>45.26</v>
      </c>
      <c r="F2350" s="3">
        <v>65.760000000000005</v>
      </c>
      <c r="G2350" s="8">
        <f>E2350*F2350</f>
        <v>2976.2975999999999</v>
      </c>
      <c r="H2350" s="3" t="s">
        <v>34</v>
      </c>
      <c r="I2350" s="3" t="s">
        <v>100</v>
      </c>
      <c r="J2350" s="3">
        <f t="shared" si="192"/>
        <v>45102</v>
      </c>
      <c r="K2350" s="3">
        <f t="shared" si="191"/>
        <v>45137</v>
      </c>
      <c r="L2350" s="3">
        <v>35</v>
      </c>
      <c r="M2350" s="3">
        <f t="shared" si="193"/>
        <v>55.669999999999675</v>
      </c>
      <c r="N2350" s="3">
        <v>4.2</v>
      </c>
    </row>
    <row r="2351" spans="4:14" ht="15" customHeight="1" x14ac:dyDescent="0.25">
      <c r="D2351" s="13"/>
      <c r="H2351" s="3" t="s">
        <v>100</v>
      </c>
      <c r="I2351" s="3" t="s">
        <v>34</v>
      </c>
      <c r="J2351" s="3">
        <f t="shared" si="192"/>
        <v>45137</v>
      </c>
      <c r="K2351" s="3">
        <f t="shared" si="191"/>
        <v>45172</v>
      </c>
      <c r="L2351" s="3">
        <v>35</v>
      </c>
      <c r="M2351" s="3">
        <f t="shared" si="193"/>
        <v>51.469999999999672</v>
      </c>
      <c r="N2351" s="3">
        <v>4.2</v>
      </c>
    </row>
    <row r="2352" spans="4:14" ht="15" customHeight="1" x14ac:dyDescent="0.25">
      <c r="D2352" s="13"/>
      <c r="H2352" s="3" t="s">
        <v>34</v>
      </c>
      <c r="I2352" s="3" t="s">
        <v>35</v>
      </c>
      <c r="J2352" s="3">
        <f t="shared" si="192"/>
        <v>45172</v>
      </c>
      <c r="K2352" s="3">
        <f t="shared" si="191"/>
        <v>45184</v>
      </c>
      <c r="L2352" s="3">
        <v>12</v>
      </c>
      <c r="M2352" s="3">
        <f t="shared" si="193"/>
        <v>50.219999999999672</v>
      </c>
      <c r="N2352" s="3">
        <v>1.25</v>
      </c>
    </row>
    <row r="2353" spans="4:14" ht="15" customHeight="1" x14ac:dyDescent="0.25">
      <c r="D2353" s="13"/>
      <c r="H2353" s="3" t="s">
        <v>35</v>
      </c>
      <c r="I2353" s="3" t="s">
        <v>34</v>
      </c>
      <c r="J2353" s="3">
        <f t="shared" si="192"/>
        <v>45184</v>
      </c>
      <c r="K2353" s="3">
        <f t="shared" si="191"/>
        <v>45196</v>
      </c>
      <c r="L2353" s="3">
        <v>12</v>
      </c>
      <c r="M2353" s="3">
        <f t="shared" si="193"/>
        <v>48.969999999999672</v>
      </c>
      <c r="N2353" s="3">
        <v>1.25</v>
      </c>
    </row>
    <row r="2354" spans="4:14" ht="15" customHeight="1" x14ac:dyDescent="0.25">
      <c r="D2354" s="13">
        <v>45960</v>
      </c>
      <c r="H2354" s="3" t="s">
        <v>34</v>
      </c>
      <c r="I2354" s="3" t="s">
        <v>54</v>
      </c>
      <c r="J2354" s="3">
        <f t="shared" si="192"/>
        <v>45196</v>
      </c>
      <c r="K2354" s="3">
        <f t="shared" si="191"/>
        <v>45223</v>
      </c>
      <c r="L2354" s="3">
        <v>27</v>
      </c>
      <c r="M2354" s="3">
        <f t="shared" si="193"/>
        <v>45.769999999999669</v>
      </c>
      <c r="N2354" s="3">
        <v>3.2</v>
      </c>
    </row>
    <row r="2355" spans="4:14" ht="15" customHeight="1" x14ac:dyDescent="0.25">
      <c r="D2355" s="13"/>
      <c r="H2355" s="3" t="s">
        <v>54</v>
      </c>
      <c r="I2355" s="3" t="s">
        <v>34</v>
      </c>
      <c r="J2355" s="3">
        <f t="shared" si="192"/>
        <v>45223</v>
      </c>
      <c r="K2355" s="3">
        <f t="shared" si="191"/>
        <v>45250</v>
      </c>
      <c r="L2355" s="3">
        <v>27</v>
      </c>
      <c r="M2355" s="3">
        <f t="shared" si="193"/>
        <v>42.569999999999666</v>
      </c>
      <c r="N2355" s="3">
        <v>3.2</v>
      </c>
    </row>
    <row r="2356" spans="4:14" ht="15" customHeight="1" x14ac:dyDescent="0.25">
      <c r="D2356" s="13">
        <v>45961</v>
      </c>
      <c r="H2356" s="3" t="s">
        <v>34</v>
      </c>
      <c r="I2356" s="3" t="s">
        <v>99</v>
      </c>
      <c r="J2356" s="3">
        <f t="shared" si="192"/>
        <v>45250</v>
      </c>
      <c r="K2356" s="3">
        <f t="shared" si="191"/>
        <v>45285</v>
      </c>
      <c r="L2356" s="3">
        <v>35</v>
      </c>
      <c r="M2356" s="3">
        <f t="shared" si="193"/>
        <v>38.369999999999663</v>
      </c>
      <c r="N2356" s="3">
        <v>4.2</v>
      </c>
    </row>
    <row r="2357" spans="4:14" ht="15" customHeight="1" x14ac:dyDescent="0.25">
      <c r="D2357" s="13"/>
      <c r="H2357" s="3" t="s">
        <v>99</v>
      </c>
      <c r="I2357" s="3" t="s">
        <v>34</v>
      </c>
      <c r="J2357" s="3">
        <f t="shared" si="192"/>
        <v>45285</v>
      </c>
      <c r="K2357" s="3">
        <f t="shared" si="191"/>
        <v>45320</v>
      </c>
      <c r="L2357" s="3">
        <v>35</v>
      </c>
      <c r="M2357" s="3">
        <f t="shared" si="193"/>
        <v>34.169999999999661</v>
      </c>
      <c r="N2357" s="3">
        <v>4.2</v>
      </c>
    </row>
    <row r="2360" spans="4:14" ht="15" customHeight="1" x14ac:dyDescent="0.25">
      <c r="D2360" s="2" t="s">
        <v>101</v>
      </c>
      <c r="E2360" s="2"/>
      <c r="F2360" s="2"/>
      <c r="G2360" s="2"/>
    </row>
    <row r="2362" spans="4:14" ht="15" customHeight="1" x14ac:dyDescent="0.25">
      <c r="D2362" s="13">
        <v>45962</v>
      </c>
      <c r="H2362" s="3" t="s">
        <v>34</v>
      </c>
      <c r="I2362" s="3" t="s">
        <v>102</v>
      </c>
      <c r="J2362" s="3">
        <f>K2357</f>
        <v>45320</v>
      </c>
      <c r="K2362" s="3">
        <f t="shared" ref="K2362:K2401" si="194">J2362+L2362</f>
        <v>45345</v>
      </c>
      <c r="L2362" s="3">
        <v>25</v>
      </c>
      <c r="M2362" s="3">
        <f>(E2362+M2357)-N2362</f>
        <v>31.169999999999661</v>
      </c>
      <c r="N2362" s="3">
        <v>3</v>
      </c>
    </row>
    <row r="2363" spans="4:14" ht="15" customHeight="1" x14ac:dyDescent="0.25">
      <c r="D2363" s="13"/>
      <c r="H2363" s="3" t="s">
        <v>102</v>
      </c>
      <c r="I2363" s="3" t="s">
        <v>34</v>
      </c>
      <c r="J2363" s="3">
        <f t="shared" ref="J2363:J2401" si="195">K2362</f>
        <v>45345</v>
      </c>
      <c r="K2363" s="3">
        <f t="shared" si="194"/>
        <v>45370</v>
      </c>
      <c r="L2363" s="3">
        <v>25</v>
      </c>
      <c r="M2363" s="3">
        <f t="shared" ref="M2363:M2401" si="196">(E2363+M2362)-N2363</f>
        <v>28.169999999999661</v>
      </c>
      <c r="N2363" s="3">
        <v>3</v>
      </c>
    </row>
    <row r="2364" spans="4:14" ht="15" customHeight="1" x14ac:dyDescent="0.25">
      <c r="D2364" s="13">
        <v>45966</v>
      </c>
      <c r="H2364" s="3" t="s">
        <v>34</v>
      </c>
      <c r="I2364" s="3" t="s">
        <v>35</v>
      </c>
      <c r="J2364" s="3">
        <f t="shared" si="195"/>
        <v>45370</v>
      </c>
      <c r="K2364" s="3">
        <f t="shared" si="194"/>
        <v>45382</v>
      </c>
      <c r="L2364" s="3">
        <v>12</v>
      </c>
      <c r="M2364" s="3">
        <f t="shared" si="196"/>
        <v>26.919999999999661</v>
      </c>
      <c r="N2364" s="3">
        <v>1.25</v>
      </c>
    </row>
    <row r="2365" spans="4:14" ht="15" customHeight="1" x14ac:dyDescent="0.25">
      <c r="D2365" s="13"/>
      <c r="H2365" s="3" t="s">
        <v>35</v>
      </c>
      <c r="I2365" s="3" t="s">
        <v>34</v>
      </c>
      <c r="J2365" s="3">
        <f t="shared" si="195"/>
        <v>45382</v>
      </c>
      <c r="K2365" s="3">
        <f t="shared" si="194"/>
        <v>45394</v>
      </c>
      <c r="L2365" s="3">
        <v>12</v>
      </c>
      <c r="M2365" s="3">
        <f t="shared" si="196"/>
        <v>25.669999999999661</v>
      </c>
      <c r="N2365" s="3">
        <v>1.25</v>
      </c>
    </row>
    <row r="2366" spans="4:14" ht="15" customHeight="1" x14ac:dyDescent="0.25">
      <c r="D2366" s="13">
        <v>45967</v>
      </c>
      <c r="H2366" s="3" t="s">
        <v>34</v>
      </c>
      <c r="I2366" s="3" t="s">
        <v>54</v>
      </c>
      <c r="J2366" s="3">
        <f t="shared" si="195"/>
        <v>45394</v>
      </c>
      <c r="K2366" s="3">
        <f t="shared" si="194"/>
        <v>45421</v>
      </c>
      <c r="L2366" s="3">
        <v>27</v>
      </c>
      <c r="M2366" s="3">
        <f t="shared" si="196"/>
        <v>22.469999999999661</v>
      </c>
      <c r="N2366" s="3">
        <v>3.2</v>
      </c>
    </row>
    <row r="2367" spans="4:14" ht="15" customHeight="1" x14ac:dyDescent="0.25">
      <c r="D2367" s="13"/>
      <c r="H2367" s="3" t="s">
        <v>54</v>
      </c>
      <c r="I2367" s="3" t="s">
        <v>34</v>
      </c>
      <c r="J2367" s="3">
        <f t="shared" si="195"/>
        <v>45421</v>
      </c>
      <c r="K2367" s="3">
        <f t="shared" si="194"/>
        <v>45448</v>
      </c>
      <c r="L2367" s="3">
        <v>27</v>
      </c>
      <c r="M2367" s="3">
        <f t="shared" si="196"/>
        <v>19.269999999999662</v>
      </c>
      <c r="N2367" s="3">
        <v>3.2</v>
      </c>
    </row>
    <row r="2368" spans="4:14" ht="15" customHeight="1" x14ac:dyDescent="0.25">
      <c r="D2368" s="13">
        <v>45968</v>
      </c>
      <c r="H2368" s="3" t="s">
        <v>34</v>
      </c>
      <c r="I2368" s="3" t="s">
        <v>85</v>
      </c>
      <c r="J2368" s="3">
        <f t="shared" si="195"/>
        <v>45448</v>
      </c>
      <c r="K2368" s="3">
        <f t="shared" si="194"/>
        <v>45492</v>
      </c>
      <c r="L2368" s="3">
        <v>44</v>
      </c>
      <c r="M2368" s="3">
        <f t="shared" si="196"/>
        <v>14.269999999999662</v>
      </c>
      <c r="N2368" s="3">
        <v>5</v>
      </c>
    </row>
    <row r="2369" spans="4:14" ht="15" customHeight="1" x14ac:dyDescent="0.25">
      <c r="D2369" s="13"/>
      <c r="H2369" s="3" t="s">
        <v>85</v>
      </c>
      <c r="I2369" s="3" t="s">
        <v>34</v>
      </c>
      <c r="J2369" s="3">
        <f t="shared" si="195"/>
        <v>45492</v>
      </c>
      <c r="K2369" s="3">
        <f t="shared" si="194"/>
        <v>45536</v>
      </c>
      <c r="L2369" s="3">
        <v>44</v>
      </c>
      <c r="M2369" s="3">
        <f t="shared" si="196"/>
        <v>9.2699999999996621</v>
      </c>
      <c r="N2369" s="3">
        <v>5</v>
      </c>
    </row>
    <row r="2370" spans="4:14" ht="15" customHeight="1" x14ac:dyDescent="0.25">
      <c r="D2370" s="13">
        <v>45971</v>
      </c>
      <c r="H2370" s="3" t="s">
        <v>34</v>
      </c>
      <c r="I2370" s="3" t="s">
        <v>100</v>
      </c>
      <c r="J2370" s="3">
        <f t="shared" si="195"/>
        <v>45536</v>
      </c>
      <c r="K2370" s="3">
        <f t="shared" si="194"/>
        <v>45571</v>
      </c>
      <c r="L2370" s="3">
        <v>35</v>
      </c>
      <c r="M2370" s="3">
        <f t="shared" si="196"/>
        <v>5.0699999999996619</v>
      </c>
      <c r="N2370" s="3">
        <v>4.2</v>
      </c>
    </row>
    <row r="2371" spans="4:14" ht="15" customHeight="1" x14ac:dyDescent="0.25">
      <c r="D2371" s="13"/>
      <c r="H2371" s="3" t="s">
        <v>100</v>
      </c>
      <c r="I2371" s="3" t="s">
        <v>34</v>
      </c>
      <c r="J2371" s="3">
        <f t="shared" si="195"/>
        <v>45571</v>
      </c>
      <c r="K2371" s="3">
        <f t="shared" si="194"/>
        <v>45606</v>
      </c>
      <c r="L2371" s="3">
        <v>35</v>
      </c>
      <c r="M2371" s="3">
        <f t="shared" si="196"/>
        <v>0.86999999999966171</v>
      </c>
      <c r="N2371" s="3">
        <v>4.2</v>
      </c>
    </row>
    <row r="2372" spans="4:14" ht="15" customHeight="1" x14ac:dyDescent="0.25">
      <c r="D2372" s="13">
        <v>45972</v>
      </c>
      <c r="E2372">
        <v>48.08</v>
      </c>
      <c r="F2372" s="3">
        <v>66.16</v>
      </c>
      <c r="G2372" s="8">
        <f>E2372*F2372</f>
        <v>3180.9727999999996</v>
      </c>
      <c r="H2372" s="3" t="s">
        <v>34</v>
      </c>
      <c r="I2372" s="3" t="s">
        <v>54</v>
      </c>
      <c r="J2372" s="3">
        <f t="shared" si="195"/>
        <v>45606</v>
      </c>
      <c r="K2372" s="3">
        <f t="shared" si="194"/>
        <v>45633</v>
      </c>
      <c r="L2372" s="3">
        <v>27</v>
      </c>
      <c r="M2372" s="3">
        <f t="shared" si="196"/>
        <v>45.749999999999659</v>
      </c>
      <c r="N2372" s="3">
        <v>3.2</v>
      </c>
    </row>
    <row r="2373" spans="4:14" ht="15" customHeight="1" x14ac:dyDescent="0.25">
      <c r="D2373" s="13"/>
      <c r="H2373" s="3" t="s">
        <v>54</v>
      </c>
      <c r="I2373" s="3" t="s">
        <v>34</v>
      </c>
      <c r="J2373" s="3">
        <f t="shared" si="195"/>
        <v>45633</v>
      </c>
      <c r="K2373" s="3">
        <f t="shared" si="194"/>
        <v>45660</v>
      </c>
      <c r="L2373" s="3">
        <v>27</v>
      </c>
      <c r="M2373" s="3">
        <f t="shared" si="196"/>
        <v>42.549999999999656</v>
      </c>
      <c r="N2373" s="3">
        <v>3.2</v>
      </c>
    </row>
    <row r="2374" spans="4:14" ht="15" customHeight="1" x14ac:dyDescent="0.25">
      <c r="D2374" s="13">
        <v>45973</v>
      </c>
      <c r="H2374" s="3" t="s">
        <v>34</v>
      </c>
      <c r="I2374" s="3" t="s">
        <v>102</v>
      </c>
      <c r="J2374" s="3">
        <f t="shared" si="195"/>
        <v>45660</v>
      </c>
      <c r="K2374" s="3">
        <f t="shared" si="194"/>
        <v>45685</v>
      </c>
      <c r="L2374" s="3">
        <v>25</v>
      </c>
      <c r="M2374" s="3">
        <f t="shared" si="196"/>
        <v>39.549999999999656</v>
      </c>
      <c r="N2374" s="3">
        <v>3</v>
      </c>
    </row>
    <row r="2375" spans="4:14" ht="15" customHeight="1" x14ac:dyDescent="0.25">
      <c r="D2375" s="13"/>
      <c r="H2375" s="3" t="s">
        <v>102</v>
      </c>
      <c r="I2375" s="3" t="s">
        <v>34</v>
      </c>
      <c r="J2375" s="3">
        <f t="shared" si="195"/>
        <v>45685</v>
      </c>
      <c r="K2375" s="3">
        <f t="shared" si="194"/>
        <v>45710</v>
      </c>
      <c r="L2375" s="3">
        <v>25</v>
      </c>
      <c r="M2375" s="3">
        <f t="shared" si="196"/>
        <v>36.549999999999656</v>
      </c>
      <c r="N2375" s="3">
        <v>3</v>
      </c>
    </row>
    <row r="2376" spans="4:14" ht="15" customHeight="1" x14ac:dyDescent="0.25">
      <c r="D2376" s="13">
        <v>45974</v>
      </c>
      <c r="H2376" s="3" t="s">
        <v>34</v>
      </c>
      <c r="I2376" s="3" t="s">
        <v>54</v>
      </c>
      <c r="J2376" s="3">
        <f t="shared" si="195"/>
        <v>45710</v>
      </c>
      <c r="K2376" s="3">
        <f t="shared" si="194"/>
        <v>45737</v>
      </c>
      <c r="L2376" s="3">
        <v>27</v>
      </c>
      <c r="M2376" s="3">
        <f t="shared" si="196"/>
        <v>33.349999999999653</v>
      </c>
      <c r="N2376" s="3">
        <v>3.2</v>
      </c>
    </row>
    <row r="2377" spans="4:14" ht="15" customHeight="1" x14ac:dyDescent="0.25">
      <c r="D2377" s="13"/>
      <c r="H2377" s="3" t="s">
        <v>54</v>
      </c>
      <c r="I2377" s="3" t="s">
        <v>34</v>
      </c>
      <c r="J2377" s="3">
        <f t="shared" si="195"/>
        <v>45737</v>
      </c>
      <c r="K2377" s="3">
        <f t="shared" si="194"/>
        <v>45764</v>
      </c>
      <c r="L2377" s="3">
        <v>27</v>
      </c>
      <c r="M2377" s="3">
        <f t="shared" si="196"/>
        <v>30.149999999999654</v>
      </c>
      <c r="N2377" s="3">
        <v>3.2</v>
      </c>
    </row>
    <row r="2378" spans="4:14" ht="15" customHeight="1" x14ac:dyDescent="0.25">
      <c r="D2378" s="13">
        <v>45975</v>
      </c>
      <c r="H2378" s="3" t="s">
        <v>34</v>
      </c>
      <c r="I2378" s="3" t="s">
        <v>85</v>
      </c>
      <c r="J2378" s="3">
        <f t="shared" si="195"/>
        <v>45764</v>
      </c>
      <c r="K2378" s="3">
        <f t="shared" si="194"/>
        <v>45808</v>
      </c>
      <c r="L2378" s="3">
        <v>44</v>
      </c>
      <c r="M2378" s="3">
        <f t="shared" si="196"/>
        <v>25.149999999999654</v>
      </c>
      <c r="N2378" s="3">
        <v>5</v>
      </c>
    </row>
    <row r="2379" spans="4:14" ht="15" customHeight="1" x14ac:dyDescent="0.25">
      <c r="D2379" s="13"/>
      <c r="H2379" s="3" t="s">
        <v>85</v>
      </c>
      <c r="I2379" s="3" t="s">
        <v>34</v>
      </c>
      <c r="J2379" s="3">
        <f t="shared" si="195"/>
        <v>45808</v>
      </c>
      <c r="K2379" s="3">
        <f t="shared" si="194"/>
        <v>45852</v>
      </c>
      <c r="L2379" s="3">
        <v>44</v>
      </c>
      <c r="M2379" s="3">
        <f t="shared" si="196"/>
        <v>20.149999999999654</v>
      </c>
      <c r="N2379" s="3">
        <v>5</v>
      </c>
    </row>
    <row r="2380" spans="4:14" ht="15" customHeight="1" x14ac:dyDescent="0.25">
      <c r="D2380" s="13">
        <v>45978</v>
      </c>
      <c r="H2380" s="3" t="s">
        <v>34</v>
      </c>
      <c r="I2380" s="3" t="s">
        <v>85</v>
      </c>
      <c r="J2380" s="3">
        <f t="shared" si="195"/>
        <v>45852</v>
      </c>
      <c r="K2380" s="3">
        <f t="shared" si="194"/>
        <v>45896</v>
      </c>
      <c r="L2380" s="3">
        <v>44</v>
      </c>
      <c r="M2380" s="3">
        <f t="shared" si="196"/>
        <v>15.149999999999654</v>
      </c>
      <c r="N2380" s="3">
        <v>5</v>
      </c>
    </row>
    <row r="2381" spans="4:14" ht="15" customHeight="1" x14ac:dyDescent="0.25">
      <c r="D2381" s="13"/>
      <c r="H2381" s="3" t="s">
        <v>85</v>
      </c>
      <c r="I2381" s="3" t="s">
        <v>34</v>
      </c>
      <c r="J2381" s="3">
        <f t="shared" si="195"/>
        <v>45896</v>
      </c>
      <c r="K2381" s="3">
        <f t="shared" si="194"/>
        <v>45940</v>
      </c>
      <c r="L2381" s="3">
        <v>44</v>
      </c>
      <c r="M2381" s="3">
        <f t="shared" si="196"/>
        <v>10.149999999999654</v>
      </c>
      <c r="N2381" s="3">
        <v>5</v>
      </c>
    </row>
    <row r="2382" spans="4:14" ht="15" customHeight="1" x14ac:dyDescent="0.25">
      <c r="D2382" s="13"/>
      <c r="H2382" s="3" t="s">
        <v>34</v>
      </c>
      <c r="I2382" s="3" t="s">
        <v>54</v>
      </c>
      <c r="J2382" s="3">
        <f t="shared" si="195"/>
        <v>45940</v>
      </c>
      <c r="K2382" s="3">
        <f t="shared" si="194"/>
        <v>45967</v>
      </c>
      <c r="L2382" s="3">
        <v>27</v>
      </c>
      <c r="M2382" s="3">
        <f t="shared" si="196"/>
        <v>6.9499999999996538</v>
      </c>
      <c r="N2382" s="3">
        <v>3.2</v>
      </c>
    </row>
    <row r="2383" spans="4:14" ht="15" customHeight="1" x14ac:dyDescent="0.25">
      <c r="D2383" s="13"/>
      <c r="H2383" s="3" t="s">
        <v>54</v>
      </c>
      <c r="I2383" s="3" t="s">
        <v>34</v>
      </c>
      <c r="J2383" s="3">
        <f t="shared" si="195"/>
        <v>45967</v>
      </c>
      <c r="K2383" s="3">
        <f t="shared" si="194"/>
        <v>45994</v>
      </c>
      <c r="L2383" s="3">
        <v>27</v>
      </c>
      <c r="M2383" s="3">
        <f t="shared" si="196"/>
        <v>3.7499999999996536</v>
      </c>
      <c r="N2383" s="3">
        <v>3.2</v>
      </c>
    </row>
    <row r="2384" spans="4:14" ht="15" customHeight="1" x14ac:dyDescent="0.25">
      <c r="D2384" s="13">
        <v>45979</v>
      </c>
      <c r="E2384">
        <v>46.79</v>
      </c>
      <c r="F2384" s="3">
        <v>65.760000000000005</v>
      </c>
      <c r="G2384" s="8">
        <f>E2384*F2384</f>
        <v>3076.9104000000002</v>
      </c>
      <c r="H2384" s="3" t="s">
        <v>34</v>
      </c>
      <c r="I2384" s="3" t="s">
        <v>102</v>
      </c>
      <c r="J2384" s="3">
        <f t="shared" si="195"/>
        <v>45994</v>
      </c>
      <c r="K2384" s="3">
        <f t="shared" si="194"/>
        <v>46019</v>
      </c>
      <c r="L2384" s="3">
        <v>25</v>
      </c>
      <c r="M2384" s="3">
        <f t="shared" si="196"/>
        <v>47.539999999999651</v>
      </c>
      <c r="N2384" s="3">
        <v>3</v>
      </c>
    </row>
    <row r="2385" spans="4:14" ht="15" customHeight="1" x14ac:dyDescent="0.25">
      <c r="D2385" s="13"/>
      <c r="H2385" s="3" t="s">
        <v>102</v>
      </c>
      <c r="I2385" s="3" t="s">
        <v>34</v>
      </c>
      <c r="J2385" s="3">
        <f t="shared" si="195"/>
        <v>46019</v>
      </c>
      <c r="K2385" s="3">
        <f t="shared" si="194"/>
        <v>46044</v>
      </c>
      <c r="L2385" s="3">
        <v>25</v>
      </c>
      <c r="M2385" s="3">
        <f t="shared" si="196"/>
        <v>44.539999999999651</v>
      </c>
      <c r="N2385" s="3">
        <v>3</v>
      </c>
    </row>
    <row r="2386" spans="4:14" ht="15" customHeight="1" x14ac:dyDescent="0.25">
      <c r="D2386" s="13">
        <v>45980</v>
      </c>
      <c r="H2386" s="3" t="s">
        <v>34</v>
      </c>
      <c r="I2386" s="3" t="s">
        <v>54</v>
      </c>
      <c r="J2386" s="3">
        <f t="shared" si="195"/>
        <v>46044</v>
      </c>
      <c r="K2386" s="3">
        <f t="shared" si="194"/>
        <v>46071</v>
      </c>
      <c r="L2386" s="3">
        <v>27</v>
      </c>
      <c r="M2386" s="3">
        <f t="shared" si="196"/>
        <v>41.339999999999648</v>
      </c>
      <c r="N2386" s="3">
        <v>3.2</v>
      </c>
    </row>
    <row r="2387" spans="4:14" ht="15" customHeight="1" x14ac:dyDescent="0.25">
      <c r="D2387" s="13"/>
      <c r="H2387" s="3" t="s">
        <v>54</v>
      </c>
      <c r="I2387" s="3" t="s">
        <v>34</v>
      </c>
      <c r="J2387" s="3">
        <f t="shared" si="195"/>
        <v>46071</v>
      </c>
      <c r="K2387" s="3">
        <f t="shared" si="194"/>
        <v>46098</v>
      </c>
      <c r="L2387" s="3">
        <v>27</v>
      </c>
      <c r="M2387" s="3">
        <f t="shared" si="196"/>
        <v>38.139999999999645</v>
      </c>
      <c r="N2387" s="3">
        <v>3.2</v>
      </c>
    </row>
    <row r="2388" spans="4:14" ht="15" customHeight="1" x14ac:dyDescent="0.25">
      <c r="D2388" s="13">
        <v>45981</v>
      </c>
      <c r="H2388" s="3" t="s">
        <v>34</v>
      </c>
      <c r="I2388" s="3" t="s">
        <v>54</v>
      </c>
      <c r="J2388" s="3">
        <f t="shared" si="195"/>
        <v>46098</v>
      </c>
      <c r="K2388" s="3">
        <f t="shared" si="194"/>
        <v>46125</v>
      </c>
      <c r="L2388" s="3">
        <v>27</v>
      </c>
      <c r="M2388" s="3">
        <f t="shared" si="196"/>
        <v>34.939999999999642</v>
      </c>
      <c r="N2388" s="3">
        <v>3.2</v>
      </c>
    </row>
    <row r="2389" spans="4:14" ht="15" customHeight="1" x14ac:dyDescent="0.25">
      <c r="D2389" s="13"/>
      <c r="H2389" s="3" t="s">
        <v>54</v>
      </c>
      <c r="I2389" s="3" t="s">
        <v>34</v>
      </c>
      <c r="J2389" s="3">
        <f t="shared" si="195"/>
        <v>46125</v>
      </c>
      <c r="K2389" s="3">
        <f t="shared" si="194"/>
        <v>46152</v>
      </c>
      <c r="L2389" s="3">
        <v>27</v>
      </c>
      <c r="M2389" s="3">
        <f t="shared" si="196"/>
        <v>31.739999999999643</v>
      </c>
      <c r="N2389" s="3">
        <v>3.2</v>
      </c>
    </row>
    <row r="2390" spans="4:14" ht="15" customHeight="1" x14ac:dyDescent="0.25">
      <c r="D2390" s="13">
        <v>45982</v>
      </c>
      <c r="H2390" s="3" t="s">
        <v>34</v>
      </c>
      <c r="I2390" s="3" t="s">
        <v>43</v>
      </c>
      <c r="J2390" s="3">
        <f t="shared" si="195"/>
        <v>46152</v>
      </c>
      <c r="K2390" s="3">
        <f t="shared" si="194"/>
        <v>46164</v>
      </c>
      <c r="L2390" s="3">
        <v>12</v>
      </c>
      <c r="M2390" s="3">
        <f t="shared" si="196"/>
        <v>30.489999999999643</v>
      </c>
      <c r="N2390" s="3">
        <v>1.25</v>
      </c>
    </row>
    <row r="2391" spans="4:14" ht="15" customHeight="1" x14ac:dyDescent="0.25">
      <c r="D2391" s="13"/>
      <c r="H2391" s="3" t="s">
        <v>43</v>
      </c>
      <c r="I2391" s="3" t="s">
        <v>34</v>
      </c>
      <c r="J2391" s="3">
        <f t="shared" si="195"/>
        <v>46164</v>
      </c>
      <c r="K2391" s="3">
        <f t="shared" si="194"/>
        <v>46176</v>
      </c>
      <c r="L2391" s="3">
        <v>12</v>
      </c>
      <c r="M2391" s="3">
        <f t="shared" si="196"/>
        <v>29.239999999999643</v>
      </c>
      <c r="N2391" s="3">
        <v>1.25</v>
      </c>
    </row>
    <row r="2392" spans="4:14" ht="15" customHeight="1" x14ac:dyDescent="0.25">
      <c r="D2392" s="13">
        <v>45985</v>
      </c>
      <c r="H2392" s="3" t="s">
        <v>34</v>
      </c>
      <c r="I2392" s="3" t="s">
        <v>44</v>
      </c>
      <c r="J2392" s="3">
        <f t="shared" si="195"/>
        <v>46176</v>
      </c>
      <c r="K2392" s="3">
        <f t="shared" si="194"/>
        <v>46216</v>
      </c>
      <c r="L2392" s="3">
        <v>40</v>
      </c>
      <c r="M2392" s="3">
        <f t="shared" si="196"/>
        <v>24.439999999999642</v>
      </c>
      <c r="N2392" s="3">
        <v>4.8</v>
      </c>
    </row>
    <row r="2393" spans="4:14" ht="15" customHeight="1" x14ac:dyDescent="0.25">
      <c r="D2393" s="13"/>
      <c r="H2393" s="3" t="s">
        <v>44</v>
      </c>
      <c r="I2393" s="3" t="s">
        <v>34</v>
      </c>
      <c r="J2393" s="3">
        <f t="shared" si="195"/>
        <v>46216</v>
      </c>
      <c r="K2393" s="3">
        <f t="shared" si="194"/>
        <v>46256</v>
      </c>
      <c r="L2393" s="3">
        <v>40</v>
      </c>
      <c r="M2393" s="3">
        <f t="shared" si="196"/>
        <v>19.639999999999642</v>
      </c>
      <c r="N2393" s="3">
        <v>4.8</v>
      </c>
    </row>
    <row r="2394" spans="4:14" ht="15" customHeight="1" x14ac:dyDescent="0.25">
      <c r="D2394" s="13">
        <v>45986</v>
      </c>
      <c r="H2394" s="3" t="s">
        <v>34</v>
      </c>
      <c r="I2394" s="3" t="s">
        <v>35</v>
      </c>
      <c r="J2394" s="3">
        <f t="shared" si="195"/>
        <v>46256</v>
      </c>
      <c r="K2394" s="3">
        <f t="shared" si="194"/>
        <v>46268</v>
      </c>
      <c r="L2394" s="3">
        <v>12</v>
      </c>
      <c r="M2394" s="3">
        <f t="shared" si="196"/>
        <v>18.389999999999642</v>
      </c>
      <c r="N2394" s="3">
        <v>1.25</v>
      </c>
    </row>
    <row r="2395" spans="4:14" ht="15" customHeight="1" x14ac:dyDescent="0.25">
      <c r="D2395" s="13"/>
      <c r="H2395" s="3" t="s">
        <v>35</v>
      </c>
      <c r="I2395" s="3" t="s">
        <v>34</v>
      </c>
      <c r="J2395" s="3">
        <f t="shared" si="195"/>
        <v>46268</v>
      </c>
      <c r="K2395" s="3">
        <f t="shared" si="194"/>
        <v>46280</v>
      </c>
      <c r="L2395" s="3">
        <v>12</v>
      </c>
      <c r="M2395" s="3">
        <f t="shared" si="196"/>
        <v>17.139999999999642</v>
      </c>
      <c r="N2395" s="3">
        <v>1.25</v>
      </c>
    </row>
    <row r="2396" spans="4:14" ht="15" customHeight="1" x14ac:dyDescent="0.25">
      <c r="D2396" s="13">
        <v>45987</v>
      </c>
      <c r="H2396" s="3" t="s">
        <v>34</v>
      </c>
      <c r="I2396" s="3" t="s">
        <v>54</v>
      </c>
      <c r="J2396" s="3">
        <f t="shared" si="195"/>
        <v>46280</v>
      </c>
      <c r="K2396" s="3">
        <f t="shared" si="194"/>
        <v>46307</v>
      </c>
      <c r="L2396" s="3">
        <v>27</v>
      </c>
      <c r="M2396" s="3">
        <f t="shared" si="196"/>
        <v>13.939999999999642</v>
      </c>
      <c r="N2396" s="3">
        <v>3.2</v>
      </c>
    </row>
    <row r="2397" spans="4:14" ht="15" customHeight="1" x14ac:dyDescent="0.25">
      <c r="D2397" s="13"/>
      <c r="H2397" s="3" t="s">
        <v>54</v>
      </c>
      <c r="I2397" s="3" t="s">
        <v>34</v>
      </c>
      <c r="J2397" s="3">
        <f t="shared" si="195"/>
        <v>46307</v>
      </c>
      <c r="K2397" s="3">
        <f t="shared" si="194"/>
        <v>46334</v>
      </c>
      <c r="L2397" s="3">
        <v>27</v>
      </c>
      <c r="M2397" s="3">
        <f t="shared" si="196"/>
        <v>10.739999999999643</v>
      </c>
      <c r="N2397" s="3">
        <v>3.2</v>
      </c>
    </row>
    <row r="2398" spans="4:14" ht="15" customHeight="1" x14ac:dyDescent="0.25">
      <c r="D2398" s="13">
        <v>45988</v>
      </c>
      <c r="H2398" s="3" t="s">
        <v>34</v>
      </c>
      <c r="I2398" s="3" t="s">
        <v>102</v>
      </c>
      <c r="J2398" s="3">
        <f t="shared" si="195"/>
        <v>46334</v>
      </c>
      <c r="K2398" s="3">
        <f t="shared" si="194"/>
        <v>46359</v>
      </c>
      <c r="L2398" s="3">
        <v>25</v>
      </c>
      <c r="M2398" s="3">
        <f t="shared" si="196"/>
        <v>7.7399999999996432</v>
      </c>
      <c r="N2398" s="3">
        <v>3</v>
      </c>
    </row>
    <row r="2399" spans="4:14" ht="15" customHeight="1" x14ac:dyDescent="0.25">
      <c r="D2399" s="13"/>
      <c r="H2399" s="3" t="s">
        <v>102</v>
      </c>
      <c r="I2399" s="3" t="s">
        <v>34</v>
      </c>
      <c r="J2399" s="3">
        <f t="shared" si="195"/>
        <v>46359</v>
      </c>
      <c r="K2399" s="3">
        <f t="shared" si="194"/>
        <v>46384</v>
      </c>
      <c r="L2399" s="3">
        <v>25</v>
      </c>
      <c r="M2399" s="3">
        <f t="shared" si="196"/>
        <v>4.7399999999996432</v>
      </c>
      <c r="N2399" s="3">
        <v>3</v>
      </c>
    </row>
    <row r="2400" spans="4:14" ht="15" customHeight="1" x14ac:dyDescent="0.25">
      <c r="D2400" s="13">
        <v>45989</v>
      </c>
      <c r="H2400" s="3" t="s">
        <v>34</v>
      </c>
      <c r="I2400" s="3" t="s">
        <v>43</v>
      </c>
      <c r="J2400" s="3">
        <f t="shared" si="195"/>
        <v>46384</v>
      </c>
      <c r="K2400" s="3">
        <f t="shared" si="194"/>
        <v>46396</v>
      </c>
      <c r="L2400" s="3">
        <v>12</v>
      </c>
      <c r="M2400" s="3">
        <f t="shared" si="196"/>
        <v>3.4899999999996432</v>
      </c>
      <c r="N2400" s="3">
        <v>1.25</v>
      </c>
    </row>
    <row r="2401" spans="4:14" ht="15" customHeight="1" x14ac:dyDescent="0.25">
      <c r="H2401" s="3" t="s">
        <v>43</v>
      </c>
      <c r="I2401" s="3" t="s">
        <v>34</v>
      </c>
      <c r="J2401" s="3">
        <f t="shared" si="195"/>
        <v>46396</v>
      </c>
      <c r="K2401" s="3">
        <f t="shared" si="194"/>
        <v>46408</v>
      </c>
      <c r="L2401" s="3">
        <v>12</v>
      </c>
      <c r="M2401" s="3">
        <f t="shared" si="196"/>
        <v>2.2399999999996432</v>
      </c>
      <c r="N2401" s="3">
        <v>1.25</v>
      </c>
    </row>
    <row r="2404" spans="4:14" ht="15" customHeight="1" x14ac:dyDescent="0.25">
      <c r="D2404" s="2" t="s">
        <v>103</v>
      </c>
      <c r="E2404" s="2"/>
      <c r="F2404" s="2"/>
      <c r="G2404" s="2"/>
    </row>
    <row r="2406" spans="4:14" ht="15" customHeight="1" x14ac:dyDescent="0.25">
      <c r="D2406" s="13">
        <v>45992</v>
      </c>
      <c r="E2406">
        <v>50.12</v>
      </c>
      <c r="F2406" s="3">
        <v>66.16</v>
      </c>
      <c r="G2406" s="8">
        <f>E2406*F2406</f>
        <v>3315.9391999999998</v>
      </c>
      <c r="H2406" s="3" t="s">
        <v>34</v>
      </c>
      <c r="I2406" s="3" t="s">
        <v>102</v>
      </c>
      <c r="J2406" s="3">
        <f>K2401</f>
        <v>46408</v>
      </c>
      <c r="K2406" s="3">
        <f t="shared" ref="K2406:K2449" si="197">J2406+L2406</f>
        <v>46433</v>
      </c>
      <c r="L2406" s="3">
        <v>25</v>
      </c>
      <c r="M2406" s="3">
        <f>(E2406+M2401)-N2406</f>
        <v>49.359999999999644</v>
      </c>
      <c r="N2406" s="3">
        <v>3</v>
      </c>
    </row>
    <row r="2407" spans="4:14" ht="15" customHeight="1" x14ac:dyDescent="0.25">
      <c r="D2407" s="13"/>
      <c r="H2407" s="3" t="s">
        <v>102</v>
      </c>
      <c r="I2407" s="3" t="s">
        <v>34</v>
      </c>
      <c r="J2407" s="3">
        <f t="shared" ref="J2407:J2449" si="198">K2406</f>
        <v>46433</v>
      </c>
      <c r="K2407" s="3">
        <f t="shared" si="197"/>
        <v>46458</v>
      </c>
      <c r="L2407" s="3">
        <v>25</v>
      </c>
      <c r="M2407" s="3">
        <f t="shared" ref="M2407:M2449" si="199">(E2407+M2406)-N2407</f>
        <v>46.359999999999644</v>
      </c>
      <c r="N2407" s="3">
        <v>3</v>
      </c>
    </row>
    <row r="2408" spans="4:14" ht="15" customHeight="1" x14ac:dyDescent="0.25">
      <c r="D2408" s="13">
        <v>45993</v>
      </c>
      <c r="H2408" s="3" t="s">
        <v>34</v>
      </c>
      <c r="I2408" s="3" t="s">
        <v>54</v>
      </c>
      <c r="J2408" s="3">
        <f t="shared" si="198"/>
        <v>46458</v>
      </c>
      <c r="K2408" s="3">
        <f t="shared" si="197"/>
        <v>46485</v>
      </c>
      <c r="L2408" s="3">
        <v>27</v>
      </c>
      <c r="M2408" s="3">
        <f t="shared" si="199"/>
        <v>43.159999999999641</v>
      </c>
      <c r="N2408" s="3">
        <v>3.2</v>
      </c>
    </row>
    <row r="2409" spans="4:14" ht="15" customHeight="1" x14ac:dyDescent="0.25">
      <c r="D2409" s="13"/>
      <c r="H2409" s="3" t="s">
        <v>54</v>
      </c>
      <c r="I2409" s="3" t="s">
        <v>34</v>
      </c>
      <c r="J2409" s="3">
        <f t="shared" si="198"/>
        <v>46485</v>
      </c>
      <c r="K2409" s="3">
        <f t="shared" si="197"/>
        <v>46512</v>
      </c>
      <c r="L2409" s="3">
        <v>27</v>
      </c>
      <c r="M2409" s="3">
        <f t="shared" si="199"/>
        <v>39.959999999999638</v>
      </c>
      <c r="N2409" s="3">
        <v>3.2</v>
      </c>
    </row>
    <row r="2410" spans="4:14" ht="15" customHeight="1" x14ac:dyDescent="0.25">
      <c r="D2410" s="13">
        <v>45994</v>
      </c>
      <c r="H2410" s="3" t="s">
        <v>34</v>
      </c>
      <c r="I2410" s="3" t="s">
        <v>102</v>
      </c>
      <c r="J2410" s="3">
        <f t="shared" si="198"/>
        <v>46512</v>
      </c>
      <c r="K2410" s="3">
        <f t="shared" si="197"/>
        <v>46537</v>
      </c>
      <c r="L2410" s="3">
        <v>25</v>
      </c>
      <c r="M2410" s="3">
        <f t="shared" si="199"/>
        <v>36.959999999999638</v>
      </c>
      <c r="N2410" s="3">
        <v>3</v>
      </c>
    </row>
    <row r="2411" spans="4:14" ht="15" customHeight="1" x14ac:dyDescent="0.25">
      <c r="D2411" s="13"/>
      <c r="H2411" s="3" t="s">
        <v>102</v>
      </c>
      <c r="I2411" s="3" t="s">
        <v>34</v>
      </c>
      <c r="J2411" s="3">
        <f t="shared" si="198"/>
        <v>46537</v>
      </c>
      <c r="K2411" s="3">
        <f t="shared" si="197"/>
        <v>46562</v>
      </c>
      <c r="L2411" s="3">
        <v>25</v>
      </c>
      <c r="M2411" s="3">
        <f t="shared" si="199"/>
        <v>33.959999999999638</v>
      </c>
      <c r="N2411" s="3">
        <v>3</v>
      </c>
    </row>
    <row r="2412" spans="4:14" ht="15" customHeight="1" x14ac:dyDescent="0.25">
      <c r="D2412" s="13">
        <v>45995</v>
      </c>
      <c r="H2412" s="3" t="s">
        <v>34</v>
      </c>
      <c r="I2412" s="3" t="s">
        <v>100</v>
      </c>
      <c r="J2412" s="3">
        <f t="shared" si="198"/>
        <v>46562</v>
      </c>
      <c r="K2412" s="3">
        <f t="shared" si="197"/>
        <v>46597</v>
      </c>
      <c r="L2412" s="3">
        <v>35</v>
      </c>
      <c r="M2412" s="3">
        <f t="shared" si="199"/>
        <v>29.759999999999639</v>
      </c>
      <c r="N2412" s="3">
        <v>4.2</v>
      </c>
    </row>
    <row r="2413" spans="4:14" ht="15" customHeight="1" x14ac:dyDescent="0.25">
      <c r="D2413" s="13"/>
      <c r="H2413" s="3" t="s">
        <v>100</v>
      </c>
      <c r="I2413" s="3" t="s">
        <v>34</v>
      </c>
      <c r="J2413" s="3">
        <f t="shared" si="198"/>
        <v>46597</v>
      </c>
      <c r="K2413" s="3">
        <f t="shared" si="197"/>
        <v>46632</v>
      </c>
      <c r="L2413" s="3">
        <v>35</v>
      </c>
      <c r="M2413" s="3">
        <f t="shared" si="199"/>
        <v>25.55999999999964</v>
      </c>
      <c r="N2413" s="3">
        <v>4.2</v>
      </c>
    </row>
    <row r="2414" spans="4:14" ht="15" customHeight="1" x14ac:dyDescent="0.25">
      <c r="D2414" s="13">
        <v>45996</v>
      </c>
      <c r="H2414" s="3" t="s">
        <v>34</v>
      </c>
      <c r="I2414" s="3" t="s">
        <v>85</v>
      </c>
      <c r="J2414" s="3">
        <f t="shared" si="198"/>
        <v>46632</v>
      </c>
      <c r="K2414" s="3">
        <f t="shared" si="197"/>
        <v>46676</v>
      </c>
      <c r="L2414" s="3">
        <v>44</v>
      </c>
      <c r="M2414" s="3">
        <f t="shared" si="199"/>
        <v>20.55999999999964</v>
      </c>
      <c r="N2414" s="3">
        <v>5</v>
      </c>
    </row>
    <row r="2415" spans="4:14" ht="15" customHeight="1" x14ac:dyDescent="0.25">
      <c r="D2415" s="13"/>
      <c r="H2415" s="3" t="s">
        <v>85</v>
      </c>
      <c r="I2415" s="3" t="s">
        <v>34</v>
      </c>
      <c r="J2415" s="3">
        <f t="shared" si="198"/>
        <v>46676</v>
      </c>
      <c r="K2415" s="3">
        <f t="shared" si="197"/>
        <v>46720</v>
      </c>
      <c r="L2415" s="3">
        <v>44</v>
      </c>
      <c r="M2415" s="3">
        <f t="shared" si="199"/>
        <v>15.55999999999964</v>
      </c>
      <c r="N2415" s="3">
        <v>5</v>
      </c>
    </row>
    <row r="2416" spans="4:14" ht="15" customHeight="1" x14ac:dyDescent="0.25">
      <c r="D2416" s="13">
        <v>45999</v>
      </c>
      <c r="E2416">
        <v>45.09</v>
      </c>
      <c r="F2416" s="3">
        <v>65.760000000000005</v>
      </c>
      <c r="G2416" s="8">
        <f>E2416*F2416</f>
        <v>2965.1184000000003</v>
      </c>
      <c r="H2416" s="3" t="s">
        <v>34</v>
      </c>
      <c r="I2416" s="3" t="s">
        <v>44</v>
      </c>
      <c r="J2416" s="3">
        <f t="shared" si="198"/>
        <v>46720</v>
      </c>
      <c r="K2416" s="3">
        <f t="shared" si="197"/>
        <v>46760</v>
      </c>
      <c r="L2416" s="3">
        <v>40</v>
      </c>
      <c r="M2416" s="3">
        <f t="shared" si="199"/>
        <v>55.849999999999646</v>
      </c>
      <c r="N2416" s="3">
        <v>4.8</v>
      </c>
    </row>
    <row r="2417" spans="4:14" ht="15" customHeight="1" x14ac:dyDescent="0.25">
      <c r="D2417" s="13"/>
      <c r="H2417" s="3" t="s">
        <v>44</v>
      </c>
      <c r="I2417" s="3" t="s">
        <v>34</v>
      </c>
      <c r="J2417" s="3">
        <f t="shared" si="198"/>
        <v>46760</v>
      </c>
      <c r="K2417" s="3">
        <f t="shared" si="197"/>
        <v>46800</v>
      </c>
      <c r="L2417" s="3">
        <v>40</v>
      </c>
      <c r="M2417" s="3">
        <f t="shared" si="199"/>
        <v>51.049999999999649</v>
      </c>
      <c r="N2417" s="3">
        <v>4.8</v>
      </c>
    </row>
    <row r="2418" spans="4:14" ht="15" customHeight="1" x14ac:dyDescent="0.25">
      <c r="D2418" s="13">
        <v>46000</v>
      </c>
      <c r="H2418" s="3" t="s">
        <v>34</v>
      </c>
      <c r="I2418" s="3" t="s">
        <v>85</v>
      </c>
      <c r="J2418" s="3">
        <f t="shared" si="198"/>
        <v>46800</v>
      </c>
      <c r="K2418" s="3">
        <f t="shared" si="197"/>
        <v>46844</v>
      </c>
      <c r="L2418" s="3">
        <v>44</v>
      </c>
      <c r="M2418" s="3">
        <f t="shared" si="199"/>
        <v>46.049999999999649</v>
      </c>
      <c r="N2418" s="3">
        <v>5</v>
      </c>
    </row>
    <row r="2419" spans="4:14" ht="15" customHeight="1" x14ac:dyDescent="0.25">
      <c r="D2419" s="13"/>
      <c r="H2419" s="3" t="s">
        <v>85</v>
      </c>
      <c r="I2419" s="3" t="s">
        <v>34</v>
      </c>
      <c r="J2419" s="3">
        <f t="shared" si="198"/>
        <v>46844</v>
      </c>
      <c r="K2419" s="3">
        <f t="shared" si="197"/>
        <v>46888</v>
      </c>
      <c r="L2419" s="3">
        <v>44</v>
      </c>
      <c r="M2419" s="3">
        <f t="shared" si="199"/>
        <v>41.049999999999649</v>
      </c>
      <c r="N2419" s="3">
        <v>5</v>
      </c>
    </row>
    <row r="2420" spans="4:14" ht="15" customHeight="1" x14ac:dyDescent="0.25">
      <c r="D2420" s="13">
        <v>46001</v>
      </c>
      <c r="H2420" s="3" t="s">
        <v>34</v>
      </c>
      <c r="I2420" s="3" t="s">
        <v>100</v>
      </c>
      <c r="J2420" s="3">
        <f t="shared" si="198"/>
        <v>46888</v>
      </c>
      <c r="K2420" s="3">
        <f t="shared" si="197"/>
        <v>46923</v>
      </c>
      <c r="L2420" s="3">
        <v>35</v>
      </c>
      <c r="M2420" s="3">
        <f t="shared" si="199"/>
        <v>36.849999999999646</v>
      </c>
      <c r="N2420" s="3">
        <v>4.2</v>
      </c>
    </row>
    <row r="2421" spans="4:14" ht="15" customHeight="1" x14ac:dyDescent="0.25">
      <c r="D2421" s="13"/>
      <c r="H2421" s="3" t="s">
        <v>100</v>
      </c>
      <c r="I2421" s="3" t="s">
        <v>34</v>
      </c>
      <c r="J2421" s="3">
        <f t="shared" si="198"/>
        <v>46923</v>
      </c>
      <c r="K2421" s="3">
        <f t="shared" si="197"/>
        <v>46958</v>
      </c>
      <c r="L2421" s="3">
        <v>35</v>
      </c>
      <c r="M2421" s="3">
        <f t="shared" si="199"/>
        <v>32.649999999999643</v>
      </c>
      <c r="N2421" s="3">
        <v>4.2</v>
      </c>
    </row>
    <row r="2422" spans="4:14" ht="15" customHeight="1" x14ac:dyDescent="0.25">
      <c r="D2422" s="13">
        <v>46002</v>
      </c>
      <c r="H2422" s="3" t="s">
        <v>34</v>
      </c>
      <c r="I2422" s="3" t="s">
        <v>54</v>
      </c>
      <c r="J2422" s="3">
        <f t="shared" si="198"/>
        <v>46958</v>
      </c>
      <c r="K2422" s="3">
        <f t="shared" si="197"/>
        <v>46985</v>
      </c>
      <c r="L2422" s="3">
        <v>27</v>
      </c>
      <c r="M2422" s="3">
        <f t="shared" si="199"/>
        <v>29.449999999999644</v>
      </c>
      <c r="N2422" s="3">
        <v>3.2</v>
      </c>
    </row>
    <row r="2423" spans="4:14" ht="15" customHeight="1" x14ac:dyDescent="0.25">
      <c r="D2423" s="13"/>
      <c r="H2423" s="3" t="s">
        <v>54</v>
      </c>
      <c r="I2423" s="3" t="s">
        <v>34</v>
      </c>
      <c r="J2423" s="3">
        <f t="shared" si="198"/>
        <v>46985</v>
      </c>
      <c r="K2423" s="3">
        <f t="shared" si="197"/>
        <v>47012</v>
      </c>
      <c r="L2423" s="3">
        <v>27</v>
      </c>
      <c r="M2423" s="3">
        <f t="shared" si="199"/>
        <v>26.249999999999645</v>
      </c>
      <c r="N2423" s="3">
        <v>3.2</v>
      </c>
    </row>
    <row r="2424" spans="4:14" ht="15" customHeight="1" x14ac:dyDescent="0.25">
      <c r="D2424" s="13">
        <v>46003</v>
      </c>
      <c r="H2424" s="3" t="s">
        <v>34</v>
      </c>
      <c r="I2424" s="3" t="s">
        <v>35</v>
      </c>
      <c r="J2424" s="3">
        <f t="shared" si="198"/>
        <v>47012</v>
      </c>
      <c r="K2424" s="3">
        <f t="shared" si="197"/>
        <v>47024</v>
      </c>
      <c r="L2424" s="3">
        <v>12</v>
      </c>
      <c r="M2424" s="3">
        <f t="shared" si="199"/>
        <v>24.999999999999645</v>
      </c>
      <c r="N2424" s="3">
        <v>1.25</v>
      </c>
    </row>
    <row r="2425" spans="4:14" ht="15" customHeight="1" x14ac:dyDescent="0.25">
      <c r="D2425" s="13"/>
      <c r="H2425" s="3" t="s">
        <v>35</v>
      </c>
      <c r="I2425" s="3" t="s">
        <v>34</v>
      </c>
      <c r="J2425" s="3">
        <f t="shared" si="198"/>
        <v>47024</v>
      </c>
      <c r="K2425" s="3">
        <f t="shared" si="197"/>
        <v>47036</v>
      </c>
      <c r="L2425" s="3">
        <v>12</v>
      </c>
      <c r="M2425" s="3">
        <f t="shared" si="199"/>
        <v>23.749999999999645</v>
      </c>
      <c r="N2425" s="3">
        <v>1.25</v>
      </c>
    </row>
    <row r="2426" spans="4:14" ht="15" customHeight="1" x14ac:dyDescent="0.25">
      <c r="D2426" s="13">
        <v>46006</v>
      </c>
      <c r="H2426" s="3" t="s">
        <v>34</v>
      </c>
      <c r="I2426" s="3" t="s">
        <v>43</v>
      </c>
      <c r="J2426" s="3">
        <f t="shared" si="198"/>
        <v>47036</v>
      </c>
      <c r="K2426" s="3">
        <f t="shared" si="197"/>
        <v>47048</v>
      </c>
      <c r="L2426" s="3">
        <v>12</v>
      </c>
      <c r="M2426" s="3">
        <f t="shared" si="199"/>
        <v>22.499999999999645</v>
      </c>
      <c r="N2426" s="3">
        <v>1.25</v>
      </c>
    </row>
    <row r="2427" spans="4:14" ht="15" customHeight="1" x14ac:dyDescent="0.25">
      <c r="D2427" s="13"/>
      <c r="H2427" s="3" t="s">
        <v>43</v>
      </c>
      <c r="I2427" s="3" t="s">
        <v>34</v>
      </c>
      <c r="J2427" s="3">
        <f t="shared" si="198"/>
        <v>47048</v>
      </c>
      <c r="K2427" s="3">
        <f t="shared" si="197"/>
        <v>47060</v>
      </c>
      <c r="L2427" s="3">
        <v>12</v>
      </c>
      <c r="M2427" s="3">
        <f t="shared" si="199"/>
        <v>21.249999999999645</v>
      </c>
      <c r="N2427" s="3">
        <v>1.25</v>
      </c>
    </row>
    <row r="2428" spans="4:14" ht="15" customHeight="1" x14ac:dyDescent="0.25">
      <c r="D2428" s="13">
        <v>46007</v>
      </c>
      <c r="H2428" s="3" t="s">
        <v>34</v>
      </c>
      <c r="I2428" s="3" t="s">
        <v>102</v>
      </c>
      <c r="J2428" s="3">
        <f t="shared" si="198"/>
        <v>47060</v>
      </c>
      <c r="K2428" s="3">
        <f t="shared" si="197"/>
        <v>47085</v>
      </c>
      <c r="L2428" s="3">
        <v>25</v>
      </c>
      <c r="M2428" s="3">
        <f t="shared" si="199"/>
        <v>18.249999999999645</v>
      </c>
      <c r="N2428" s="3">
        <v>3</v>
      </c>
    </row>
    <row r="2429" spans="4:14" ht="15" customHeight="1" x14ac:dyDescent="0.25">
      <c r="D2429" s="13"/>
      <c r="H2429" s="3" t="s">
        <v>102</v>
      </c>
      <c r="I2429" s="3" t="s">
        <v>34</v>
      </c>
      <c r="J2429" s="3">
        <f t="shared" si="198"/>
        <v>47085</v>
      </c>
      <c r="K2429" s="3">
        <f t="shared" si="197"/>
        <v>47110</v>
      </c>
      <c r="L2429" s="3">
        <v>25</v>
      </c>
      <c r="M2429" s="3">
        <f t="shared" si="199"/>
        <v>15.249999999999645</v>
      </c>
      <c r="N2429" s="3">
        <v>3</v>
      </c>
    </row>
    <row r="2430" spans="4:14" ht="15" customHeight="1" x14ac:dyDescent="0.25">
      <c r="D2430" s="13">
        <v>46008</v>
      </c>
      <c r="H2430" s="3" t="s">
        <v>34</v>
      </c>
      <c r="I2430" s="3" t="s">
        <v>85</v>
      </c>
      <c r="J2430" s="3">
        <f t="shared" si="198"/>
        <v>47110</v>
      </c>
      <c r="K2430" s="3">
        <f t="shared" si="197"/>
        <v>47154</v>
      </c>
      <c r="L2430" s="3">
        <v>44</v>
      </c>
      <c r="M2430" s="3">
        <f t="shared" si="199"/>
        <v>10.249999999999645</v>
      </c>
      <c r="N2430" s="3">
        <v>5</v>
      </c>
    </row>
    <row r="2431" spans="4:14" ht="15" customHeight="1" x14ac:dyDescent="0.25">
      <c r="D2431" s="13"/>
      <c r="H2431" s="3" t="s">
        <v>85</v>
      </c>
      <c r="I2431" s="3" t="s">
        <v>34</v>
      </c>
      <c r="J2431" s="3">
        <f t="shared" si="198"/>
        <v>47154</v>
      </c>
      <c r="K2431" s="3">
        <f t="shared" si="197"/>
        <v>47198</v>
      </c>
      <c r="L2431" s="3">
        <v>44</v>
      </c>
      <c r="M2431" s="3">
        <f t="shared" si="199"/>
        <v>5.2499999999996447</v>
      </c>
      <c r="N2431" s="3">
        <v>5</v>
      </c>
    </row>
    <row r="2432" spans="4:14" ht="15" customHeight="1" x14ac:dyDescent="0.25">
      <c r="D2432" s="13">
        <v>46009</v>
      </c>
      <c r="E2432">
        <v>47.95</v>
      </c>
      <c r="F2432" s="3">
        <v>66.16</v>
      </c>
      <c r="G2432" s="8">
        <f>E2432*F2432</f>
        <v>3172.3719999999998</v>
      </c>
      <c r="H2432" s="3" t="s">
        <v>34</v>
      </c>
      <c r="I2432" s="3" t="s">
        <v>100</v>
      </c>
      <c r="J2432" s="3">
        <f t="shared" si="198"/>
        <v>47198</v>
      </c>
      <c r="K2432" s="3">
        <f t="shared" si="197"/>
        <v>47233</v>
      </c>
      <c r="L2432" s="3">
        <v>35</v>
      </c>
      <c r="M2432" s="3">
        <f t="shared" si="199"/>
        <v>48.999999999999645</v>
      </c>
      <c r="N2432" s="3">
        <v>4.2</v>
      </c>
    </row>
    <row r="2433" spans="4:14" ht="15" customHeight="1" x14ac:dyDescent="0.25">
      <c r="D2433" s="13"/>
      <c r="H2433" s="3" t="s">
        <v>100</v>
      </c>
      <c r="I2433" s="3" t="s">
        <v>34</v>
      </c>
      <c r="J2433" s="3">
        <f t="shared" si="198"/>
        <v>47233</v>
      </c>
      <c r="K2433" s="3">
        <f t="shared" si="197"/>
        <v>47268</v>
      </c>
      <c r="L2433" s="3">
        <v>35</v>
      </c>
      <c r="M2433" s="3">
        <f t="shared" si="199"/>
        <v>44.799999999999642</v>
      </c>
      <c r="N2433" s="3">
        <v>4.2</v>
      </c>
    </row>
    <row r="2434" spans="4:14" ht="15" customHeight="1" x14ac:dyDescent="0.25">
      <c r="D2434" s="13">
        <v>46010</v>
      </c>
      <c r="H2434" s="3" t="s">
        <v>34</v>
      </c>
      <c r="I2434" s="3" t="s">
        <v>102</v>
      </c>
      <c r="J2434" s="3">
        <f t="shared" si="198"/>
        <v>47268</v>
      </c>
      <c r="K2434" s="3">
        <f t="shared" si="197"/>
        <v>47293</v>
      </c>
      <c r="L2434" s="3">
        <v>25</v>
      </c>
      <c r="M2434" s="3">
        <f t="shared" si="199"/>
        <v>41.799999999999642</v>
      </c>
      <c r="N2434" s="3">
        <v>3</v>
      </c>
    </row>
    <row r="2435" spans="4:14" ht="15" customHeight="1" x14ac:dyDescent="0.25">
      <c r="D2435" s="13"/>
      <c r="H2435" s="3" t="s">
        <v>102</v>
      </c>
      <c r="I2435" s="3" t="s">
        <v>34</v>
      </c>
      <c r="J2435" s="3">
        <f t="shared" si="198"/>
        <v>47293</v>
      </c>
      <c r="K2435" s="3">
        <f t="shared" si="197"/>
        <v>47318</v>
      </c>
      <c r="L2435" s="3">
        <v>25</v>
      </c>
      <c r="M2435" s="3">
        <f t="shared" si="199"/>
        <v>38.799999999999642</v>
      </c>
      <c r="N2435" s="3">
        <v>3</v>
      </c>
    </row>
    <row r="2436" spans="4:14" ht="15" customHeight="1" x14ac:dyDescent="0.25">
      <c r="D2436" s="13">
        <v>46013</v>
      </c>
      <c r="H2436" s="3" t="s">
        <v>34</v>
      </c>
      <c r="I2436" s="3" t="s">
        <v>85</v>
      </c>
      <c r="J2436" s="3">
        <f t="shared" si="198"/>
        <v>47318</v>
      </c>
      <c r="K2436" s="3">
        <f t="shared" si="197"/>
        <v>47362</v>
      </c>
      <c r="L2436" s="3">
        <v>44</v>
      </c>
      <c r="M2436" s="3">
        <f t="shared" si="199"/>
        <v>33.799999999999642</v>
      </c>
      <c r="N2436" s="3">
        <v>5</v>
      </c>
    </row>
    <row r="2437" spans="4:14" ht="15" customHeight="1" x14ac:dyDescent="0.25">
      <c r="D2437" s="13"/>
      <c r="H2437" s="3" t="s">
        <v>85</v>
      </c>
      <c r="I2437" s="3" t="s">
        <v>34</v>
      </c>
      <c r="J2437" s="3">
        <f t="shared" si="198"/>
        <v>47362</v>
      </c>
      <c r="K2437" s="3">
        <f t="shared" si="197"/>
        <v>47406</v>
      </c>
      <c r="L2437" s="3">
        <v>44</v>
      </c>
      <c r="M2437" s="3">
        <f t="shared" si="199"/>
        <v>28.799999999999642</v>
      </c>
      <c r="N2437" s="3">
        <v>5</v>
      </c>
    </row>
    <row r="2438" spans="4:14" ht="15" customHeight="1" x14ac:dyDescent="0.25">
      <c r="D2438" s="13">
        <v>46014</v>
      </c>
      <c r="H2438" s="3" t="s">
        <v>34</v>
      </c>
      <c r="I2438" s="3" t="s">
        <v>54</v>
      </c>
      <c r="J2438" s="3">
        <f t="shared" si="198"/>
        <v>47406</v>
      </c>
      <c r="K2438" s="3">
        <f t="shared" si="197"/>
        <v>47433</v>
      </c>
      <c r="L2438" s="3">
        <v>27</v>
      </c>
      <c r="M2438" s="3">
        <f t="shared" si="199"/>
        <v>25.599999999999643</v>
      </c>
      <c r="N2438" s="3">
        <v>3.2</v>
      </c>
    </row>
    <row r="2439" spans="4:14" ht="15" customHeight="1" x14ac:dyDescent="0.25">
      <c r="D2439" s="13"/>
      <c r="H2439" s="3" t="s">
        <v>54</v>
      </c>
      <c r="I2439" s="3" t="s">
        <v>34</v>
      </c>
      <c r="J2439" s="3">
        <f t="shared" si="198"/>
        <v>47433</v>
      </c>
      <c r="K2439" s="3">
        <f t="shared" si="197"/>
        <v>47460</v>
      </c>
      <c r="L2439" s="3">
        <v>27</v>
      </c>
      <c r="M2439" s="3">
        <f t="shared" si="199"/>
        <v>22.399999999999643</v>
      </c>
      <c r="N2439" s="3">
        <v>3.2</v>
      </c>
    </row>
    <row r="2440" spans="4:14" ht="15" customHeight="1" x14ac:dyDescent="0.25">
      <c r="D2440" s="13">
        <v>46015</v>
      </c>
      <c r="H2440" s="3" t="s">
        <v>34</v>
      </c>
      <c r="I2440" s="3" t="s">
        <v>54</v>
      </c>
      <c r="J2440" s="3">
        <f t="shared" si="198"/>
        <v>47460</v>
      </c>
      <c r="K2440" s="3">
        <f t="shared" si="197"/>
        <v>47487</v>
      </c>
      <c r="L2440" s="3">
        <v>27</v>
      </c>
      <c r="M2440" s="3">
        <f t="shared" si="199"/>
        <v>19.199999999999644</v>
      </c>
      <c r="N2440" s="3">
        <v>3.2</v>
      </c>
    </row>
    <row r="2441" spans="4:14" ht="15" customHeight="1" x14ac:dyDescent="0.25">
      <c r="D2441" s="13"/>
      <c r="H2441" s="3" t="s">
        <v>54</v>
      </c>
      <c r="I2441" s="3" t="s">
        <v>34</v>
      </c>
      <c r="J2441" s="3">
        <f t="shared" si="198"/>
        <v>47487</v>
      </c>
      <c r="K2441" s="3">
        <f t="shared" si="197"/>
        <v>47514</v>
      </c>
      <c r="L2441" s="3">
        <v>27</v>
      </c>
      <c r="M2441" s="3">
        <f t="shared" si="199"/>
        <v>15.999999999999645</v>
      </c>
      <c r="N2441" s="3">
        <v>3.2</v>
      </c>
    </row>
    <row r="2442" spans="4:14" ht="15" customHeight="1" x14ac:dyDescent="0.25">
      <c r="D2442" s="13">
        <v>46016</v>
      </c>
      <c r="H2442" s="3" t="s">
        <v>34</v>
      </c>
      <c r="I2442" s="3" t="s">
        <v>85</v>
      </c>
      <c r="J2442" s="3">
        <f t="shared" si="198"/>
        <v>47514</v>
      </c>
      <c r="K2442" s="3">
        <f t="shared" si="197"/>
        <v>47558</v>
      </c>
      <c r="L2442" s="3">
        <v>44</v>
      </c>
      <c r="M2442" s="3">
        <f t="shared" si="199"/>
        <v>10.999999999999645</v>
      </c>
      <c r="N2442" s="3">
        <v>5</v>
      </c>
    </row>
    <row r="2443" spans="4:14" ht="15" customHeight="1" x14ac:dyDescent="0.25">
      <c r="D2443" s="13"/>
      <c r="H2443" s="3" t="s">
        <v>85</v>
      </c>
      <c r="I2443" s="3" t="s">
        <v>34</v>
      </c>
      <c r="J2443" s="3">
        <f t="shared" si="198"/>
        <v>47558</v>
      </c>
      <c r="K2443" s="3">
        <f t="shared" si="197"/>
        <v>47602</v>
      </c>
      <c r="L2443" s="3">
        <v>44</v>
      </c>
      <c r="M2443" s="3">
        <f t="shared" si="199"/>
        <v>5.9999999999996447</v>
      </c>
      <c r="N2443" s="3">
        <v>5</v>
      </c>
    </row>
    <row r="2444" spans="4:14" ht="15" customHeight="1" x14ac:dyDescent="0.25">
      <c r="D2444" s="13">
        <v>46017</v>
      </c>
      <c r="E2444">
        <v>40.619999999999997</v>
      </c>
      <c r="F2444" s="3">
        <v>66.16</v>
      </c>
      <c r="G2444" s="8">
        <f>E2444*F2444</f>
        <v>2687.4191999999998</v>
      </c>
      <c r="H2444" s="3" t="s">
        <v>34</v>
      </c>
      <c r="I2444" s="3" t="s">
        <v>102</v>
      </c>
      <c r="J2444" s="3">
        <f t="shared" si="198"/>
        <v>47602</v>
      </c>
      <c r="K2444" s="3">
        <f t="shared" si="197"/>
        <v>47627</v>
      </c>
      <c r="L2444" s="3">
        <v>25</v>
      </c>
      <c r="M2444" s="3">
        <f t="shared" si="199"/>
        <v>43.619999999999642</v>
      </c>
      <c r="N2444" s="3">
        <v>3</v>
      </c>
    </row>
    <row r="2445" spans="4:14" ht="15" customHeight="1" x14ac:dyDescent="0.25">
      <c r="D2445" s="13"/>
      <c r="H2445" s="3" t="s">
        <v>102</v>
      </c>
      <c r="I2445" s="3" t="s">
        <v>34</v>
      </c>
      <c r="J2445" s="3">
        <f t="shared" si="198"/>
        <v>47627</v>
      </c>
      <c r="K2445" s="3">
        <f t="shared" si="197"/>
        <v>47652</v>
      </c>
      <c r="L2445" s="3">
        <v>25</v>
      </c>
      <c r="M2445" s="3">
        <f t="shared" si="199"/>
        <v>40.619999999999642</v>
      </c>
      <c r="N2445" s="3">
        <v>3</v>
      </c>
    </row>
    <row r="2446" spans="4:14" ht="15" customHeight="1" x14ac:dyDescent="0.25">
      <c r="D2446" s="13">
        <v>46020</v>
      </c>
      <c r="H2446" s="3" t="s">
        <v>34</v>
      </c>
      <c r="I2446" s="3" t="s">
        <v>85</v>
      </c>
      <c r="J2446" s="3">
        <f t="shared" si="198"/>
        <v>47652</v>
      </c>
      <c r="K2446" s="3">
        <f t="shared" si="197"/>
        <v>47696</v>
      </c>
      <c r="L2446" s="3">
        <v>44</v>
      </c>
      <c r="M2446" s="3">
        <f t="shared" si="199"/>
        <v>35.619999999999642</v>
      </c>
      <c r="N2446" s="3">
        <v>5</v>
      </c>
    </row>
    <row r="2447" spans="4:14" ht="15" customHeight="1" x14ac:dyDescent="0.25">
      <c r="D2447" s="13"/>
      <c r="H2447" s="3" t="s">
        <v>85</v>
      </c>
      <c r="I2447" s="3" t="s">
        <v>34</v>
      </c>
      <c r="J2447" s="3">
        <f t="shared" si="198"/>
        <v>47696</v>
      </c>
      <c r="K2447" s="3">
        <f t="shared" si="197"/>
        <v>47740</v>
      </c>
      <c r="L2447" s="3">
        <v>44</v>
      </c>
      <c r="M2447" s="3">
        <f t="shared" si="199"/>
        <v>30.619999999999642</v>
      </c>
      <c r="N2447" s="3">
        <v>5</v>
      </c>
    </row>
    <row r="2448" spans="4:14" ht="15" customHeight="1" x14ac:dyDescent="0.25">
      <c r="D2448" s="13">
        <v>46021</v>
      </c>
      <c r="H2448" s="3" t="s">
        <v>34</v>
      </c>
      <c r="I2448" s="3" t="s">
        <v>100</v>
      </c>
      <c r="J2448" s="3">
        <f t="shared" si="198"/>
        <v>47740</v>
      </c>
      <c r="K2448" s="3">
        <f t="shared" si="197"/>
        <v>47775</v>
      </c>
      <c r="L2448" s="3">
        <v>35</v>
      </c>
      <c r="M2448" s="3">
        <f t="shared" si="199"/>
        <v>26.419999999999643</v>
      </c>
      <c r="N2448" s="3">
        <v>4.2</v>
      </c>
    </row>
    <row r="2449" spans="4:14" ht="15" customHeight="1" x14ac:dyDescent="0.25">
      <c r="D2449" s="13"/>
      <c r="H2449" s="3" t="s">
        <v>100</v>
      </c>
      <c r="I2449" s="3" t="s">
        <v>34</v>
      </c>
      <c r="J2449" s="3">
        <f t="shared" si="198"/>
        <v>47775</v>
      </c>
      <c r="K2449" s="3">
        <f t="shared" si="197"/>
        <v>47810</v>
      </c>
      <c r="L2449" s="3">
        <v>35</v>
      </c>
      <c r="M2449" s="3">
        <f t="shared" si="199"/>
        <v>22.219999999999644</v>
      </c>
      <c r="N2449" s="3">
        <v>4.2</v>
      </c>
    </row>
    <row r="2450" spans="4:14" ht="15" customHeight="1" x14ac:dyDescent="0.25">
      <c r="D2450" s="13"/>
    </row>
    <row r="2451" spans="4:14" ht="15" customHeight="1" x14ac:dyDescent="0.25">
      <c r="D2451" t="s">
        <v>104</v>
      </c>
    </row>
    <row r="2453" spans="4:14" ht="15" customHeight="1" x14ac:dyDescent="0.25">
      <c r="D2453" s="16">
        <v>46055</v>
      </c>
      <c r="E2453">
        <v>49.84</v>
      </c>
      <c r="F2453" s="3">
        <v>68.06</v>
      </c>
      <c r="G2453">
        <f>E2453*F2453</f>
        <v>3392.1104000000005</v>
      </c>
      <c r="H2453" t="s">
        <v>34</v>
      </c>
      <c r="I2453" t="s">
        <v>85</v>
      </c>
      <c r="J2453" s="3">
        <v>47810</v>
      </c>
      <c r="K2453" s="3">
        <f t="shared" ref="K2453:K2498" si="200">J2453+L2453</f>
        <v>47854</v>
      </c>
      <c r="L2453" s="3">
        <v>44</v>
      </c>
      <c r="M2453">
        <f>(E2453+22.22)-N2453</f>
        <v>67.06</v>
      </c>
      <c r="N2453" s="3">
        <v>5</v>
      </c>
    </row>
    <row r="2454" spans="4:14" ht="15" customHeight="1" x14ac:dyDescent="0.25">
      <c r="H2454" t="s">
        <v>85</v>
      </c>
      <c r="I2454" t="s">
        <v>34</v>
      </c>
      <c r="J2454" s="3">
        <f t="shared" ref="J2454:J2498" si="201">K2453</f>
        <v>47854</v>
      </c>
      <c r="K2454" s="3">
        <f t="shared" si="200"/>
        <v>47898</v>
      </c>
      <c r="L2454" s="3">
        <v>44</v>
      </c>
      <c r="M2454">
        <f t="shared" ref="M2454:M2498" si="202">(E2454+M2453)-N2454</f>
        <v>62.06</v>
      </c>
      <c r="N2454" s="3">
        <v>5</v>
      </c>
    </row>
    <row r="2455" spans="4:14" ht="15" customHeight="1" x14ac:dyDescent="0.25">
      <c r="H2455" t="s">
        <v>34</v>
      </c>
      <c r="I2455" t="s">
        <v>54</v>
      </c>
      <c r="J2455" s="3">
        <f t="shared" si="201"/>
        <v>47898</v>
      </c>
      <c r="K2455" s="3">
        <f t="shared" si="200"/>
        <v>47925</v>
      </c>
      <c r="L2455" s="3">
        <v>27</v>
      </c>
      <c r="M2455">
        <f t="shared" si="202"/>
        <v>58.86</v>
      </c>
      <c r="N2455" s="3">
        <v>3.2</v>
      </c>
    </row>
    <row r="2456" spans="4:14" ht="15" customHeight="1" x14ac:dyDescent="0.25">
      <c r="H2456" t="s">
        <v>54</v>
      </c>
      <c r="I2456" t="s">
        <v>34</v>
      </c>
      <c r="J2456" s="3">
        <f t="shared" si="201"/>
        <v>47925</v>
      </c>
      <c r="K2456" s="3">
        <f t="shared" si="200"/>
        <v>47952</v>
      </c>
      <c r="L2456" s="3">
        <v>27</v>
      </c>
      <c r="M2456">
        <f t="shared" si="202"/>
        <v>55.66</v>
      </c>
      <c r="N2456" s="3">
        <v>3.2</v>
      </c>
    </row>
    <row r="2457" spans="4:14" ht="15" customHeight="1" x14ac:dyDescent="0.25">
      <c r="H2457" t="s">
        <v>34</v>
      </c>
      <c r="I2457" t="s">
        <v>102</v>
      </c>
      <c r="J2457" s="3">
        <f t="shared" si="201"/>
        <v>47952</v>
      </c>
      <c r="K2457" s="3">
        <f t="shared" si="200"/>
        <v>47977</v>
      </c>
      <c r="L2457" s="3">
        <v>25</v>
      </c>
      <c r="M2457">
        <f t="shared" si="202"/>
        <v>52.66</v>
      </c>
      <c r="N2457" s="3">
        <v>3</v>
      </c>
    </row>
    <row r="2458" spans="4:14" ht="15" customHeight="1" x14ac:dyDescent="0.25">
      <c r="H2458" t="s">
        <v>102</v>
      </c>
      <c r="I2458" t="s">
        <v>34</v>
      </c>
      <c r="J2458" s="3">
        <f t="shared" si="201"/>
        <v>47977</v>
      </c>
      <c r="K2458" s="3">
        <f t="shared" si="200"/>
        <v>48002</v>
      </c>
      <c r="L2458" s="3">
        <v>25</v>
      </c>
      <c r="M2458">
        <f t="shared" si="202"/>
        <v>49.66</v>
      </c>
      <c r="N2458" s="3">
        <v>3</v>
      </c>
    </row>
    <row r="2459" spans="4:14" ht="15" customHeight="1" x14ac:dyDescent="0.25">
      <c r="D2459" s="16">
        <v>46056</v>
      </c>
      <c r="H2459" t="s">
        <v>34</v>
      </c>
      <c r="I2459" t="s">
        <v>54</v>
      </c>
      <c r="J2459" s="3">
        <f t="shared" si="201"/>
        <v>48002</v>
      </c>
      <c r="K2459" s="3">
        <f t="shared" si="200"/>
        <v>48029</v>
      </c>
      <c r="L2459" s="3">
        <v>27</v>
      </c>
      <c r="M2459">
        <f t="shared" si="202"/>
        <v>46.459999999999994</v>
      </c>
      <c r="N2459" s="3">
        <v>3.2</v>
      </c>
    </row>
    <row r="2460" spans="4:14" ht="15" customHeight="1" x14ac:dyDescent="0.25">
      <c r="H2460" t="s">
        <v>54</v>
      </c>
      <c r="I2460" t="s">
        <v>34</v>
      </c>
      <c r="J2460" s="3">
        <f t="shared" si="201"/>
        <v>48029</v>
      </c>
      <c r="K2460" s="3">
        <f t="shared" si="200"/>
        <v>48056</v>
      </c>
      <c r="L2460" s="3">
        <v>27</v>
      </c>
      <c r="M2460">
        <f t="shared" si="202"/>
        <v>43.259999999999991</v>
      </c>
      <c r="N2460" s="3">
        <v>3.2</v>
      </c>
    </row>
    <row r="2461" spans="4:14" ht="15" customHeight="1" x14ac:dyDescent="0.25">
      <c r="D2461" s="16">
        <v>46057</v>
      </c>
      <c r="H2461" t="s">
        <v>34</v>
      </c>
      <c r="I2461" t="s">
        <v>44</v>
      </c>
      <c r="J2461" s="3">
        <f t="shared" si="201"/>
        <v>48056</v>
      </c>
      <c r="K2461" s="3">
        <f t="shared" si="200"/>
        <v>48096</v>
      </c>
      <c r="L2461" s="3">
        <v>40</v>
      </c>
      <c r="M2461">
        <f t="shared" si="202"/>
        <v>38.459999999999994</v>
      </c>
      <c r="N2461" s="3">
        <v>4.8</v>
      </c>
    </row>
    <row r="2462" spans="4:14" ht="15" customHeight="1" x14ac:dyDescent="0.25">
      <c r="H2462" t="s">
        <v>44</v>
      </c>
      <c r="I2462" t="s">
        <v>34</v>
      </c>
      <c r="J2462" s="3">
        <f t="shared" si="201"/>
        <v>48096</v>
      </c>
      <c r="K2462" s="3">
        <f t="shared" si="200"/>
        <v>48136</v>
      </c>
      <c r="L2462" s="3">
        <v>40</v>
      </c>
      <c r="M2462">
        <f t="shared" si="202"/>
        <v>33.659999999999997</v>
      </c>
      <c r="N2462" s="3">
        <v>4.8</v>
      </c>
    </row>
    <row r="2463" spans="4:14" ht="15" customHeight="1" x14ac:dyDescent="0.25">
      <c r="D2463" s="16">
        <v>46058</v>
      </c>
      <c r="H2463" t="s">
        <v>34</v>
      </c>
      <c r="I2463" t="s">
        <v>102</v>
      </c>
      <c r="J2463" s="3">
        <f t="shared" si="201"/>
        <v>48136</v>
      </c>
      <c r="K2463" s="3">
        <f t="shared" si="200"/>
        <v>48161</v>
      </c>
      <c r="L2463" s="3">
        <v>25</v>
      </c>
      <c r="M2463">
        <f t="shared" si="202"/>
        <v>30.659999999999997</v>
      </c>
      <c r="N2463" s="3">
        <v>3</v>
      </c>
    </row>
    <row r="2464" spans="4:14" ht="15" customHeight="1" x14ac:dyDescent="0.25">
      <c r="H2464" t="s">
        <v>102</v>
      </c>
      <c r="I2464" t="s">
        <v>34</v>
      </c>
      <c r="J2464" s="3">
        <f t="shared" si="201"/>
        <v>48161</v>
      </c>
      <c r="K2464" s="3">
        <f t="shared" si="200"/>
        <v>48186</v>
      </c>
      <c r="L2464" s="3">
        <v>25</v>
      </c>
      <c r="M2464">
        <f t="shared" si="202"/>
        <v>27.659999999999997</v>
      </c>
      <c r="N2464" s="3">
        <v>3</v>
      </c>
    </row>
    <row r="2465" spans="4:14" ht="15" customHeight="1" x14ac:dyDescent="0.25">
      <c r="D2465" s="16">
        <v>46059</v>
      </c>
      <c r="H2465" t="s">
        <v>34</v>
      </c>
      <c r="I2465" t="s">
        <v>102</v>
      </c>
      <c r="J2465" s="3">
        <f t="shared" si="201"/>
        <v>48186</v>
      </c>
      <c r="K2465" s="3">
        <f t="shared" si="200"/>
        <v>48211</v>
      </c>
      <c r="L2465" s="3">
        <v>25</v>
      </c>
      <c r="M2465">
        <f t="shared" si="202"/>
        <v>24.659999999999997</v>
      </c>
      <c r="N2465" s="3">
        <v>3</v>
      </c>
    </row>
    <row r="2466" spans="4:14" ht="15" customHeight="1" x14ac:dyDescent="0.25">
      <c r="H2466" t="s">
        <v>102</v>
      </c>
      <c r="I2466" t="s">
        <v>34</v>
      </c>
      <c r="J2466" s="3">
        <f t="shared" si="201"/>
        <v>48211</v>
      </c>
      <c r="K2466" s="3">
        <f t="shared" si="200"/>
        <v>48236</v>
      </c>
      <c r="L2466" s="3">
        <v>25</v>
      </c>
      <c r="M2466">
        <f t="shared" si="202"/>
        <v>21.659999999999997</v>
      </c>
      <c r="N2466" s="3">
        <v>3</v>
      </c>
    </row>
    <row r="2467" spans="4:14" ht="15" customHeight="1" x14ac:dyDescent="0.25">
      <c r="D2467" s="16">
        <v>46062</v>
      </c>
      <c r="E2467">
        <v>45.18</v>
      </c>
      <c r="F2467" s="3">
        <v>68.06</v>
      </c>
      <c r="G2467">
        <f>E2467*F2467</f>
        <v>3074.9508000000001</v>
      </c>
      <c r="H2467" t="s">
        <v>34</v>
      </c>
      <c r="I2467" t="s">
        <v>100</v>
      </c>
      <c r="J2467" s="3">
        <f t="shared" si="201"/>
        <v>48236</v>
      </c>
      <c r="K2467" s="3">
        <f t="shared" si="200"/>
        <v>48271</v>
      </c>
      <c r="L2467" s="3">
        <v>35</v>
      </c>
      <c r="M2467">
        <f t="shared" si="202"/>
        <v>62.64</v>
      </c>
      <c r="N2467" s="3">
        <v>4.2</v>
      </c>
    </row>
    <row r="2468" spans="4:14" ht="15" customHeight="1" x14ac:dyDescent="0.25">
      <c r="H2468" t="s">
        <v>100</v>
      </c>
      <c r="I2468" t="s">
        <v>34</v>
      </c>
      <c r="J2468" s="3">
        <f t="shared" si="201"/>
        <v>48271</v>
      </c>
      <c r="K2468" s="3">
        <f t="shared" si="200"/>
        <v>48306</v>
      </c>
      <c r="L2468" s="3">
        <v>35</v>
      </c>
      <c r="M2468">
        <f t="shared" si="202"/>
        <v>58.44</v>
      </c>
      <c r="N2468" s="3">
        <v>4.2</v>
      </c>
    </row>
    <row r="2469" spans="4:14" ht="15" customHeight="1" x14ac:dyDescent="0.25">
      <c r="H2469" t="s">
        <v>34</v>
      </c>
      <c r="I2469" t="s">
        <v>85</v>
      </c>
      <c r="J2469" s="3">
        <f t="shared" si="201"/>
        <v>48306</v>
      </c>
      <c r="K2469" s="3">
        <f t="shared" si="200"/>
        <v>48350</v>
      </c>
      <c r="L2469" s="3">
        <v>44</v>
      </c>
      <c r="M2469">
        <f t="shared" si="202"/>
        <v>53.44</v>
      </c>
      <c r="N2469" s="3">
        <v>5</v>
      </c>
    </row>
    <row r="2470" spans="4:14" ht="15" customHeight="1" x14ac:dyDescent="0.25">
      <c r="H2470" t="s">
        <v>85</v>
      </c>
      <c r="I2470" t="s">
        <v>34</v>
      </c>
      <c r="J2470" s="3">
        <f t="shared" si="201"/>
        <v>48350</v>
      </c>
      <c r="K2470" s="3">
        <f t="shared" si="200"/>
        <v>48394</v>
      </c>
      <c r="L2470" s="3">
        <v>44</v>
      </c>
      <c r="M2470">
        <f t="shared" si="202"/>
        <v>48.44</v>
      </c>
      <c r="N2470" s="3">
        <v>5</v>
      </c>
    </row>
    <row r="2471" spans="4:14" ht="15" customHeight="1" x14ac:dyDescent="0.25">
      <c r="D2471" s="16">
        <v>46063</v>
      </c>
      <c r="H2471" t="s">
        <v>34</v>
      </c>
      <c r="I2471" t="s">
        <v>85</v>
      </c>
      <c r="J2471" s="3">
        <f t="shared" si="201"/>
        <v>48394</v>
      </c>
      <c r="K2471" s="3">
        <f t="shared" si="200"/>
        <v>48438</v>
      </c>
      <c r="L2471" s="3">
        <v>44</v>
      </c>
      <c r="M2471">
        <f t="shared" si="202"/>
        <v>43.44</v>
      </c>
      <c r="N2471" s="3">
        <v>5</v>
      </c>
    </row>
    <row r="2472" spans="4:14" ht="15" customHeight="1" x14ac:dyDescent="0.25">
      <c r="H2472" t="s">
        <v>85</v>
      </c>
      <c r="I2472" t="s">
        <v>34</v>
      </c>
      <c r="J2472" s="3">
        <f t="shared" si="201"/>
        <v>48438</v>
      </c>
      <c r="K2472" s="3">
        <f t="shared" si="200"/>
        <v>48482</v>
      </c>
      <c r="L2472" s="3">
        <v>44</v>
      </c>
      <c r="M2472">
        <f t="shared" si="202"/>
        <v>38.44</v>
      </c>
      <c r="N2472" s="3">
        <v>5</v>
      </c>
    </row>
    <row r="2473" spans="4:14" ht="15" customHeight="1" x14ac:dyDescent="0.25">
      <c r="D2473" s="16">
        <v>46064</v>
      </c>
      <c r="H2473" t="s">
        <v>34</v>
      </c>
      <c r="I2473" t="s">
        <v>99</v>
      </c>
      <c r="J2473" s="3">
        <f t="shared" si="201"/>
        <v>48482</v>
      </c>
      <c r="K2473" s="3">
        <f t="shared" si="200"/>
        <v>48517</v>
      </c>
      <c r="L2473" s="3">
        <v>35</v>
      </c>
      <c r="M2473">
        <f t="shared" si="202"/>
        <v>34.239999999999995</v>
      </c>
      <c r="N2473" s="3">
        <v>4.2</v>
      </c>
    </row>
    <row r="2474" spans="4:14" ht="15" customHeight="1" x14ac:dyDescent="0.25">
      <c r="H2474" t="s">
        <v>99</v>
      </c>
      <c r="I2474" t="s">
        <v>34</v>
      </c>
      <c r="J2474" s="3">
        <f t="shared" si="201"/>
        <v>48517</v>
      </c>
      <c r="K2474" s="3">
        <f t="shared" si="200"/>
        <v>48552</v>
      </c>
      <c r="L2474" s="3">
        <v>35</v>
      </c>
      <c r="M2474">
        <f t="shared" si="202"/>
        <v>30.039999999999996</v>
      </c>
      <c r="N2474" s="3">
        <v>4.2</v>
      </c>
    </row>
    <row r="2475" spans="4:14" ht="15" customHeight="1" x14ac:dyDescent="0.25">
      <c r="D2475" s="16">
        <v>46065</v>
      </c>
      <c r="H2475" t="s">
        <v>34</v>
      </c>
      <c r="I2475" t="s">
        <v>85</v>
      </c>
      <c r="J2475" s="3">
        <f t="shared" si="201"/>
        <v>48552</v>
      </c>
      <c r="K2475" s="3">
        <f t="shared" si="200"/>
        <v>48596</v>
      </c>
      <c r="L2475" s="3">
        <v>44</v>
      </c>
      <c r="M2475">
        <f t="shared" si="202"/>
        <v>25.039999999999996</v>
      </c>
      <c r="N2475" s="3">
        <v>5</v>
      </c>
    </row>
    <row r="2476" spans="4:14" ht="15" customHeight="1" x14ac:dyDescent="0.25">
      <c r="H2476" t="s">
        <v>85</v>
      </c>
      <c r="I2476" t="s">
        <v>34</v>
      </c>
      <c r="J2476" s="3">
        <f t="shared" si="201"/>
        <v>48596</v>
      </c>
      <c r="K2476" s="3">
        <f t="shared" si="200"/>
        <v>48640</v>
      </c>
      <c r="L2476" s="3">
        <v>44</v>
      </c>
      <c r="M2476">
        <f t="shared" si="202"/>
        <v>20.039999999999996</v>
      </c>
      <c r="N2476" s="3">
        <v>5</v>
      </c>
    </row>
    <row r="2477" spans="4:14" ht="15" customHeight="1" x14ac:dyDescent="0.25">
      <c r="D2477" s="16">
        <v>46066</v>
      </c>
      <c r="H2477" t="s">
        <v>34</v>
      </c>
      <c r="I2477" t="s">
        <v>43</v>
      </c>
      <c r="J2477" s="3">
        <f t="shared" si="201"/>
        <v>48640</v>
      </c>
      <c r="K2477" s="3">
        <f t="shared" si="200"/>
        <v>48652</v>
      </c>
      <c r="L2477" s="3">
        <v>12</v>
      </c>
      <c r="M2477">
        <f t="shared" si="202"/>
        <v>18.789999999999996</v>
      </c>
      <c r="N2477" s="3">
        <v>1.25</v>
      </c>
    </row>
    <row r="2478" spans="4:14" ht="15" customHeight="1" x14ac:dyDescent="0.25">
      <c r="H2478" t="s">
        <v>43</v>
      </c>
      <c r="I2478" t="s">
        <v>34</v>
      </c>
      <c r="J2478" s="3">
        <f t="shared" si="201"/>
        <v>48652</v>
      </c>
      <c r="K2478" s="3">
        <f t="shared" si="200"/>
        <v>48664</v>
      </c>
      <c r="L2478" s="3">
        <v>12</v>
      </c>
      <c r="M2478">
        <f t="shared" si="202"/>
        <v>17.539999999999996</v>
      </c>
      <c r="N2478" s="3">
        <v>1.25</v>
      </c>
    </row>
    <row r="2479" spans="4:14" ht="15" customHeight="1" x14ac:dyDescent="0.25">
      <c r="D2479" s="16">
        <v>46069</v>
      </c>
      <c r="E2479">
        <v>44.53</v>
      </c>
      <c r="F2479" s="3">
        <v>68.06</v>
      </c>
      <c r="G2479">
        <f>E2479*F2479</f>
        <v>3030.7118</v>
      </c>
      <c r="H2479" t="s">
        <v>34</v>
      </c>
      <c r="I2479" t="s">
        <v>54</v>
      </c>
      <c r="J2479" s="3">
        <f t="shared" si="201"/>
        <v>48664</v>
      </c>
      <c r="K2479" s="3">
        <f t="shared" si="200"/>
        <v>48691</v>
      </c>
      <c r="L2479" s="3">
        <v>27</v>
      </c>
      <c r="M2479">
        <f t="shared" si="202"/>
        <v>58.86999999999999</v>
      </c>
      <c r="N2479" s="3">
        <v>3.2</v>
      </c>
    </row>
    <row r="2480" spans="4:14" ht="15" customHeight="1" x14ac:dyDescent="0.25">
      <c r="H2480" t="s">
        <v>54</v>
      </c>
      <c r="I2480" t="s">
        <v>34</v>
      </c>
      <c r="J2480" s="3">
        <f t="shared" si="201"/>
        <v>48691</v>
      </c>
      <c r="K2480" s="3">
        <f t="shared" si="200"/>
        <v>48718</v>
      </c>
      <c r="L2480" s="3">
        <v>27</v>
      </c>
      <c r="M2480">
        <f t="shared" si="202"/>
        <v>55.669999999999987</v>
      </c>
      <c r="N2480" s="3">
        <v>3.2</v>
      </c>
    </row>
    <row r="2481" spans="4:14" ht="15" customHeight="1" x14ac:dyDescent="0.25">
      <c r="H2481" t="s">
        <v>34</v>
      </c>
      <c r="I2481" t="s">
        <v>102</v>
      </c>
      <c r="J2481" s="3">
        <f t="shared" si="201"/>
        <v>48718</v>
      </c>
      <c r="K2481" s="3">
        <f t="shared" si="200"/>
        <v>48743</v>
      </c>
      <c r="L2481" s="3">
        <v>25</v>
      </c>
      <c r="M2481">
        <f t="shared" si="202"/>
        <v>52.669999999999987</v>
      </c>
      <c r="N2481" s="3">
        <v>3</v>
      </c>
    </row>
    <row r="2482" spans="4:14" ht="15" customHeight="1" x14ac:dyDescent="0.25">
      <c r="H2482" t="s">
        <v>102</v>
      </c>
      <c r="I2482" t="s">
        <v>34</v>
      </c>
      <c r="J2482" s="3">
        <f t="shared" si="201"/>
        <v>48743</v>
      </c>
      <c r="K2482" s="3">
        <f t="shared" si="200"/>
        <v>48768</v>
      </c>
      <c r="L2482" s="3">
        <v>25</v>
      </c>
      <c r="M2482">
        <f t="shared" si="202"/>
        <v>49.669999999999987</v>
      </c>
      <c r="N2482" s="3">
        <v>3</v>
      </c>
    </row>
    <row r="2483" spans="4:14" ht="15" customHeight="1" x14ac:dyDescent="0.25">
      <c r="D2483" s="16">
        <v>46070</v>
      </c>
      <c r="H2483" t="s">
        <v>34</v>
      </c>
      <c r="I2483" t="s">
        <v>54</v>
      </c>
      <c r="J2483" s="3">
        <f t="shared" si="201"/>
        <v>48768</v>
      </c>
      <c r="K2483" s="3">
        <f t="shared" si="200"/>
        <v>48795</v>
      </c>
      <c r="L2483" s="3">
        <v>27</v>
      </c>
      <c r="M2483">
        <f t="shared" si="202"/>
        <v>46.469999999999985</v>
      </c>
      <c r="N2483" s="3">
        <v>3.2</v>
      </c>
    </row>
    <row r="2484" spans="4:14" ht="15" customHeight="1" x14ac:dyDescent="0.25">
      <c r="H2484" t="s">
        <v>54</v>
      </c>
      <c r="I2484" t="s">
        <v>34</v>
      </c>
      <c r="J2484" s="3">
        <f t="shared" si="201"/>
        <v>48795</v>
      </c>
      <c r="K2484" s="3">
        <f t="shared" si="200"/>
        <v>48822</v>
      </c>
      <c r="L2484" s="3">
        <v>27</v>
      </c>
      <c r="M2484">
        <f t="shared" si="202"/>
        <v>43.269999999999982</v>
      </c>
      <c r="N2484" s="3">
        <v>3.2</v>
      </c>
    </row>
    <row r="2485" spans="4:14" ht="15" customHeight="1" x14ac:dyDescent="0.25">
      <c r="D2485" s="16">
        <v>46071</v>
      </c>
      <c r="H2485" t="s">
        <v>34</v>
      </c>
      <c r="I2485" t="s">
        <v>85</v>
      </c>
      <c r="J2485" s="3">
        <f t="shared" si="201"/>
        <v>48822</v>
      </c>
      <c r="K2485" s="3">
        <f t="shared" si="200"/>
        <v>48866</v>
      </c>
      <c r="L2485" s="3">
        <v>44</v>
      </c>
      <c r="M2485">
        <f t="shared" si="202"/>
        <v>38.269999999999982</v>
      </c>
      <c r="N2485" s="3">
        <v>5</v>
      </c>
    </row>
    <row r="2486" spans="4:14" ht="15" customHeight="1" x14ac:dyDescent="0.25">
      <c r="H2486" t="s">
        <v>85</v>
      </c>
      <c r="I2486" t="s">
        <v>34</v>
      </c>
      <c r="J2486" s="3">
        <f t="shared" si="201"/>
        <v>48866</v>
      </c>
      <c r="K2486" s="3">
        <f t="shared" si="200"/>
        <v>48910</v>
      </c>
      <c r="L2486" s="3">
        <v>44</v>
      </c>
      <c r="M2486">
        <f t="shared" si="202"/>
        <v>33.269999999999982</v>
      </c>
      <c r="N2486" s="3">
        <v>5</v>
      </c>
    </row>
    <row r="2487" spans="4:14" ht="15" customHeight="1" x14ac:dyDescent="0.25">
      <c r="D2487" s="16">
        <v>46072</v>
      </c>
      <c r="H2487" t="s">
        <v>34</v>
      </c>
      <c r="I2487" t="s">
        <v>102</v>
      </c>
      <c r="J2487" s="3">
        <f t="shared" si="201"/>
        <v>48910</v>
      </c>
      <c r="K2487" s="3">
        <f t="shared" si="200"/>
        <v>48935</v>
      </c>
      <c r="L2487" s="3">
        <v>25</v>
      </c>
      <c r="M2487">
        <f t="shared" si="202"/>
        <v>30.269999999999982</v>
      </c>
      <c r="N2487" s="3">
        <v>3</v>
      </c>
    </row>
    <row r="2488" spans="4:14" ht="15" customHeight="1" x14ac:dyDescent="0.25">
      <c r="H2488" t="s">
        <v>102</v>
      </c>
      <c r="I2488" t="s">
        <v>34</v>
      </c>
      <c r="J2488" s="3">
        <f t="shared" si="201"/>
        <v>48935</v>
      </c>
      <c r="K2488" s="3">
        <f t="shared" si="200"/>
        <v>48960</v>
      </c>
      <c r="L2488" s="3">
        <v>25</v>
      </c>
      <c r="M2488">
        <f t="shared" si="202"/>
        <v>27.269999999999982</v>
      </c>
      <c r="N2488" s="3">
        <v>3</v>
      </c>
    </row>
    <row r="2489" spans="4:14" ht="15" customHeight="1" x14ac:dyDescent="0.25">
      <c r="D2489" s="16">
        <v>46073</v>
      </c>
      <c r="H2489" t="s">
        <v>34</v>
      </c>
      <c r="I2489" t="s">
        <v>102</v>
      </c>
      <c r="J2489" s="3">
        <f t="shared" si="201"/>
        <v>48960</v>
      </c>
      <c r="K2489" s="3">
        <f t="shared" si="200"/>
        <v>48985</v>
      </c>
      <c r="L2489" s="3">
        <v>25</v>
      </c>
      <c r="M2489">
        <f t="shared" si="202"/>
        <v>24.269999999999982</v>
      </c>
      <c r="N2489" s="3">
        <v>3</v>
      </c>
    </row>
    <row r="2490" spans="4:14" ht="15" customHeight="1" x14ac:dyDescent="0.25">
      <c r="H2490" t="s">
        <v>102</v>
      </c>
      <c r="I2490" t="s">
        <v>34</v>
      </c>
      <c r="J2490" s="3">
        <f t="shared" si="201"/>
        <v>48985</v>
      </c>
      <c r="K2490" s="3">
        <f t="shared" si="200"/>
        <v>49010</v>
      </c>
      <c r="L2490" s="3">
        <v>25</v>
      </c>
      <c r="M2490">
        <f t="shared" si="202"/>
        <v>21.269999999999982</v>
      </c>
      <c r="N2490" s="3">
        <v>3</v>
      </c>
    </row>
    <row r="2491" spans="4:14" ht="15" customHeight="1" x14ac:dyDescent="0.25">
      <c r="D2491" s="16">
        <v>46077</v>
      </c>
      <c r="H2491" t="s">
        <v>34</v>
      </c>
      <c r="I2491" t="s">
        <v>99</v>
      </c>
      <c r="J2491" s="3">
        <f t="shared" si="201"/>
        <v>49010</v>
      </c>
      <c r="K2491" s="3">
        <f t="shared" si="200"/>
        <v>49045</v>
      </c>
      <c r="L2491" s="3">
        <v>35</v>
      </c>
      <c r="M2491">
        <f t="shared" si="202"/>
        <v>17.069999999999983</v>
      </c>
      <c r="N2491" s="3">
        <v>4.2</v>
      </c>
    </row>
    <row r="2492" spans="4:14" ht="15" customHeight="1" x14ac:dyDescent="0.25">
      <c r="H2492" t="s">
        <v>99</v>
      </c>
      <c r="I2492" t="s">
        <v>34</v>
      </c>
      <c r="J2492" s="3">
        <f t="shared" si="201"/>
        <v>49045</v>
      </c>
      <c r="K2492" s="3">
        <f t="shared" si="200"/>
        <v>49080</v>
      </c>
      <c r="L2492" s="3">
        <v>35</v>
      </c>
      <c r="M2492">
        <f t="shared" si="202"/>
        <v>12.869999999999983</v>
      </c>
      <c r="N2492" s="3">
        <v>4.2</v>
      </c>
    </row>
    <row r="2493" spans="4:14" ht="15" customHeight="1" x14ac:dyDescent="0.25">
      <c r="D2493" s="16">
        <v>46078</v>
      </c>
      <c r="H2493" t="s">
        <v>34</v>
      </c>
      <c r="I2493" t="s">
        <v>35</v>
      </c>
      <c r="J2493" s="3">
        <f t="shared" si="201"/>
        <v>49080</v>
      </c>
      <c r="K2493" s="3">
        <f t="shared" si="200"/>
        <v>49092</v>
      </c>
      <c r="L2493" s="3">
        <v>12</v>
      </c>
      <c r="M2493">
        <f t="shared" si="202"/>
        <v>11.619999999999983</v>
      </c>
      <c r="N2493" s="3">
        <v>1.25</v>
      </c>
    </row>
    <row r="2494" spans="4:14" ht="15" customHeight="1" x14ac:dyDescent="0.25">
      <c r="H2494" t="s">
        <v>35</v>
      </c>
      <c r="I2494" t="s">
        <v>34</v>
      </c>
      <c r="J2494" s="3">
        <f t="shared" si="201"/>
        <v>49092</v>
      </c>
      <c r="K2494" s="3">
        <f t="shared" si="200"/>
        <v>49104</v>
      </c>
      <c r="L2494" s="3">
        <v>12</v>
      </c>
      <c r="M2494">
        <f t="shared" si="202"/>
        <v>10.369999999999983</v>
      </c>
      <c r="N2494" s="3">
        <v>1.25</v>
      </c>
    </row>
    <row r="2495" spans="4:14" ht="15" customHeight="1" x14ac:dyDescent="0.25">
      <c r="D2495" s="16">
        <v>46079</v>
      </c>
      <c r="H2495" t="s">
        <v>34</v>
      </c>
      <c r="I2495" t="s">
        <v>43</v>
      </c>
      <c r="J2495" s="3">
        <f t="shared" si="201"/>
        <v>49104</v>
      </c>
      <c r="K2495" s="3">
        <f t="shared" si="200"/>
        <v>49116</v>
      </c>
      <c r="L2495" s="3">
        <v>12</v>
      </c>
      <c r="M2495">
        <f t="shared" si="202"/>
        <v>9.1199999999999832</v>
      </c>
      <c r="N2495" s="3">
        <v>1.25</v>
      </c>
    </row>
    <row r="2496" spans="4:14" ht="15" customHeight="1" x14ac:dyDescent="0.25">
      <c r="H2496" t="s">
        <v>43</v>
      </c>
      <c r="I2496" t="s">
        <v>34</v>
      </c>
      <c r="J2496" s="3">
        <f t="shared" si="201"/>
        <v>49116</v>
      </c>
      <c r="K2496" s="3">
        <f t="shared" si="200"/>
        <v>49128</v>
      </c>
      <c r="L2496" s="3">
        <v>12</v>
      </c>
      <c r="M2496">
        <f t="shared" si="202"/>
        <v>7.8699999999999832</v>
      </c>
      <c r="N2496" s="3">
        <v>1.25</v>
      </c>
    </row>
    <row r="2497" spans="4:14" ht="15" customHeight="1" x14ac:dyDescent="0.25">
      <c r="D2497" s="16">
        <v>46080</v>
      </c>
      <c r="H2497" t="s">
        <v>34</v>
      </c>
      <c r="I2497" t="s">
        <v>35</v>
      </c>
      <c r="J2497" s="3">
        <f t="shared" si="201"/>
        <v>49128</v>
      </c>
      <c r="K2497" s="3">
        <f t="shared" si="200"/>
        <v>49140</v>
      </c>
      <c r="L2497" s="3">
        <v>12</v>
      </c>
      <c r="M2497">
        <f t="shared" si="202"/>
        <v>6.6199999999999832</v>
      </c>
      <c r="N2497" s="3">
        <v>1.25</v>
      </c>
    </row>
    <row r="2498" spans="4:14" ht="15" customHeight="1" x14ac:dyDescent="0.25">
      <c r="H2498" t="s">
        <v>35</v>
      </c>
      <c r="I2498" t="s">
        <v>34</v>
      </c>
      <c r="J2498" s="3">
        <f t="shared" si="201"/>
        <v>49140</v>
      </c>
      <c r="K2498" s="3">
        <f t="shared" si="200"/>
        <v>49152</v>
      </c>
      <c r="L2498" s="3">
        <v>12</v>
      </c>
      <c r="M2498">
        <f t="shared" si="202"/>
        <v>5.3699999999999832</v>
      </c>
      <c r="N2498" s="3">
        <v>1.25</v>
      </c>
    </row>
    <row r="2499" spans="4:14" ht="15" customHeight="1" x14ac:dyDescent="0.25">
      <c r="D2499" t="s">
        <v>17</v>
      </c>
      <c r="L2499" s="3">
        <f>SUM(L2453:L2498)</f>
        <v>1342</v>
      </c>
    </row>
    <row r="2501" spans="4:14" x14ac:dyDescent="0.25">
      <c r="D2501" s="17" t="s">
        <v>105</v>
      </c>
    </row>
    <row r="2503" spans="4:14" x14ac:dyDescent="0.25">
      <c r="D2503" s="16">
        <v>46083</v>
      </c>
      <c r="E2503">
        <v>47.55</v>
      </c>
      <c r="F2503" s="3">
        <v>68.77</v>
      </c>
      <c r="G2503">
        <f>E2503*F2503</f>
        <v>3270.0134999999996</v>
      </c>
      <c r="H2503" t="s">
        <v>34</v>
      </c>
      <c r="I2503" t="s">
        <v>44</v>
      </c>
      <c r="J2503" s="3">
        <f>K2498</f>
        <v>49152</v>
      </c>
      <c r="K2503" s="3">
        <f t="shared" ref="K2503:K2544" si="203">J2503+L2503</f>
        <v>49192</v>
      </c>
      <c r="L2503" s="3">
        <v>40</v>
      </c>
      <c r="M2503">
        <f>(E2503+M2498)-N2503</f>
        <v>48.119999999999983</v>
      </c>
      <c r="N2503" s="3">
        <v>4.8</v>
      </c>
    </row>
    <row r="2504" spans="4:14" x14ac:dyDescent="0.25">
      <c r="H2504" t="s">
        <v>44</v>
      </c>
      <c r="I2504" t="s">
        <v>34</v>
      </c>
      <c r="J2504" s="3">
        <f t="shared" ref="J2504:J2544" si="204">K2503</f>
        <v>49192</v>
      </c>
      <c r="K2504" s="3">
        <f t="shared" si="203"/>
        <v>49232</v>
      </c>
      <c r="L2504" s="3">
        <v>40</v>
      </c>
      <c r="M2504">
        <f t="shared" ref="M2504:M2544" si="205">(E2504+M2503)-N2504</f>
        <v>43.319999999999986</v>
      </c>
      <c r="N2504" s="3">
        <v>4.8</v>
      </c>
    </row>
    <row r="2505" spans="4:14" x14ac:dyDescent="0.25">
      <c r="D2505" s="16">
        <v>46084</v>
      </c>
      <c r="H2505" t="s">
        <v>34</v>
      </c>
      <c r="I2505" t="s">
        <v>35</v>
      </c>
      <c r="J2505" s="3">
        <f t="shared" si="204"/>
        <v>49232</v>
      </c>
      <c r="K2505" s="3">
        <f t="shared" si="203"/>
        <v>49244</v>
      </c>
      <c r="L2505" s="3">
        <v>12</v>
      </c>
      <c r="M2505">
        <f t="shared" si="205"/>
        <v>42.069999999999986</v>
      </c>
      <c r="N2505" s="3">
        <v>1.25</v>
      </c>
    </row>
    <row r="2506" spans="4:14" x14ac:dyDescent="0.25">
      <c r="H2506" t="s">
        <v>35</v>
      </c>
      <c r="I2506" t="s">
        <v>34</v>
      </c>
      <c r="J2506" s="3">
        <f t="shared" si="204"/>
        <v>49244</v>
      </c>
      <c r="K2506" s="3">
        <f t="shared" si="203"/>
        <v>49256</v>
      </c>
      <c r="L2506" s="3">
        <v>12</v>
      </c>
      <c r="M2506">
        <f t="shared" si="205"/>
        <v>40.819999999999986</v>
      </c>
      <c r="N2506" s="3">
        <v>1.25</v>
      </c>
    </row>
    <row r="2507" spans="4:14" x14ac:dyDescent="0.25">
      <c r="D2507" s="16">
        <v>46085</v>
      </c>
      <c r="H2507" t="s">
        <v>34</v>
      </c>
      <c r="I2507" t="s">
        <v>43</v>
      </c>
      <c r="J2507" s="3">
        <f t="shared" si="204"/>
        <v>49256</v>
      </c>
      <c r="K2507" s="3">
        <f t="shared" si="203"/>
        <v>49268</v>
      </c>
      <c r="L2507" s="3">
        <v>12</v>
      </c>
      <c r="M2507">
        <f t="shared" si="205"/>
        <v>39.569999999999986</v>
      </c>
      <c r="N2507" s="3">
        <v>1.25</v>
      </c>
    </row>
    <row r="2508" spans="4:14" x14ac:dyDescent="0.25">
      <c r="H2508" t="s">
        <v>43</v>
      </c>
      <c r="I2508" t="s">
        <v>34</v>
      </c>
      <c r="J2508" s="3">
        <f t="shared" si="204"/>
        <v>49268</v>
      </c>
      <c r="K2508" s="3">
        <f t="shared" si="203"/>
        <v>49280</v>
      </c>
      <c r="L2508" s="3">
        <v>12</v>
      </c>
      <c r="M2508">
        <f t="shared" si="205"/>
        <v>38.319999999999986</v>
      </c>
      <c r="N2508" s="3">
        <v>1.25</v>
      </c>
    </row>
    <row r="2509" spans="4:14" x14ac:dyDescent="0.25">
      <c r="D2509" s="16">
        <v>46086</v>
      </c>
      <c r="H2509" t="s">
        <v>34</v>
      </c>
      <c r="I2509" t="s">
        <v>35</v>
      </c>
      <c r="J2509" s="3">
        <f t="shared" si="204"/>
        <v>49280</v>
      </c>
      <c r="K2509" s="3">
        <f t="shared" si="203"/>
        <v>49292</v>
      </c>
      <c r="L2509" s="3">
        <v>12</v>
      </c>
      <c r="M2509">
        <f t="shared" si="205"/>
        <v>37.069999999999986</v>
      </c>
      <c r="N2509" s="3">
        <v>1.25</v>
      </c>
    </row>
    <row r="2510" spans="4:14" x14ac:dyDescent="0.25">
      <c r="H2510" t="s">
        <v>35</v>
      </c>
      <c r="I2510" t="s">
        <v>34</v>
      </c>
      <c r="J2510" s="3">
        <f t="shared" si="204"/>
        <v>49292</v>
      </c>
      <c r="K2510" s="3">
        <f t="shared" si="203"/>
        <v>49304</v>
      </c>
      <c r="L2510" s="3">
        <v>12</v>
      </c>
      <c r="M2510">
        <f t="shared" si="205"/>
        <v>35.819999999999986</v>
      </c>
      <c r="N2510" s="3">
        <v>1.25</v>
      </c>
    </row>
    <row r="2511" spans="4:14" x14ac:dyDescent="0.25">
      <c r="D2511" s="16">
        <v>46087</v>
      </c>
      <c r="H2511" t="s">
        <v>34</v>
      </c>
      <c r="I2511" t="s">
        <v>43</v>
      </c>
      <c r="J2511" s="3">
        <f t="shared" si="204"/>
        <v>49304</v>
      </c>
      <c r="K2511" s="3">
        <f t="shared" si="203"/>
        <v>49316</v>
      </c>
      <c r="L2511" s="3">
        <v>12</v>
      </c>
      <c r="M2511">
        <f t="shared" si="205"/>
        <v>34.569999999999986</v>
      </c>
      <c r="N2511" s="3">
        <v>1.25</v>
      </c>
    </row>
    <row r="2512" spans="4:14" x14ac:dyDescent="0.25">
      <c r="H2512" t="s">
        <v>43</v>
      </c>
      <c r="I2512" t="s">
        <v>34</v>
      </c>
      <c r="J2512" s="3">
        <f t="shared" si="204"/>
        <v>49316</v>
      </c>
      <c r="K2512" s="3">
        <f t="shared" si="203"/>
        <v>49328</v>
      </c>
      <c r="L2512" s="3">
        <v>12</v>
      </c>
      <c r="M2512">
        <f t="shared" si="205"/>
        <v>33.319999999999986</v>
      </c>
      <c r="N2512" s="3">
        <v>1.25</v>
      </c>
    </row>
    <row r="2513" spans="4:14" x14ac:dyDescent="0.25">
      <c r="D2513" s="16">
        <v>46091</v>
      </c>
      <c r="H2513" t="s">
        <v>34</v>
      </c>
      <c r="I2513" t="s">
        <v>35</v>
      </c>
      <c r="J2513" s="3">
        <f t="shared" si="204"/>
        <v>49328</v>
      </c>
      <c r="K2513" s="3">
        <f t="shared" si="203"/>
        <v>49340</v>
      </c>
      <c r="L2513" s="3">
        <v>12</v>
      </c>
      <c r="M2513">
        <f t="shared" si="205"/>
        <v>32.069999999999986</v>
      </c>
      <c r="N2513" s="3">
        <v>1.25</v>
      </c>
    </row>
    <row r="2514" spans="4:14" x14ac:dyDescent="0.25">
      <c r="H2514" t="s">
        <v>35</v>
      </c>
      <c r="I2514" t="s">
        <v>34</v>
      </c>
      <c r="J2514" s="3">
        <f t="shared" si="204"/>
        <v>49340</v>
      </c>
      <c r="K2514" s="3">
        <f t="shared" si="203"/>
        <v>49352</v>
      </c>
      <c r="L2514" s="3">
        <v>12</v>
      </c>
      <c r="M2514">
        <f t="shared" si="205"/>
        <v>30.819999999999986</v>
      </c>
      <c r="N2514" s="3">
        <v>1.25</v>
      </c>
    </row>
    <row r="2515" spans="4:14" x14ac:dyDescent="0.25">
      <c r="D2515" s="16">
        <v>46092</v>
      </c>
      <c r="H2515" t="s">
        <v>34</v>
      </c>
      <c r="I2515" t="s">
        <v>43</v>
      </c>
      <c r="J2515" s="3">
        <f t="shared" si="204"/>
        <v>49352</v>
      </c>
      <c r="K2515" s="3">
        <f t="shared" si="203"/>
        <v>49364</v>
      </c>
      <c r="L2515" s="3">
        <v>12</v>
      </c>
      <c r="M2515">
        <f t="shared" si="205"/>
        <v>29.569999999999986</v>
      </c>
      <c r="N2515" s="3">
        <v>1.25</v>
      </c>
    </row>
    <row r="2516" spans="4:14" x14ac:dyDescent="0.25">
      <c r="H2516" t="s">
        <v>43</v>
      </c>
      <c r="I2516" t="s">
        <v>34</v>
      </c>
      <c r="J2516" s="3">
        <f t="shared" si="204"/>
        <v>49364</v>
      </c>
      <c r="K2516" s="3">
        <f t="shared" si="203"/>
        <v>49376</v>
      </c>
      <c r="L2516" s="3">
        <v>12</v>
      </c>
      <c r="M2516">
        <f t="shared" si="205"/>
        <v>28.319999999999986</v>
      </c>
      <c r="N2516" s="3">
        <v>1.25</v>
      </c>
    </row>
    <row r="2517" spans="4:14" x14ac:dyDescent="0.25">
      <c r="D2517" s="16">
        <v>46093</v>
      </c>
      <c r="H2517" t="s">
        <v>34</v>
      </c>
      <c r="I2517" t="s">
        <v>35</v>
      </c>
      <c r="J2517" s="3">
        <f t="shared" si="204"/>
        <v>49376</v>
      </c>
      <c r="K2517" s="3">
        <f t="shared" si="203"/>
        <v>49388</v>
      </c>
      <c r="L2517" s="3">
        <v>12</v>
      </c>
      <c r="M2517">
        <f t="shared" si="205"/>
        <v>27.069999999999986</v>
      </c>
      <c r="N2517" s="3">
        <v>1.25</v>
      </c>
    </row>
    <row r="2518" spans="4:14" x14ac:dyDescent="0.25">
      <c r="H2518" t="s">
        <v>35</v>
      </c>
      <c r="I2518" t="s">
        <v>34</v>
      </c>
      <c r="J2518" s="3">
        <f t="shared" si="204"/>
        <v>49388</v>
      </c>
      <c r="K2518" s="3">
        <f t="shared" si="203"/>
        <v>49400</v>
      </c>
      <c r="L2518" s="3">
        <v>12</v>
      </c>
      <c r="M2518">
        <f t="shared" si="205"/>
        <v>25.819999999999986</v>
      </c>
      <c r="N2518" s="3">
        <v>1.25</v>
      </c>
    </row>
    <row r="2519" spans="4:14" x14ac:dyDescent="0.25">
      <c r="D2519" s="16">
        <v>46094</v>
      </c>
      <c r="H2519" t="s">
        <v>34</v>
      </c>
      <c r="I2519" t="s">
        <v>43</v>
      </c>
      <c r="J2519" s="3">
        <f t="shared" si="204"/>
        <v>49400</v>
      </c>
      <c r="K2519" s="3">
        <f t="shared" si="203"/>
        <v>49412</v>
      </c>
      <c r="L2519" s="3">
        <v>12</v>
      </c>
      <c r="M2519">
        <f t="shared" si="205"/>
        <v>24.569999999999986</v>
      </c>
      <c r="N2519" s="3">
        <v>1.25</v>
      </c>
    </row>
    <row r="2520" spans="4:14" x14ac:dyDescent="0.25">
      <c r="H2520" t="s">
        <v>43</v>
      </c>
      <c r="I2520" t="s">
        <v>34</v>
      </c>
      <c r="J2520" s="3">
        <f t="shared" si="204"/>
        <v>49412</v>
      </c>
      <c r="K2520" s="3">
        <f t="shared" si="203"/>
        <v>49424</v>
      </c>
      <c r="L2520" s="3">
        <v>12</v>
      </c>
      <c r="M2520">
        <f t="shared" si="205"/>
        <v>23.319999999999986</v>
      </c>
      <c r="N2520" s="3">
        <v>1.25</v>
      </c>
    </row>
    <row r="2521" spans="4:14" x14ac:dyDescent="0.25">
      <c r="D2521" s="16">
        <v>46097</v>
      </c>
      <c r="H2521" t="s">
        <v>34</v>
      </c>
      <c r="I2521" t="s">
        <v>35</v>
      </c>
      <c r="J2521" s="3">
        <f t="shared" si="204"/>
        <v>49424</v>
      </c>
      <c r="K2521" s="3">
        <f t="shared" si="203"/>
        <v>49436</v>
      </c>
      <c r="L2521" s="3">
        <v>12</v>
      </c>
      <c r="M2521">
        <f t="shared" si="205"/>
        <v>22.069999999999986</v>
      </c>
      <c r="N2521" s="3">
        <v>1.25</v>
      </c>
    </row>
    <row r="2522" spans="4:14" x14ac:dyDescent="0.25">
      <c r="H2522" t="s">
        <v>35</v>
      </c>
      <c r="I2522" t="s">
        <v>34</v>
      </c>
      <c r="J2522" s="3">
        <f t="shared" si="204"/>
        <v>49436</v>
      </c>
      <c r="K2522" s="3">
        <f t="shared" si="203"/>
        <v>49448</v>
      </c>
      <c r="L2522" s="3">
        <v>12</v>
      </c>
      <c r="M2522">
        <f t="shared" si="205"/>
        <v>20.819999999999986</v>
      </c>
      <c r="N2522" s="3">
        <v>1.25</v>
      </c>
    </row>
    <row r="2523" spans="4:14" x14ac:dyDescent="0.25">
      <c r="D2523" s="16">
        <v>46098</v>
      </c>
      <c r="H2523" t="s">
        <v>34</v>
      </c>
      <c r="I2523" t="s">
        <v>43</v>
      </c>
      <c r="J2523" s="3">
        <f t="shared" si="204"/>
        <v>49448</v>
      </c>
      <c r="K2523" s="3">
        <f t="shared" si="203"/>
        <v>49460</v>
      </c>
      <c r="L2523" s="3">
        <v>12</v>
      </c>
      <c r="M2523">
        <f t="shared" si="205"/>
        <v>19.569999999999986</v>
      </c>
      <c r="N2523" s="3">
        <v>1.25</v>
      </c>
    </row>
    <row r="2524" spans="4:14" x14ac:dyDescent="0.25">
      <c r="H2524" t="s">
        <v>43</v>
      </c>
      <c r="I2524" t="s">
        <v>34</v>
      </c>
      <c r="J2524" s="3">
        <f t="shared" si="204"/>
        <v>49460</v>
      </c>
      <c r="K2524" s="3">
        <f t="shared" si="203"/>
        <v>49472</v>
      </c>
      <c r="L2524" s="3">
        <v>12</v>
      </c>
      <c r="M2524">
        <f t="shared" si="205"/>
        <v>18.319999999999986</v>
      </c>
      <c r="N2524" s="3">
        <v>1.25</v>
      </c>
    </row>
    <row r="2525" spans="4:14" x14ac:dyDescent="0.25">
      <c r="D2525" s="16">
        <v>46099</v>
      </c>
      <c r="H2525" t="s">
        <v>34</v>
      </c>
      <c r="I2525" t="s">
        <v>35</v>
      </c>
      <c r="J2525" s="3">
        <f t="shared" si="204"/>
        <v>49472</v>
      </c>
      <c r="K2525" s="3">
        <f t="shared" si="203"/>
        <v>49484</v>
      </c>
      <c r="L2525" s="3">
        <v>12</v>
      </c>
      <c r="M2525">
        <f t="shared" si="205"/>
        <v>17.069999999999986</v>
      </c>
      <c r="N2525" s="3">
        <v>1.25</v>
      </c>
    </row>
    <row r="2526" spans="4:14" x14ac:dyDescent="0.25">
      <c r="H2526" t="s">
        <v>35</v>
      </c>
      <c r="I2526" t="s">
        <v>34</v>
      </c>
      <c r="J2526" s="3">
        <f t="shared" si="204"/>
        <v>49484</v>
      </c>
      <c r="K2526" s="3">
        <f t="shared" si="203"/>
        <v>49496</v>
      </c>
      <c r="L2526" s="3">
        <v>12</v>
      </c>
      <c r="M2526">
        <f t="shared" si="205"/>
        <v>15.819999999999986</v>
      </c>
      <c r="N2526" s="3">
        <v>1.25</v>
      </c>
    </row>
    <row r="2527" spans="4:14" x14ac:dyDescent="0.25">
      <c r="D2527" s="16">
        <v>46100</v>
      </c>
      <c r="H2527" t="s">
        <v>34</v>
      </c>
      <c r="I2527" t="s">
        <v>43</v>
      </c>
      <c r="J2527" s="3">
        <f t="shared" si="204"/>
        <v>49496</v>
      </c>
      <c r="K2527" s="3">
        <f t="shared" si="203"/>
        <v>49508</v>
      </c>
      <c r="L2527" s="3">
        <v>12</v>
      </c>
      <c r="M2527">
        <f t="shared" si="205"/>
        <v>14.569999999999986</v>
      </c>
      <c r="N2527" s="3">
        <v>1.25</v>
      </c>
    </row>
    <row r="2528" spans="4:14" x14ac:dyDescent="0.25">
      <c r="H2528" t="s">
        <v>43</v>
      </c>
      <c r="I2528" t="s">
        <v>34</v>
      </c>
      <c r="J2528" s="3">
        <f t="shared" si="204"/>
        <v>49508</v>
      </c>
      <c r="K2528" s="3">
        <f t="shared" si="203"/>
        <v>49520</v>
      </c>
      <c r="L2528" s="3">
        <v>12</v>
      </c>
      <c r="M2528">
        <f t="shared" si="205"/>
        <v>13.319999999999986</v>
      </c>
      <c r="N2528" s="3">
        <v>1.25</v>
      </c>
    </row>
    <row r="2529" spans="4:14" x14ac:dyDescent="0.25">
      <c r="D2529" s="16">
        <v>46101</v>
      </c>
      <c r="H2529" t="s">
        <v>34</v>
      </c>
      <c r="I2529" t="s">
        <v>35</v>
      </c>
      <c r="J2529" s="3">
        <f t="shared" si="204"/>
        <v>49520</v>
      </c>
      <c r="K2529" s="3">
        <f t="shared" si="203"/>
        <v>49532</v>
      </c>
      <c r="L2529" s="3">
        <v>12</v>
      </c>
      <c r="M2529">
        <f t="shared" si="205"/>
        <v>12.069999999999986</v>
      </c>
      <c r="N2529" s="3">
        <v>1.25</v>
      </c>
    </row>
    <row r="2530" spans="4:14" x14ac:dyDescent="0.25">
      <c r="H2530" t="s">
        <v>35</v>
      </c>
      <c r="I2530" t="s">
        <v>34</v>
      </c>
      <c r="J2530" s="3">
        <f t="shared" si="204"/>
        <v>49532</v>
      </c>
      <c r="K2530" s="3">
        <f t="shared" si="203"/>
        <v>49544</v>
      </c>
      <c r="L2530" s="3">
        <v>12</v>
      </c>
      <c r="M2530">
        <f t="shared" si="205"/>
        <v>10.819999999999986</v>
      </c>
      <c r="N2530" s="3">
        <v>1.25</v>
      </c>
    </row>
    <row r="2531" spans="4:14" x14ac:dyDescent="0.25">
      <c r="D2531" s="16">
        <v>46104</v>
      </c>
      <c r="H2531" t="s">
        <v>34</v>
      </c>
      <c r="I2531" t="s">
        <v>43</v>
      </c>
      <c r="J2531" s="3">
        <f t="shared" si="204"/>
        <v>49544</v>
      </c>
      <c r="K2531" s="3">
        <f t="shared" si="203"/>
        <v>49556</v>
      </c>
      <c r="L2531" s="3">
        <v>12</v>
      </c>
      <c r="M2531">
        <f t="shared" si="205"/>
        <v>9.5699999999999861</v>
      </c>
      <c r="N2531" s="3">
        <v>1.25</v>
      </c>
    </row>
    <row r="2532" spans="4:14" x14ac:dyDescent="0.25">
      <c r="H2532" t="s">
        <v>43</v>
      </c>
      <c r="I2532" t="s">
        <v>34</v>
      </c>
      <c r="J2532" s="3">
        <f t="shared" si="204"/>
        <v>49556</v>
      </c>
      <c r="K2532" s="3">
        <f t="shared" si="203"/>
        <v>49568</v>
      </c>
      <c r="L2532" s="3">
        <v>12</v>
      </c>
      <c r="M2532">
        <f t="shared" si="205"/>
        <v>8.3199999999999861</v>
      </c>
      <c r="N2532" s="3">
        <v>1.25</v>
      </c>
    </row>
    <row r="2533" spans="4:14" x14ac:dyDescent="0.25">
      <c r="D2533" s="16">
        <v>46105</v>
      </c>
      <c r="H2533" t="s">
        <v>34</v>
      </c>
      <c r="I2533" t="s">
        <v>35</v>
      </c>
      <c r="J2533" s="3">
        <f t="shared" si="204"/>
        <v>49568</v>
      </c>
      <c r="K2533" s="3">
        <f t="shared" si="203"/>
        <v>49580</v>
      </c>
      <c r="L2533" s="3">
        <v>12</v>
      </c>
      <c r="M2533">
        <f t="shared" si="205"/>
        <v>7.0699999999999861</v>
      </c>
      <c r="N2533" s="3">
        <v>1.25</v>
      </c>
    </row>
    <row r="2534" spans="4:14" x14ac:dyDescent="0.25">
      <c r="H2534" t="s">
        <v>35</v>
      </c>
      <c r="I2534" t="s">
        <v>34</v>
      </c>
      <c r="J2534" s="3">
        <f t="shared" si="204"/>
        <v>49580</v>
      </c>
      <c r="K2534" s="3">
        <f t="shared" si="203"/>
        <v>49592</v>
      </c>
      <c r="L2534" s="3">
        <v>12</v>
      </c>
      <c r="M2534">
        <f t="shared" si="205"/>
        <v>5.8199999999999861</v>
      </c>
      <c r="N2534" s="3">
        <v>1.25</v>
      </c>
    </row>
    <row r="2535" spans="4:14" x14ac:dyDescent="0.25">
      <c r="D2535" s="16">
        <v>46106</v>
      </c>
      <c r="H2535" t="s">
        <v>34</v>
      </c>
      <c r="I2535" t="s">
        <v>43</v>
      </c>
      <c r="J2535" s="3">
        <f t="shared" si="204"/>
        <v>49592</v>
      </c>
      <c r="K2535" s="3">
        <f t="shared" si="203"/>
        <v>49604</v>
      </c>
      <c r="L2535" s="3">
        <v>12</v>
      </c>
      <c r="M2535">
        <f t="shared" si="205"/>
        <v>4.5699999999999861</v>
      </c>
      <c r="N2535" s="3">
        <v>1.25</v>
      </c>
    </row>
    <row r="2536" spans="4:14" x14ac:dyDescent="0.25">
      <c r="H2536" t="s">
        <v>43</v>
      </c>
      <c r="I2536" t="s">
        <v>34</v>
      </c>
      <c r="J2536" s="3">
        <f t="shared" si="204"/>
        <v>49604</v>
      </c>
      <c r="K2536" s="3">
        <f t="shared" si="203"/>
        <v>49616</v>
      </c>
      <c r="L2536" s="3">
        <v>12</v>
      </c>
      <c r="M2536">
        <f t="shared" si="205"/>
        <v>3.3199999999999861</v>
      </c>
      <c r="N2536" s="3">
        <v>1.25</v>
      </c>
    </row>
    <row r="2537" spans="4:14" x14ac:dyDescent="0.25">
      <c r="D2537" s="16">
        <v>46107</v>
      </c>
      <c r="E2537">
        <v>14.7</v>
      </c>
      <c r="F2537" s="3">
        <v>69.37</v>
      </c>
      <c r="G2537">
        <f>E2537*F2537</f>
        <v>1019.739</v>
      </c>
      <c r="H2537" t="s">
        <v>34</v>
      </c>
      <c r="I2537" t="s">
        <v>54</v>
      </c>
      <c r="J2537" s="3">
        <f t="shared" si="204"/>
        <v>49616</v>
      </c>
      <c r="K2537" s="3">
        <f t="shared" si="203"/>
        <v>49643</v>
      </c>
      <c r="L2537" s="3">
        <v>27</v>
      </c>
      <c r="M2537">
        <f t="shared" si="205"/>
        <v>14.819999999999986</v>
      </c>
      <c r="N2537" s="3">
        <v>3.2</v>
      </c>
    </row>
    <row r="2538" spans="4:14" x14ac:dyDescent="0.25">
      <c r="H2538" t="s">
        <v>54</v>
      </c>
      <c r="I2538" t="s">
        <v>34</v>
      </c>
      <c r="J2538" s="3">
        <f t="shared" si="204"/>
        <v>49643</v>
      </c>
      <c r="K2538" s="3">
        <f t="shared" si="203"/>
        <v>49670</v>
      </c>
      <c r="L2538" s="3">
        <v>27</v>
      </c>
      <c r="M2538">
        <f t="shared" si="205"/>
        <v>11.619999999999987</v>
      </c>
      <c r="N2538" s="3">
        <v>3.2</v>
      </c>
    </row>
    <row r="2539" spans="4:14" x14ac:dyDescent="0.25">
      <c r="D2539" s="16">
        <v>46108</v>
      </c>
      <c r="H2539" t="s">
        <v>34</v>
      </c>
      <c r="I2539" t="s">
        <v>99</v>
      </c>
      <c r="J2539" s="3">
        <f t="shared" si="204"/>
        <v>49670</v>
      </c>
      <c r="K2539" s="3">
        <f t="shared" si="203"/>
        <v>49705</v>
      </c>
      <c r="L2539" s="3">
        <v>35</v>
      </c>
      <c r="M2539">
        <f t="shared" si="205"/>
        <v>7.4199999999999866</v>
      </c>
      <c r="N2539" s="3">
        <v>4.2</v>
      </c>
    </row>
    <row r="2540" spans="4:14" x14ac:dyDescent="0.25">
      <c r="H2540" t="s">
        <v>99</v>
      </c>
      <c r="I2540" t="s">
        <v>34</v>
      </c>
      <c r="J2540" s="3">
        <f t="shared" si="204"/>
        <v>49705</v>
      </c>
      <c r="K2540" s="3">
        <f t="shared" si="203"/>
        <v>49740</v>
      </c>
      <c r="L2540" s="3">
        <v>35</v>
      </c>
      <c r="M2540">
        <f t="shared" si="205"/>
        <v>3.2199999999999864</v>
      </c>
      <c r="N2540" s="3">
        <v>4.2</v>
      </c>
    </row>
    <row r="2541" spans="4:14" x14ac:dyDescent="0.25">
      <c r="D2541" s="16">
        <v>46111</v>
      </c>
      <c r="E2541">
        <v>46.55</v>
      </c>
      <c r="F2541" s="3">
        <v>69.37</v>
      </c>
      <c r="G2541">
        <f>E2541*F2541</f>
        <v>3229.1734999999999</v>
      </c>
      <c r="H2541" t="s">
        <v>34</v>
      </c>
      <c r="I2541" t="s">
        <v>85</v>
      </c>
      <c r="J2541" s="3">
        <f t="shared" si="204"/>
        <v>49740</v>
      </c>
      <c r="K2541" s="3">
        <f t="shared" si="203"/>
        <v>49784</v>
      </c>
      <c r="L2541" s="3">
        <v>44</v>
      </c>
      <c r="M2541">
        <f t="shared" si="205"/>
        <v>44.769999999999982</v>
      </c>
      <c r="N2541" s="3">
        <v>5</v>
      </c>
    </row>
    <row r="2542" spans="4:14" x14ac:dyDescent="0.25">
      <c r="H2542" t="s">
        <v>85</v>
      </c>
      <c r="I2542" t="s">
        <v>34</v>
      </c>
      <c r="J2542" s="3">
        <f t="shared" si="204"/>
        <v>49784</v>
      </c>
      <c r="K2542" s="3">
        <f t="shared" si="203"/>
        <v>49828</v>
      </c>
      <c r="L2542" s="3">
        <v>44</v>
      </c>
      <c r="M2542">
        <f t="shared" si="205"/>
        <v>39.769999999999982</v>
      </c>
      <c r="N2542" s="3">
        <v>5</v>
      </c>
    </row>
    <row r="2543" spans="4:14" x14ac:dyDescent="0.25">
      <c r="D2543" s="16">
        <v>46112</v>
      </c>
      <c r="H2543" t="s">
        <v>34</v>
      </c>
      <c r="I2543" t="s">
        <v>99</v>
      </c>
      <c r="J2543" s="3">
        <f t="shared" si="204"/>
        <v>49828</v>
      </c>
      <c r="K2543" s="3">
        <f t="shared" si="203"/>
        <v>49863</v>
      </c>
      <c r="L2543" s="3">
        <v>35</v>
      </c>
      <c r="M2543">
        <f t="shared" si="205"/>
        <v>35.569999999999979</v>
      </c>
      <c r="N2543" s="3">
        <v>4.2</v>
      </c>
    </row>
    <row r="2544" spans="4:14" x14ac:dyDescent="0.25">
      <c r="H2544" t="s">
        <v>99</v>
      </c>
      <c r="I2544" t="s">
        <v>34</v>
      </c>
      <c r="J2544" s="3">
        <f t="shared" si="204"/>
        <v>49863</v>
      </c>
      <c r="K2544" s="3">
        <f t="shared" si="203"/>
        <v>49898</v>
      </c>
      <c r="L2544" s="3">
        <v>35</v>
      </c>
      <c r="M2544">
        <f t="shared" si="205"/>
        <v>31.36999999999998</v>
      </c>
      <c r="N2544" s="3">
        <v>4.2</v>
      </c>
    </row>
    <row r="2545" spans="4:12" x14ac:dyDescent="0.25">
      <c r="D2545" t="s">
        <v>17</v>
      </c>
      <c r="L2545" s="3">
        <f>SUM(L2503:L2544)</f>
        <v>746</v>
      </c>
    </row>
  </sheetData>
  <mergeCells count="52">
    <mergeCell ref="D2360:G2360"/>
    <mergeCell ref="D2404:G2404"/>
    <mergeCell ref="D2115:G2115"/>
    <mergeCell ref="D2159:G2159"/>
    <mergeCell ref="D2219:G2219"/>
    <mergeCell ref="D2258:G2258"/>
    <mergeCell ref="D2304:G2304"/>
    <mergeCell ref="D1912:G1912"/>
    <mergeCell ref="D1938:G1938"/>
    <mergeCell ref="D1981:G1981"/>
    <mergeCell ref="D2034:G2034"/>
    <mergeCell ref="D2081:G2081"/>
    <mergeCell ref="D1664:G1664"/>
    <mergeCell ref="D1702:G1702"/>
    <mergeCell ref="D1747:G1747"/>
    <mergeCell ref="D1800:G1800"/>
    <mergeCell ref="D1863:G1863"/>
    <mergeCell ref="D1452:G1452"/>
    <mergeCell ref="D1494:G1494"/>
    <mergeCell ref="D1540:G1540"/>
    <mergeCell ref="D1582:G1582"/>
    <mergeCell ref="D1616:G1616"/>
    <mergeCell ref="D1307:G1307"/>
    <mergeCell ref="D1355:G1355"/>
    <mergeCell ref="D1399:G1399"/>
    <mergeCell ref="H1402:H1408"/>
    <mergeCell ref="D1410:G1410"/>
    <mergeCell ref="D1079:G1079"/>
    <mergeCell ref="D1125:G1125"/>
    <mergeCell ref="D1171:G1171"/>
    <mergeCell ref="D1219:G1219"/>
    <mergeCell ref="D1267:G1267"/>
    <mergeCell ref="D843:G843"/>
    <mergeCell ref="D886:G886"/>
    <mergeCell ref="D941:G941"/>
    <mergeCell ref="D995:G995"/>
    <mergeCell ref="D1042:G1042"/>
    <mergeCell ref="D538:G538"/>
    <mergeCell ref="D607:G607"/>
    <mergeCell ref="D652:G652"/>
    <mergeCell ref="D700:G700"/>
    <mergeCell ref="D764:G764"/>
    <mergeCell ref="D239:G239"/>
    <mergeCell ref="D309:G309"/>
    <mergeCell ref="D355:G355"/>
    <mergeCell ref="D423:G423"/>
    <mergeCell ref="D473:G473"/>
    <mergeCell ref="D2:G2"/>
    <mergeCell ref="D18:G18"/>
    <mergeCell ref="D87:G87"/>
    <mergeCell ref="D153:G153"/>
    <mergeCell ref="D191:G19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Топливные отчеты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Aleksey</cp:lastModifiedBy>
  <cp:revision>0</cp:revision>
  <dcterms:created xsi:type="dcterms:W3CDTF">2015-06-05T18:19:34Z</dcterms:created>
  <dcterms:modified xsi:type="dcterms:W3CDTF">2026-04-16T11:00:31Z</dcterms:modified>
  <dc:language>en-US</dc:language>
</cp:coreProperties>
</file>